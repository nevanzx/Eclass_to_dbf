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2. Class\"/>
    </mc:Choice>
  </mc:AlternateContent>
  <xr:revisionPtr revIDLastSave="0" documentId="13_ncr:1_{B518DC90-9151-48D4-8410-65863C0A486F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Informations" sheetId="22" r:id="rId1"/>
    <sheet name="Sheet1" sheetId="26" r:id="rId2"/>
    <sheet name="Sheet2" sheetId="28" r:id="rId3"/>
    <sheet name="PRELIM" sheetId="1" r:id="rId4"/>
    <sheet name="MIDTERM" sheetId="19" r:id="rId5"/>
    <sheet name="FINALS" sheetId="21" r:id="rId6"/>
    <sheet name="grading report" sheetId="15" r:id="rId7"/>
    <sheet name="FFG" sheetId="14" r:id="rId8"/>
    <sheet name="For Grade Distribution" sheetId="23" r:id="rId9"/>
    <sheet name="Rankings Attachments" sheetId="25" r:id="rId10"/>
    <sheet name="Rankings" sheetId="24" r:id="rId11"/>
  </sheets>
  <definedNames>
    <definedName name="_xlnm.Print_Area" localSheetId="6">'grading report'!$A$1:$I$73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4" l="1"/>
  <c r="G13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40" i="14"/>
  <c r="G41" i="14"/>
  <c r="G42" i="14"/>
  <c r="G43" i="14"/>
  <c r="G44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11" i="14"/>
  <c r="BS4" i="1"/>
  <c r="BS3" i="1"/>
  <c r="A4" i="15"/>
  <c r="A8" i="15"/>
  <c r="C8" i="15"/>
  <c r="E8" i="15"/>
  <c r="H8" i="15"/>
  <c r="I8" i="15"/>
  <c r="B12" i="15"/>
  <c r="B22" i="15"/>
  <c r="B24" i="15"/>
  <c r="B34" i="15"/>
  <c r="B36" i="15"/>
  <c r="B46" i="15"/>
  <c r="A65" i="15"/>
  <c r="D73" i="15"/>
  <c r="H10" i="22"/>
  <c r="F10" i="22"/>
  <c r="D10" i="22"/>
  <c r="D11" i="22"/>
  <c r="J49" i="22"/>
  <c r="J50" i="22"/>
  <c r="J60" i="22"/>
  <c r="G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J51" i="22" s="1"/>
  <c r="G52" i="22"/>
  <c r="J52" i="22" s="1"/>
  <c r="G53" i="22"/>
  <c r="J53" i="22" s="1"/>
  <c r="G54" i="22"/>
  <c r="J54" i="22" s="1"/>
  <c r="G55" i="22"/>
  <c r="J55" i="22" s="1"/>
  <c r="G56" i="22"/>
  <c r="J56" i="22" s="1"/>
  <c r="G57" i="22"/>
  <c r="J57" i="22" s="1"/>
  <c r="G58" i="22"/>
  <c r="J58" i="22" s="1"/>
  <c r="G59" i="22"/>
  <c r="J59" i="22" s="1"/>
  <c r="G60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11" i="22"/>
  <c r="C48" i="14"/>
  <c r="H48" i="15" s="1"/>
  <c r="D48" i="14"/>
  <c r="I48" i="15" s="1"/>
  <c r="C49" i="14"/>
  <c r="H49" i="15" s="1"/>
  <c r="D49" i="14"/>
  <c r="I49" i="15" s="1"/>
  <c r="C50" i="14"/>
  <c r="H50" i="15" s="1"/>
  <c r="D50" i="14"/>
  <c r="C51" i="14"/>
  <c r="H51" i="15" s="1"/>
  <c r="D51" i="14"/>
  <c r="I51" i="15" s="1"/>
  <c r="C52" i="14"/>
  <c r="H52" i="15" s="1"/>
  <c r="D52" i="14"/>
  <c r="I52" i="15" s="1"/>
  <c r="C53" i="14"/>
  <c r="H53" i="15" s="1"/>
  <c r="D53" i="14"/>
  <c r="I53" i="15" s="1"/>
  <c r="C54" i="14"/>
  <c r="H54" i="15" s="1"/>
  <c r="D54" i="14"/>
  <c r="I54" i="15" s="1"/>
  <c r="C55" i="14"/>
  <c r="H55" i="15" s="1"/>
  <c r="D55" i="14"/>
  <c r="I55" i="15" s="1"/>
  <c r="C56" i="14"/>
  <c r="H56" i="15" s="1"/>
  <c r="D56" i="14"/>
  <c r="I56" i="15" s="1"/>
  <c r="C57" i="14"/>
  <c r="H57" i="15" s="1"/>
  <c r="D57" i="14"/>
  <c r="I57" i="15" s="1"/>
  <c r="C58" i="14"/>
  <c r="H58" i="15" s="1"/>
  <c r="D58" i="14"/>
  <c r="I58" i="15" s="1"/>
  <c r="C59" i="14"/>
  <c r="H59" i="15" s="1"/>
  <c r="D59" i="14"/>
  <c r="I59" i="15" s="1"/>
  <c r="C60" i="14"/>
  <c r="D60" i="14"/>
  <c r="I60" i="15" s="1"/>
  <c r="C6" i="22"/>
  <c r="D12" i="22"/>
  <c r="F12" i="22"/>
  <c r="H12" i="22"/>
  <c r="D13" i="22"/>
  <c r="F13" i="22"/>
  <c r="H13" i="22"/>
  <c r="D14" i="22"/>
  <c r="F14" i="22"/>
  <c r="H14" i="22"/>
  <c r="D15" i="22"/>
  <c r="F15" i="22"/>
  <c r="H15" i="22"/>
  <c r="D16" i="22"/>
  <c r="F16" i="22"/>
  <c r="H16" i="22"/>
  <c r="D17" i="22"/>
  <c r="F17" i="22"/>
  <c r="H17" i="22"/>
  <c r="D18" i="22"/>
  <c r="F18" i="22"/>
  <c r="H18" i="22"/>
  <c r="D19" i="22"/>
  <c r="F19" i="22"/>
  <c r="H19" i="22"/>
  <c r="D20" i="22"/>
  <c r="F20" i="22"/>
  <c r="H20" i="22"/>
  <c r="D21" i="22"/>
  <c r="F21" i="22"/>
  <c r="H21" i="22"/>
  <c r="D22" i="22"/>
  <c r="F22" i="22"/>
  <c r="H22" i="22"/>
  <c r="D23" i="22"/>
  <c r="F23" i="22"/>
  <c r="H23" i="22"/>
  <c r="D24" i="22"/>
  <c r="F24" i="22"/>
  <c r="H24" i="22"/>
  <c r="D25" i="22"/>
  <c r="F25" i="22"/>
  <c r="H25" i="22"/>
  <c r="D26" i="22"/>
  <c r="F26" i="22"/>
  <c r="H26" i="22"/>
  <c r="D27" i="22"/>
  <c r="F27" i="22"/>
  <c r="H27" i="22"/>
  <c r="D28" i="22"/>
  <c r="F28" i="22"/>
  <c r="H28" i="22"/>
  <c r="D29" i="22"/>
  <c r="F29" i="22"/>
  <c r="H29" i="22"/>
  <c r="D30" i="22"/>
  <c r="F30" i="22"/>
  <c r="H30" i="22"/>
  <c r="D31" i="22"/>
  <c r="F31" i="22"/>
  <c r="H31" i="22"/>
  <c r="D32" i="22"/>
  <c r="F32" i="22"/>
  <c r="H32" i="22"/>
  <c r="D33" i="22"/>
  <c r="F33" i="22"/>
  <c r="H33" i="22"/>
  <c r="D34" i="22"/>
  <c r="F34" i="22"/>
  <c r="H34" i="22"/>
  <c r="D35" i="22"/>
  <c r="F35" i="22"/>
  <c r="H35" i="22"/>
  <c r="D36" i="22"/>
  <c r="F36" i="22"/>
  <c r="H36" i="22"/>
  <c r="D37" i="22"/>
  <c r="F37" i="22"/>
  <c r="H37" i="22"/>
  <c r="D38" i="22"/>
  <c r="F38" i="22"/>
  <c r="H38" i="22"/>
  <c r="D39" i="22"/>
  <c r="F39" i="22"/>
  <c r="H39" i="22"/>
  <c r="D40" i="22"/>
  <c r="F40" i="22"/>
  <c r="H40" i="22"/>
  <c r="D41" i="22"/>
  <c r="F41" i="22"/>
  <c r="H41" i="22"/>
  <c r="D42" i="22"/>
  <c r="F42" i="22"/>
  <c r="H42" i="22"/>
  <c r="D43" i="22"/>
  <c r="F43" i="22"/>
  <c r="H43" i="22"/>
  <c r="D44" i="22"/>
  <c r="F44" i="22"/>
  <c r="H44" i="22"/>
  <c r="D45" i="22"/>
  <c r="F45" i="22"/>
  <c r="H45" i="22"/>
  <c r="D46" i="22"/>
  <c r="F46" i="22"/>
  <c r="H46" i="22"/>
  <c r="D47" i="22"/>
  <c r="F47" i="22"/>
  <c r="H47" i="22"/>
  <c r="D48" i="22"/>
  <c r="F48" i="22"/>
  <c r="H48" i="22"/>
  <c r="D49" i="22"/>
  <c r="F49" i="22"/>
  <c r="K49" i="22" s="1"/>
  <c r="H49" i="22"/>
  <c r="D50" i="22"/>
  <c r="F50" i="22"/>
  <c r="K50" i="22" s="1"/>
  <c r="H50" i="22"/>
  <c r="D51" i="22"/>
  <c r="F51" i="22"/>
  <c r="H51" i="22"/>
  <c r="D52" i="22"/>
  <c r="F52" i="22"/>
  <c r="K52" i="22" s="1"/>
  <c r="H52" i="22"/>
  <c r="D53" i="22"/>
  <c r="F53" i="22"/>
  <c r="H53" i="22"/>
  <c r="D54" i="22"/>
  <c r="F54" i="22"/>
  <c r="H54" i="22"/>
  <c r="D55" i="22"/>
  <c r="F55" i="22"/>
  <c r="H55" i="22"/>
  <c r="D56" i="22"/>
  <c r="F56" i="22"/>
  <c r="H56" i="22"/>
  <c r="D57" i="22"/>
  <c r="F57" i="22"/>
  <c r="K57" i="22" s="1"/>
  <c r="H57" i="22"/>
  <c r="D58" i="22"/>
  <c r="F58" i="22"/>
  <c r="K58" i="22" s="1"/>
  <c r="H58" i="22"/>
  <c r="D59" i="22"/>
  <c r="F59" i="22"/>
  <c r="K59" i="22" s="1"/>
  <c r="H59" i="22"/>
  <c r="D60" i="22"/>
  <c r="F60" i="22"/>
  <c r="K60" i="22" s="1"/>
  <c r="H60" i="22"/>
  <c r="H11" i="22"/>
  <c r="F11" i="22"/>
  <c r="K2" i="24"/>
  <c r="F2" i="24"/>
  <c r="A2" i="24"/>
  <c r="L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AH9" i="1"/>
  <c r="AI9" i="1"/>
  <c r="AJ9" i="1"/>
  <c r="AK9" i="1"/>
  <c r="AL9" i="1"/>
  <c r="AM9" i="1"/>
  <c r="AN9" i="1"/>
  <c r="AO9" i="1"/>
  <c r="AP9" i="1"/>
  <c r="AQ9" i="1"/>
  <c r="BC9" i="1"/>
  <c r="BD9" i="1"/>
  <c r="BE9" i="1"/>
  <c r="BF9" i="1"/>
  <c r="BG9" i="1"/>
  <c r="BH9" i="1"/>
  <c r="BI9" i="1"/>
  <c r="BJ9" i="1"/>
  <c r="BK9" i="1"/>
  <c r="BL9" i="1"/>
  <c r="B10" i="1"/>
  <c r="B11" i="15" s="1"/>
  <c r="B11" i="1"/>
  <c r="B12" i="1"/>
  <c r="B13" i="15" s="1"/>
  <c r="B13" i="1"/>
  <c r="B14" i="15" s="1"/>
  <c r="B14" i="1"/>
  <c r="B15" i="15" s="1"/>
  <c r="B15" i="1"/>
  <c r="B16" i="15" s="1"/>
  <c r="B16" i="1"/>
  <c r="B17" i="15" s="1"/>
  <c r="B17" i="1"/>
  <c r="B18" i="15" s="1"/>
  <c r="B18" i="1"/>
  <c r="B19" i="15" s="1"/>
  <c r="B19" i="1"/>
  <c r="B20" i="15" s="1"/>
  <c r="B20" i="1"/>
  <c r="B21" i="15" s="1"/>
  <c r="B21" i="1"/>
  <c r="B22" i="1"/>
  <c r="B23" i="15" s="1"/>
  <c r="B23" i="1"/>
  <c r="B24" i="1"/>
  <c r="B25" i="15" s="1"/>
  <c r="B25" i="1"/>
  <c r="B26" i="15" s="1"/>
  <c r="B26" i="1"/>
  <c r="B27" i="15" s="1"/>
  <c r="B27" i="1"/>
  <c r="B28" i="15" s="1"/>
  <c r="B28" i="1"/>
  <c r="B29" i="15" s="1"/>
  <c r="B29" i="1"/>
  <c r="B30" i="15" s="1"/>
  <c r="B30" i="1"/>
  <c r="B31" i="15" s="1"/>
  <c r="B31" i="1"/>
  <c r="B32" i="15" s="1"/>
  <c r="B32" i="1"/>
  <c r="B33" i="15" s="1"/>
  <c r="B33" i="1"/>
  <c r="B34" i="1"/>
  <c r="B35" i="15" s="1"/>
  <c r="B35" i="1"/>
  <c r="B36" i="1"/>
  <c r="B37" i="15" s="1"/>
  <c r="B37" i="1"/>
  <c r="B38" i="15" s="1"/>
  <c r="B38" i="1"/>
  <c r="B39" i="15" s="1"/>
  <c r="B39" i="1"/>
  <c r="B40" i="15" s="1"/>
  <c r="B40" i="1"/>
  <c r="B41" i="15" s="1"/>
  <c r="B41" i="1"/>
  <c r="B42" i="15" s="1"/>
  <c r="B42" i="1"/>
  <c r="B43" i="15" s="1"/>
  <c r="B43" i="1"/>
  <c r="B44" i="15" s="1"/>
  <c r="B44" i="1"/>
  <c r="B45" i="15" s="1"/>
  <c r="B45" i="1"/>
  <c r="B46" i="1"/>
  <c r="B47" i="15" s="1"/>
  <c r="B47" i="1"/>
  <c r="B48" i="15" s="1"/>
  <c r="B48" i="1"/>
  <c r="B49" i="15" s="1"/>
  <c r="B49" i="1"/>
  <c r="B50" i="15" s="1"/>
  <c r="B50" i="1"/>
  <c r="B51" i="15" s="1"/>
  <c r="K1" i="24"/>
  <c r="F1" i="24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L12" i="25"/>
  <c r="L11" i="25"/>
  <c r="L10" i="25"/>
  <c r="L9" i="25"/>
  <c r="L8" i="25"/>
  <c r="L7" i="25"/>
  <c r="L6" i="25"/>
  <c r="L5" i="25"/>
  <c r="L4" i="25"/>
  <c r="A52" i="25"/>
  <c r="A51" i="25"/>
  <c r="K51" i="25" s="1"/>
  <c r="A50" i="25"/>
  <c r="A49" i="25"/>
  <c r="F49" i="25" s="1"/>
  <c r="A48" i="25"/>
  <c r="A47" i="25"/>
  <c r="K47" i="25" s="1"/>
  <c r="A46" i="25"/>
  <c r="A45" i="25"/>
  <c r="F45" i="25" s="1"/>
  <c r="A44" i="25"/>
  <c r="A43" i="25"/>
  <c r="K43" i="25" s="1"/>
  <c r="A42" i="25"/>
  <c r="A41" i="25"/>
  <c r="A40" i="25"/>
  <c r="A39" i="25"/>
  <c r="K39" i="25" s="1"/>
  <c r="A38" i="25"/>
  <c r="A37" i="25"/>
  <c r="A36" i="25"/>
  <c r="A35" i="25"/>
  <c r="K35" i="25" s="1"/>
  <c r="A34" i="25"/>
  <c r="A33" i="25"/>
  <c r="A32" i="25"/>
  <c r="A31" i="25"/>
  <c r="K31" i="25" s="1"/>
  <c r="A30" i="25"/>
  <c r="A29" i="25"/>
  <c r="A28" i="25"/>
  <c r="A27" i="25"/>
  <c r="K27" i="25" s="1"/>
  <c r="A26" i="25"/>
  <c r="A25" i="25"/>
  <c r="A24" i="25"/>
  <c r="A23" i="25"/>
  <c r="K23" i="25" s="1"/>
  <c r="A22" i="25"/>
  <c r="A21" i="25"/>
  <c r="A20" i="25"/>
  <c r="A19" i="25"/>
  <c r="K19" i="25" s="1"/>
  <c r="A18" i="25"/>
  <c r="A17" i="25"/>
  <c r="A16" i="25"/>
  <c r="A15" i="25"/>
  <c r="K15" i="25" s="1"/>
  <c r="A14" i="25"/>
  <c r="A13" i="25"/>
  <c r="A12" i="25"/>
  <c r="A11" i="25"/>
  <c r="K11" i="25" s="1"/>
  <c r="A10" i="25"/>
  <c r="A9" i="25"/>
  <c r="A8" i="25"/>
  <c r="A7" i="25"/>
  <c r="K7" i="25" s="1"/>
  <c r="A6" i="25"/>
  <c r="A5" i="25"/>
  <c r="A4" i="25"/>
  <c r="B3" i="25"/>
  <c r="A3" i="25"/>
  <c r="F3" i="25" s="1"/>
  <c r="J48" i="22" l="1"/>
  <c r="K51" i="22"/>
  <c r="K48" i="22"/>
  <c r="K55" i="22"/>
  <c r="K56" i="22"/>
  <c r="K54" i="22"/>
  <c r="K53" i="22"/>
  <c r="J42" i="22"/>
  <c r="K42" i="22" s="1"/>
  <c r="L42" i="22" s="1"/>
  <c r="J38" i="22"/>
  <c r="K38" i="22" s="1"/>
  <c r="L38" i="22" s="1"/>
  <c r="J32" i="22"/>
  <c r="K32" i="22" s="1"/>
  <c r="L32" i="22" s="1"/>
  <c r="J29" i="22"/>
  <c r="K29" i="22" s="1"/>
  <c r="L29" i="22" s="1"/>
  <c r="J27" i="22"/>
  <c r="K27" i="22" s="1"/>
  <c r="L27" i="22" s="1"/>
  <c r="J25" i="22"/>
  <c r="K25" i="22" s="1"/>
  <c r="L25" i="22" s="1"/>
  <c r="J24" i="22"/>
  <c r="K24" i="22" s="1"/>
  <c r="L24" i="22" s="1"/>
  <c r="J17" i="22"/>
  <c r="K17" i="22" s="1"/>
  <c r="L17" i="22" s="1"/>
  <c r="F59" i="14"/>
  <c r="H59" i="14" s="1"/>
  <c r="F58" i="14"/>
  <c r="F56" i="14"/>
  <c r="F55" i="14"/>
  <c r="H55" i="14" s="1"/>
  <c r="F50" i="14"/>
  <c r="F54" i="14"/>
  <c r="F53" i="14"/>
  <c r="F52" i="14"/>
  <c r="J26" i="22"/>
  <c r="K26" i="22" s="1"/>
  <c r="L26" i="22" s="1"/>
  <c r="J45" i="22"/>
  <c r="K45" i="22" s="1"/>
  <c r="L45" i="22" s="1"/>
  <c r="J47" i="22"/>
  <c r="K47" i="22" s="1"/>
  <c r="L47" i="22" s="1"/>
  <c r="J46" i="22"/>
  <c r="K46" i="22" s="1"/>
  <c r="L46" i="22" s="1"/>
  <c r="J44" i="22"/>
  <c r="K44" i="22" s="1"/>
  <c r="L44" i="22" s="1"/>
  <c r="J43" i="22"/>
  <c r="K43" i="22" s="1"/>
  <c r="L43" i="22" s="1"/>
  <c r="J41" i="22"/>
  <c r="K41" i="22" s="1"/>
  <c r="L41" i="22" s="1"/>
  <c r="J40" i="22"/>
  <c r="K40" i="22" s="1"/>
  <c r="L40" i="22" s="1"/>
  <c r="J39" i="22"/>
  <c r="K39" i="22" s="1"/>
  <c r="L39" i="22" s="1"/>
  <c r="J37" i="22"/>
  <c r="K37" i="22" s="1"/>
  <c r="L37" i="22" s="1"/>
  <c r="J36" i="22"/>
  <c r="K36" i="22" s="1"/>
  <c r="L36" i="22" s="1"/>
  <c r="J35" i="22"/>
  <c r="K35" i="22" s="1"/>
  <c r="L35" i="22" s="1"/>
  <c r="J34" i="22"/>
  <c r="K34" i="22" s="1"/>
  <c r="L34" i="22" s="1"/>
  <c r="J33" i="22"/>
  <c r="K33" i="22" s="1"/>
  <c r="L33" i="22" s="1"/>
  <c r="J31" i="22"/>
  <c r="K31" i="22" s="1"/>
  <c r="L31" i="22" s="1"/>
  <c r="J30" i="22"/>
  <c r="K30" i="22" s="1"/>
  <c r="L30" i="22" s="1"/>
  <c r="J28" i="22"/>
  <c r="K28" i="22" s="1"/>
  <c r="L28" i="22" s="1"/>
  <c r="J23" i="22"/>
  <c r="K23" i="22" s="1"/>
  <c r="L23" i="22" s="1"/>
  <c r="J22" i="22"/>
  <c r="K22" i="22" s="1"/>
  <c r="L22" i="22" s="1"/>
  <c r="J21" i="22"/>
  <c r="K21" i="22" s="1"/>
  <c r="L21" i="22" s="1"/>
  <c r="J20" i="22"/>
  <c r="K20" i="22" s="1"/>
  <c r="L20" i="22" s="1"/>
  <c r="J19" i="22"/>
  <c r="K19" i="22" s="1"/>
  <c r="L19" i="22" s="1"/>
  <c r="J18" i="22"/>
  <c r="K18" i="22" s="1"/>
  <c r="L18" i="22" s="1"/>
  <c r="J16" i="22"/>
  <c r="K16" i="22" s="1"/>
  <c r="L16" i="22" s="1"/>
  <c r="J15" i="22"/>
  <c r="K15" i="22" s="1"/>
  <c r="L15" i="22" s="1"/>
  <c r="J14" i="22"/>
  <c r="K14" i="22" s="1"/>
  <c r="L14" i="22" s="1"/>
  <c r="J13" i="22"/>
  <c r="K13" i="22" s="1"/>
  <c r="L13" i="22" s="1"/>
  <c r="J12" i="22"/>
  <c r="K12" i="22" s="1"/>
  <c r="L12" i="22" s="1"/>
  <c r="I50" i="15"/>
  <c r="F57" i="14"/>
  <c r="F51" i="14"/>
  <c r="H51" i="14" s="1"/>
  <c r="F49" i="14"/>
  <c r="F60" i="14"/>
  <c r="F48" i="14"/>
  <c r="H60" i="15"/>
  <c r="J11" i="22"/>
  <c r="K11" i="22" s="1"/>
  <c r="L11" i="22" s="1"/>
  <c r="L56" i="22"/>
  <c r="L59" i="22"/>
  <c r="L55" i="22"/>
  <c r="L50" i="22"/>
  <c r="L49" i="22"/>
  <c r="L52" i="22"/>
  <c r="L48" i="22"/>
  <c r="L51" i="22"/>
  <c r="L58" i="22"/>
  <c r="L54" i="22"/>
  <c r="L57" i="22"/>
  <c r="L60" i="22"/>
  <c r="L53" i="22"/>
  <c r="BM9" i="1"/>
  <c r="AR9" i="1"/>
  <c r="F15" i="25"/>
  <c r="K49" i="25"/>
  <c r="F47" i="25"/>
  <c r="F31" i="25"/>
  <c r="F4" i="25"/>
  <c r="K4" i="25"/>
  <c r="F5" i="25"/>
  <c r="K5" i="25"/>
  <c r="K6" i="25"/>
  <c r="F6" i="25"/>
  <c r="F8" i="25"/>
  <c r="K8" i="25"/>
  <c r="F9" i="25"/>
  <c r="K9" i="25"/>
  <c r="K10" i="25"/>
  <c r="F10" i="25"/>
  <c r="F12" i="25"/>
  <c r="K12" i="25"/>
  <c r="F13" i="25"/>
  <c r="K13" i="25"/>
  <c r="K14" i="25"/>
  <c r="F14" i="25"/>
  <c r="F16" i="25"/>
  <c r="K16" i="25"/>
  <c r="F17" i="25"/>
  <c r="K17" i="25"/>
  <c r="K18" i="25"/>
  <c r="F18" i="25"/>
  <c r="F20" i="25"/>
  <c r="K20" i="25"/>
  <c r="F21" i="25"/>
  <c r="K21" i="25"/>
  <c r="K22" i="25"/>
  <c r="F22" i="25"/>
  <c r="F24" i="25"/>
  <c r="K24" i="25"/>
  <c r="F25" i="25"/>
  <c r="K25" i="25"/>
  <c r="K26" i="25"/>
  <c r="F26" i="25"/>
  <c r="F28" i="25"/>
  <c r="K28" i="25"/>
  <c r="F29" i="25"/>
  <c r="K29" i="25"/>
  <c r="K30" i="25"/>
  <c r="F30" i="25"/>
  <c r="F32" i="25"/>
  <c r="K32" i="25"/>
  <c r="F33" i="25"/>
  <c r="K33" i="25"/>
  <c r="K34" i="25"/>
  <c r="F34" i="25"/>
  <c r="F36" i="25"/>
  <c r="K36" i="25"/>
  <c r="F37" i="25"/>
  <c r="K37" i="25"/>
  <c r="K38" i="25"/>
  <c r="F38" i="25"/>
  <c r="F40" i="25"/>
  <c r="K40" i="25"/>
  <c r="F41" i="25"/>
  <c r="K41" i="25"/>
  <c r="K42" i="25"/>
  <c r="F42" i="25"/>
  <c r="F44" i="25"/>
  <c r="K44" i="25"/>
  <c r="K46" i="25"/>
  <c r="F46" i="25"/>
  <c r="F48" i="25"/>
  <c r="K48" i="25"/>
  <c r="K50" i="25"/>
  <c r="F50" i="25"/>
  <c r="F52" i="25"/>
  <c r="K52" i="25"/>
  <c r="F43" i="25"/>
  <c r="F27" i="25"/>
  <c r="F11" i="25"/>
  <c r="K45" i="25"/>
  <c r="F39" i="25"/>
  <c r="F23" i="25"/>
  <c r="F7" i="25"/>
  <c r="F51" i="25"/>
  <c r="F35" i="25"/>
  <c r="F19" i="25"/>
  <c r="K3" i="25"/>
  <c r="H53" i="14" l="1"/>
  <c r="H60" i="14"/>
  <c r="H57" i="14"/>
  <c r="H48" i="14"/>
  <c r="H52" i="14"/>
  <c r="H56" i="14"/>
  <c r="H49" i="14"/>
  <c r="H58" i="14"/>
  <c r="H54" i="14"/>
  <c r="H50" i="14"/>
  <c r="A1" i="24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3" i="23"/>
  <c r="B12" i="19"/>
  <c r="B13" i="19"/>
  <c r="B14" i="19"/>
  <c r="B18" i="19"/>
  <c r="B20" i="19"/>
  <c r="B22" i="19"/>
  <c r="B25" i="19"/>
  <c r="B26" i="19"/>
  <c r="B30" i="19"/>
  <c r="B31" i="19"/>
  <c r="B33" i="19"/>
  <c r="B34" i="19"/>
  <c r="B37" i="19"/>
  <c r="B38" i="19"/>
  <c r="B39" i="19"/>
  <c r="B41" i="19"/>
  <c r="B42" i="19"/>
  <c r="B51" i="1"/>
  <c r="B52" i="15" s="1"/>
  <c r="B52" i="1"/>
  <c r="B53" i="15" s="1"/>
  <c r="B53" i="1"/>
  <c r="B54" i="15" s="1"/>
  <c r="B54" i="1"/>
  <c r="B55" i="15" s="1"/>
  <c r="B55" i="1"/>
  <c r="B56" i="15" s="1"/>
  <c r="B56" i="1"/>
  <c r="B57" i="15" s="1"/>
  <c r="B57" i="1"/>
  <c r="B58" i="15" s="1"/>
  <c r="B58" i="1"/>
  <c r="B59" i="15" s="1"/>
  <c r="B59" i="1"/>
  <c r="B60" i="15" s="1"/>
  <c r="B10" i="19"/>
  <c r="A51" i="23"/>
  <c r="A52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4" i="23"/>
  <c r="A3" i="23"/>
  <c r="BS4" i="19"/>
  <c r="B11" i="19"/>
  <c r="B15" i="19"/>
  <c r="B16" i="19"/>
  <c r="B17" i="19"/>
  <c r="B19" i="19"/>
  <c r="B21" i="19"/>
  <c r="B23" i="19"/>
  <c r="B24" i="19"/>
  <c r="B27" i="19"/>
  <c r="B28" i="19"/>
  <c r="B29" i="19"/>
  <c r="B32" i="19"/>
  <c r="B35" i="19"/>
  <c r="B36" i="19"/>
  <c r="B40" i="19"/>
  <c r="A2" i="14" l="1"/>
  <c r="I5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C3" i="21"/>
  <c r="AK3" i="21"/>
  <c r="AR3" i="21"/>
  <c r="C4" i="21"/>
  <c r="AH4" i="21"/>
  <c r="BS4" i="21"/>
  <c r="BW7" i="21"/>
  <c r="BX7" i="21"/>
  <c r="BY7" i="21"/>
  <c r="BZ7" i="21"/>
  <c r="CA7" i="21"/>
  <c r="CB7" i="21"/>
  <c r="CC7" i="21"/>
  <c r="CD7" i="21"/>
  <c r="CE7" i="21"/>
  <c r="CF7" i="21"/>
  <c r="CG7" i="21"/>
  <c r="CH7" i="21"/>
  <c r="CI7" i="21"/>
  <c r="CJ7" i="21"/>
  <c r="CK7" i="21"/>
  <c r="CL7" i="21"/>
  <c r="CM7" i="21"/>
  <c r="CN7" i="21"/>
  <c r="CO7" i="21"/>
  <c r="CP7" i="21"/>
  <c r="AH9" i="21"/>
  <c r="AI9" i="21"/>
  <c r="AJ9" i="21"/>
  <c r="AK9" i="21"/>
  <c r="AL9" i="21"/>
  <c r="AM9" i="21"/>
  <c r="AN9" i="21"/>
  <c r="AO9" i="21"/>
  <c r="AP9" i="21"/>
  <c r="AQ9" i="21"/>
  <c r="BC9" i="21"/>
  <c r="BD9" i="21"/>
  <c r="BE9" i="21"/>
  <c r="BF9" i="21"/>
  <c r="BG9" i="21"/>
  <c r="BH9" i="21"/>
  <c r="BI9" i="21"/>
  <c r="BJ9" i="21"/>
  <c r="BK9" i="21"/>
  <c r="BL9" i="21"/>
  <c r="DN9" i="21"/>
  <c r="DN10" i="21" s="1"/>
  <c r="DO9" i="21"/>
  <c r="DO10" i="21" s="1"/>
  <c r="DP9" i="21"/>
  <c r="DP10" i="21" s="1"/>
  <c r="DQ9" i="21"/>
  <c r="DQ10" i="21" s="1"/>
  <c r="DR9" i="21"/>
  <c r="DR10" i="21" s="1"/>
  <c r="DS9" i="21"/>
  <c r="DS10" i="21" s="1"/>
  <c r="DT9" i="21"/>
  <c r="DT10" i="21" s="1"/>
  <c r="DU9" i="21"/>
  <c r="DU10" i="21" s="1"/>
  <c r="AO10" i="21" s="1"/>
  <c r="DV9" i="21"/>
  <c r="DV10" i="21" s="1"/>
  <c r="AP10" i="21" s="1"/>
  <c r="DW9" i="21"/>
  <c r="DY9" i="21"/>
  <c r="DZ9" i="21"/>
  <c r="DZ10" i="21"/>
  <c r="BD10" i="21"/>
  <c r="EA9" i="21"/>
  <c r="EA10" i="21" s="1"/>
  <c r="BE10" i="21" s="1"/>
  <c r="EB9" i="21"/>
  <c r="EB10" i="21" s="1"/>
  <c r="EC9" i="21"/>
  <c r="ED9" i="21"/>
  <c r="ED10" i="21"/>
  <c r="ED11" i="21" s="1"/>
  <c r="EE9" i="21"/>
  <c r="EE10" i="21" s="1"/>
  <c r="EF9" i="21"/>
  <c r="EF10" i="21"/>
  <c r="EF11" i="21" s="1"/>
  <c r="BJ11" i="21" s="1"/>
  <c r="BJ10" i="21"/>
  <c r="EG9" i="21"/>
  <c r="EG10" i="21" s="1"/>
  <c r="EH9" i="21"/>
  <c r="EH10" i="21" s="1"/>
  <c r="EJ9" i="21"/>
  <c r="EJ10" i="21" s="1"/>
  <c r="B10" i="21"/>
  <c r="AQ10" i="21"/>
  <c r="BW10" i="21"/>
  <c r="BX10" i="21"/>
  <c r="BY10" i="21"/>
  <c r="BZ10" i="21"/>
  <c r="CA10" i="21"/>
  <c r="CB10" i="21"/>
  <c r="CC10" i="21"/>
  <c r="CD10" i="21"/>
  <c r="CE10" i="21"/>
  <c r="CF10" i="21"/>
  <c r="CG10" i="21"/>
  <c r="CH10" i="21"/>
  <c r="CI10" i="21"/>
  <c r="CJ10" i="21"/>
  <c r="CK10" i="21"/>
  <c r="CL10" i="21"/>
  <c r="CM10" i="21"/>
  <c r="CN10" i="21"/>
  <c r="CO10" i="21"/>
  <c r="CP10" i="21"/>
  <c r="CS10" i="21"/>
  <c r="CT10" i="21"/>
  <c r="CU10" i="21"/>
  <c r="CV10" i="21"/>
  <c r="CW10" i="21"/>
  <c r="CX10" i="21"/>
  <c r="CY10" i="21"/>
  <c r="CZ10" i="21"/>
  <c r="DA10" i="21"/>
  <c r="DB10" i="21"/>
  <c r="DC10" i="21"/>
  <c r="DD10" i="21"/>
  <c r="DE10" i="21"/>
  <c r="DF10" i="21"/>
  <c r="DG10" i="21"/>
  <c r="DH10" i="21"/>
  <c r="DI10" i="21"/>
  <c r="DJ10" i="21"/>
  <c r="DK10" i="21"/>
  <c r="DL10" i="21"/>
  <c r="DW10" i="21"/>
  <c r="DW11" i="21"/>
  <c r="AQ11" i="21" s="1"/>
  <c r="DY10" i="21"/>
  <c r="BC10" i="21" s="1"/>
  <c r="EC10" i="21"/>
  <c r="B11" i="21"/>
  <c r="BW11" i="21"/>
  <c r="BX11" i="21"/>
  <c r="BY11" i="21"/>
  <c r="BZ11" i="21"/>
  <c r="CA11" i="21"/>
  <c r="CB11" i="21"/>
  <c r="CC11" i="21"/>
  <c r="CD11" i="21"/>
  <c r="CE11" i="21"/>
  <c r="CF11" i="21"/>
  <c r="CG11" i="21"/>
  <c r="CH11" i="21"/>
  <c r="CI11" i="21"/>
  <c r="CJ11" i="21"/>
  <c r="CK11" i="21"/>
  <c r="CL11" i="21"/>
  <c r="CM11" i="21"/>
  <c r="CN11" i="21"/>
  <c r="CO11" i="21"/>
  <c r="CP11" i="21"/>
  <c r="CS11" i="21"/>
  <c r="CT11" i="21"/>
  <c r="CU11" i="21"/>
  <c r="CV11" i="21"/>
  <c r="CW11" i="21"/>
  <c r="CX11" i="21"/>
  <c r="CY11" i="21"/>
  <c r="CZ11" i="21"/>
  <c r="DA11" i="21"/>
  <c r="DB11" i="21"/>
  <c r="DC11" i="21"/>
  <c r="DD11" i="21"/>
  <c r="DE11" i="21"/>
  <c r="DF11" i="21"/>
  <c r="DG11" i="21"/>
  <c r="DH11" i="21"/>
  <c r="DI11" i="21"/>
  <c r="DJ11" i="21"/>
  <c r="DK11" i="21"/>
  <c r="DL11" i="21"/>
  <c r="DZ11" i="21"/>
  <c r="BD11" i="21"/>
  <c r="B12" i="21"/>
  <c r="BW12" i="21"/>
  <c r="BX12" i="21"/>
  <c r="BY12" i="21"/>
  <c r="BZ12" i="21"/>
  <c r="CA12" i="21"/>
  <c r="CB12" i="21"/>
  <c r="CC12" i="21"/>
  <c r="CD12" i="21"/>
  <c r="CE12" i="21"/>
  <c r="CF12" i="21"/>
  <c r="CG12" i="21"/>
  <c r="CH12" i="21"/>
  <c r="CI12" i="21"/>
  <c r="CJ12" i="21"/>
  <c r="CK12" i="21"/>
  <c r="CL12" i="21"/>
  <c r="CM12" i="21"/>
  <c r="CN12" i="21"/>
  <c r="CO12" i="21"/>
  <c r="CP12" i="21"/>
  <c r="CS12" i="21"/>
  <c r="CT12" i="21"/>
  <c r="CU12" i="21"/>
  <c r="CV12" i="21"/>
  <c r="CW12" i="21"/>
  <c r="CX12" i="21"/>
  <c r="CY12" i="21"/>
  <c r="CZ12" i="21"/>
  <c r="DA12" i="21"/>
  <c r="DB12" i="21"/>
  <c r="DC12" i="21"/>
  <c r="DD12" i="21"/>
  <c r="DE12" i="21"/>
  <c r="DF12" i="21"/>
  <c r="DG12" i="21"/>
  <c r="DH12" i="21"/>
  <c r="DI12" i="21"/>
  <c r="DJ12" i="21"/>
  <c r="DK12" i="21"/>
  <c r="DL12" i="21"/>
  <c r="DW12" i="21"/>
  <c r="AQ12" i="21"/>
  <c r="DZ12" i="21"/>
  <c r="DZ13" i="21" s="1"/>
  <c r="EF12" i="21"/>
  <c r="EF13" i="21"/>
  <c r="B13" i="21"/>
  <c r="BW13" i="21"/>
  <c r="BX13" i="21"/>
  <c r="BY13" i="21"/>
  <c r="BZ13" i="21"/>
  <c r="CA13" i="21"/>
  <c r="CB13" i="21"/>
  <c r="CC13" i="21"/>
  <c r="CD13" i="21"/>
  <c r="CE13" i="21"/>
  <c r="CF13" i="21"/>
  <c r="CG13" i="21"/>
  <c r="CH13" i="21"/>
  <c r="CI13" i="21"/>
  <c r="CJ13" i="21"/>
  <c r="CK13" i="21"/>
  <c r="CL13" i="21"/>
  <c r="CM13" i="21"/>
  <c r="CN13" i="21"/>
  <c r="CO13" i="21"/>
  <c r="CP13" i="21"/>
  <c r="CS13" i="21"/>
  <c r="CT13" i="21"/>
  <c r="CU13" i="21"/>
  <c r="CV13" i="21"/>
  <c r="CW13" i="21"/>
  <c r="CX13" i="21"/>
  <c r="CY13" i="21"/>
  <c r="CZ13" i="21"/>
  <c r="DA13" i="21"/>
  <c r="DB13" i="21"/>
  <c r="DC13" i="21"/>
  <c r="DD13" i="21"/>
  <c r="DE13" i="21"/>
  <c r="DF13" i="21"/>
  <c r="DG13" i="21"/>
  <c r="DH13" i="21"/>
  <c r="DI13" i="21"/>
  <c r="DJ13" i="21"/>
  <c r="DK13" i="21"/>
  <c r="DL13" i="21"/>
  <c r="DW13" i="21"/>
  <c r="AQ13" i="21" s="1"/>
  <c r="B14" i="21"/>
  <c r="BW14" i="21"/>
  <c r="BX14" i="21"/>
  <c r="BY14" i="21"/>
  <c r="BZ14" i="21"/>
  <c r="CA14" i="21"/>
  <c r="CB14" i="21"/>
  <c r="CC14" i="21"/>
  <c r="CD14" i="21"/>
  <c r="CE14" i="21"/>
  <c r="CF14" i="21"/>
  <c r="CG14" i="21"/>
  <c r="CH14" i="21"/>
  <c r="CI14" i="21"/>
  <c r="CJ14" i="21"/>
  <c r="CK14" i="21"/>
  <c r="CL14" i="21"/>
  <c r="CM14" i="21"/>
  <c r="CN14" i="21"/>
  <c r="CO14" i="21"/>
  <c r="CP14" i="21"/>
  <c r="CS14" i="21"/>
  <c r="CT14" i="21"/>
  <c r="CU14" i="21"/>
  <c r="CV14" i="21"/>
  <c r="CW14" i="21"/>
  <c r="CX14" i="21"/>
  <c r="CY14" i="21"/>
  <c r="CZ14" i="21"/>
  <c r="DA14" i="21"/>
  <c r="DB14" i="21"/>
  <c r="DC14" i="21"/>
  <c r="DD14" i="21"/>
  <c r="DE14" i="21"/>
  <c r="DF14" i="21"/>
  <c r="DG14" i="21"/>
  <c r="DH14" i="21"/>
  <c r="DI14" i="21"/>
  <c r="DJ14" i="21"/>
  <c r="DK14" i="21"/>
  <c r="DL14" i="21"/>
  <c r="B15" i="21"/>
  <c r="BW15" i="21"/>
  <c r="BX15" i="21"/>
  <c r="BY15" i="21"/>
  <c r="BZ15" i="21"/>
  <c r="CA15" i="21"/>
  <c r="CB15" i="21"/>
  <c r="CC15" i="21"/>
  <c r="CD15" i="21"/>
  <c r="CE15" i="21"/>
  <c r="CF15" i="21"/>
  <c r="CG15" i="21"/>
  <c r="CH15" i="21"/>
  <c r="CI15" i="21"/>
  <c r="CJ15" i="21"/>
  <c r="CK15" i="21"/>
  <c r="CL15" i="21"/>
  <c r="CM15" i="21"/>
  <c r="CN15" i="21"/>
  <c r="CO15" i="21"/>
  <c r="CP15" i="21"/>
  <c r="CS15" i="21"/>
  <c r="CT15" i="21"/>
  <c r="CU15" i="21"/>
  <c r="CV15" i="21"/>
  <c r="CW15" i="21"/>
  <c r="CX15" i="21"/>
  <c r="CY15" i="21"/>
  <c r="CZ15" i="21"/>
  <c r="DA15" i="21"/>
  <c r="DB15" i="21"/>
  <c r="DC15" i="21"/>
  <c r="DD15" i="21"/>
  <c r="DE15" i="21"/>
  <c r="DF15" i="21"/>
  <c r="DG15" i="21"/>
  <c r="DH15" i="21"/>
  <c r="DI15" i="21"/>
  <c r="DJ15" i="21"/>
  <c r="DK15" i="21"/>
  <c r="DL15" i="21"/>
  <c r="B16" i="21"/>
  <c r="BW16" i="21"/>
  <c r="BX16" i="21"/>
  <c r="BY16" i="21"/>
  <c r="BZ16" i="21"/>
  <c r="CA16" i="21"/>
  <c r="CB16" i="21"/>
  <c r="CC16" i="21"/>
  <c r="CD16" i="21"/>
  <c r="CE16" i="21"/>
  <c r="CF16" i="21"/>
  <c r="CG16" i="21"/>
  <c r="CH16" i="21"/>
  <c r="CI16" i="21"/>
  <c r="CJ16" i="21"/>
  <c r="CK16" i="21"/>
  <c r="CL16" i="21"/>
  <c r="CM16" i="21"/>
  <c r="CN16" i="21"/>
  <c r="CO16" i="21"/>
  <c r="CP16" i="21"/>
  <c r="CS16" i="21"/>
  <c r="CT16" i="21"/>
  <c r="CU16" i="21"/>
  <c r="CV16" i="21"/>
  <c r="CW16" i="21"/>
  <c r="CX16" i="21"/>
  <c r="CY16" i="21"/>
  <c r="CZ16" i="21"/>
  <c r="DA16" i="21"/>
  <c r="DB16" i="21"/>
  <c r="DC16" i="21"/>
  <c r="DD16" i="21"/>
  <c r="DE16" i="21"/>
  <c r="DF16" i="21"/>
  <c r="DG16" i="21"/>
  <c r="DH16" i="21"/>
  <c r="DI16" i="21"/>
  <c r="DJ16" i="21"/>
  <c r="DK16" i="21"/>
  <c r="DL16" i="21"/>
  <c r="B17" i="21"/>
  <c r="BW17" i="21"/>
  <c r="BX17" i="21"/>
  <c r="BY17" i="21"/>
  <c r="BZ17" i="21"/>
  <c r="CA17" i="21"/>
  <c r="CB17" i="21"/>
  <c r="CC17" i="21"/>
  <c r="CD17" i="21"/>
  <c r="CE17" i="21"/>
  <c r="CF17" i="21"/>
  <c r="CG17" i="21"/>
  <c r="CH17" i="21"/>
  <c r="CI17" i="21"/>
  <c r="CJ17" i="21"/>
  <c r="CK17" i="21"/>
  <c r="CL17" i="21"/>
  <c r="CM17" i="21"/>
  <c r="CN17" i="21"/>
  <c r="CO17" i="21"/>
  <c r="CP17" i="21"/>
  <c r="CS17" i="21"/>
  <c r="CT17" i="21"/>
  <c r="CU17" i="21"/>
  <c r="CV17" i="21"/>
  <c r="CW17" i="21"/>
  <c r="CX17" i="21"/>
  <c r="CY17" i="21"/>
  <c r="CZ17" i="21"/>
  <c r="DA17" i="21"/>
  <c r="DB17" i="21"/>
  <c r="DC17" i="21"/>
  <c r="DD17" i="21"/>
  <c r="DE17" i="21"/>
  <c r="DF17" i="21"/>
  <c r="DG17" i="21"/>
  <c r="DH17" i="21"/>
  <c r="DI17" i="21"/>
  <c r="DJ17" i="21"/>
  <c r="DK17" i="21"/>
  <c r="DL17" i="21"/>
  <c r="B18" i="21"/>
  <c r="BW18" i="21"/>
  <c r="BX18" i="21"/>
  <c r="BY18" i="21"/>
  <c r="BZ18" i="21"/>
  <c r="CA18" i="21"/>
  <c r="CB18" i="21"/>
  <c r="CC18" i="21"/>
  <c r="CD18" i="21"/>
  <c r="CE18" i="21"/>
  <c r="CF18" i="21"/>
  <c r="CG18" i="21"/>
  <c r="CH18" i="21"/>
  <c r="CI18" i="21"/>
  <c r="CJ18" i="21"/>
  <c r="CK18" i="21"/>
  <c r="CL18" i="21"/>
  <c r="CM18" i="21"/>
  <c r="CN18" i="21"/>
  <c r="CO18" i="21"/>
  <c r="CP18" i="21"/>
  <c r="CS18" i="21"/>
  <c r="CT18" i="21"/>
  <c r="CU18" i="21"/>
  <c r="CV18" i="21"/>
  <c r="CW18" i="21"/>
  <c r="CX18" i="21"/>
  <c r="CY18" i="21"/>
  <c r="CZ18" i="21"/>
  <c r="DA18" i="21"/>
  <c r="DB18" i="21"/>
  <c r="DC18" i="21"/>
  <c r="DD18" i="21"/>
  <c r="DE18" i="21"/>
  <c r="DF18" i="21"/>
  <c r="DG18" i="21"/>
  <c r="DH18" i="21"/>
  <c r="DI18" i="21"/>
  <c r="DJ18" i="21"/>
  <c r="DK18" i="21"/>
  <c r="DL18" i="21"/>
  <c r="B19" i="21"/>
  <c r="BW19" i="21"/>
  <c r="BX19" i="21"/>
  <c r="BY19" i="21"/>
  <c r="BZ19" i="21"/>
  <c r="CA19" i="21"/>
  <c r="CB19" i="21"/>
  <c r="CC19" i="21"/>
  <c r="CD19" i="21"/>
  <c r="CE19" i="21"/>
  <c r="CF19" i="21"/>
  <c r="CG19" i="21"/>
  <c r="CH19" i="21"/>
  <c r="CI19" i="21"/>
  <c r="CJ19" i="21"/>
  <c r="CK19" i="21"/>
  <c r="CL19" i="21"/>
  <c r="CM19" i="21"/>
  <c r="CN19" i="21"/>
  <c r="CO19" i="21"/>
  <c r="CP19" i="21"/>
  <c r="CS19" i="21"/>
  <c r="CT19" i="21"/>
  <c r="CU19" i="21"/>
  <c r="CV19" i="21"/>
  <c r="CW19" i="21"/>
  <c r="CX19" i="21"/>
  <c r="CY19" i="21"/>
  <c r="CZ19" i="21"/>
  <c r="DA19" i="21"/>
  <c r="DB19" i="21"/>
  <c r="DC19" i="21"/>
  <c r="DD19" i="21"/>
  <c r="DE19" i="21"/>
  <c r="DF19" i="21"/>
  <c r="DG19" i="21"/>
  <c r="DH19" i="21"/>
  <c r="DI19" i="21"/>
  <c r="DJ19" i="21"/>
  <c r="DK19" i="21"/>
  <c r="DL19" i="21"/>
  <c r="B20" i="21"/>
  <c r="BW20" i="21"/>
  <c r="BX20" i="21"/>
  <c r="BY20" i="21"/>
  <c r="BZ20" i="21"/>
  <c r="CA20" i="21"/>
  <c r="CB20" i="21"/>
  <c r="CC20" i="21"/>
  <c r="CD20" i="21"/>
  <c r="CE20" i="21"/>
  <c r="CF20" i="21"/>
  <c r="CG20" i="21"/>
  <c r="CH20" i="21"/>
  <c r="CI20" i="21"/>
  <c r="CJ20" i="21"/>
  <c r="CK20" i="21"/>
  <c r="CL20" i="21"/>
  <c r="CM20" i="21"/>
  <c r="CN20" i="21"/>
  <c r="CO20" i="21"/>
  <c r="CP20" i="21"/>
  <c r="CS20" i="21"/>
  <c r="CT20" i="21"/>
  <c r="CU20" i="21"/>
  <c r="CV20" i="21"/>
  <c r="CW20" i="21"/>
  <c r="CX20" i="21"/>
  <c r="CY20" i="21"/>
  <c r="CZ20" i="21"/>
  <c r="DA20" i="21"/>
  <c r="DB20" i="21"/>
  <c r="DC20" i="21"/>
  <c r="DD20" i="21"/>
  <c r="DE20" i="21"/>
  <c r="DF20" i="21"/>
  <c r="DG20" i="21"/>
  <c r="DH20" i="21"/>
  <c r="DI20" i="21"/>
  <c r="DJ20" i="21"/>
  <c r="DK20" i="21"/>
  <c r="DL20" i="21"/>
  <c r="B21" i="21"/>
  <c r="BW21" i="21"/>
  <c r="BX21" i="21"/>
  <c r="BY21" i="21"/>
  <c r="BZ21" i="21"/>
  <c r="CA21" i="21"/>
  <c r="CB21" i="21"/>
  <c r="CC21" i="21"/>
  <c r="CD21" i="21"/>
  <c r="CE21" i="21"/>
  <c r="CF21" i="21"/>
  <c r="CG21" i="21"/>
  <c r="CH21" i="21"/>
  <c r="CI21" i="21"/>
  <c r="CJ21" i="21"/>
  <c r="CK21" i="21"/>
  <c r="CL21" i="21"/>
  <c r="CM21" i="21"/>
  <c r="CN21" i="21"/>
  <c r="CO21" i="21"/>
  <c r="CP21" i="21"/>
  <c r="CS21" i="21"/>
  <c r="CT21" i="21"/>
  <c r="CU21" i="21"/>
  <c r="CV21" i="21"/>
  <c r="CW21" i="21"/>
  <c r="CX21" i="21"/>
  <c r="CY21" i="21"/>
  <c r="CZ21" i="21"/>
  <c r="DA21" i="21"/>
  <c r="DB21" i="21"/>
  <c r="DC21" i="21"/>
  <c r="DD21" i="21"/>
  <c r="DE21" i="21"/>
  <c r="DF21" i="21"/>
  <c r="DG21" i="21"/>
  <c r="DH21" i="21"/>
  <c r="DI21" i="21"/>
  <c r="DJ21" i="21"/>
  <c r="DK21" i="21"/>
  <c r="DL21" i="21"/>
  <c r="B22" i="21"/>
  <c r="BW22" i="21"/>
  <c r="BX22" i="21"/>
  <c r="BY22" i="21"/>
  <c r="BZ22" i="21"/>
  <c r="CA22" i="21"/>
  <c r="CB22" i="21"/>
  <c r="CC22" i="21"/>
  <c r="CD22" i="21"/>
  <c r="CE22" i="21"/>
  <c r="CF22" i="21"/>
  <c r="CG22" i="21"/>
  <c r="CH22" i="21"/>
  <c r="CI22" i="21"/>
  <c r="CJ22" i="21"/>
  <c r="CK22" i="21"/>
  <c r="CL22" i="21"/>
  <c r="CM22" i="21"/>
  <c r="CN22" i="21"/>
  <c r="CO22" i="21"/>
  <c r="CP22" i="21"/>
  <c r="CS22" i="21"/>
  <c r="CT22" i="21"/>
  <c r="CU22" i="21"/>
  <c r="CV22" i="21"/>
  <c r="CW22" i="21"/>
  <c r="CX22" i="21"/>
  <c r="CY22" i="21"/>
  <c r="CZ22" i="21"/>
  <c r="DA22" i="21"/>
  <c r="DB22" i="21"/>
  <c r="DC22" i="21"/>
  <c r="DD22" i="21"/>
  <c r="DE22" i="21"/>
  <c r="DF22" i="21"/>
  <c r="DG22" i="21"/>
  <c r="DH22" i="21"/>
  <c r="DI22" i="21"/>
  <c r="DJ22" i="21"/>
  <c r="DK22" i="21"/>
  <c r="DL22" i="21"/>
  <c r="B23" i="21"/>
  <c r="BW23" i="21"/>
  <c r="BX23" i="21"/>
  <c r="BY23" i="21"/>
  <c r="BZ23" i="21"/>
  <c r="CA23" i="21"/>
  <c r="CB23" i="21"/>
  <c r="CC23" i="21"/>
  <c r="CD23" i="21"/>
  <c r="CE23" i="21"/>
  <c r="CF23" i="21"/>
  <c r="CG23" i="21"/>
  <c r="CH23" i="21"/>
  <c r="CI23" i="21"/>
  <c r="CJ23" i="21"/>
  <c r="CK23" i="21"/>
  <c r="CL23" i="21"/>
  <c r="CM23" i="21"/>
  <c r="CN23" i="21"/>
  <c r="CO23" i="21"/>
  <c r="CP23" i="21"/>
  <c r="CS23" i="21"/>
  <c r="CT23" i="21"/>
  <c r="CU23" i="21"/>
  <c r="CV23" i="21"/>
  <c r="CW23" i="21"/>
  <c r="CX23" i="21"/>
  <c r="CY23" i="21"/>
  <c r="CZ23" i="21"/>
  <c r="DA23" i="21"/>
  <c r="DB23" i="21"/>
  <c r="DC23" i="21"/>
  <c r="DD23" i="21"/>
  <c r="DE23" i="21"/>
  <c r="DF23" i="21"/>
  <c r="DG23" i="21"/>
  <c r="DH23" i="21"/>
  <c r="DI23" i="21"/>
  <c r="DJ23" i="21"/>
  <c r="DK23" i="21"/>
  <c r="DL23" i="21"/>
  <c r="B24" i="21"/>
  <c r="BW24" i="21"/>
  <c r="BX24" i="21"/>
  <c r="BY24" i="21"/>
  <c r="BZ24" i="21"/>
  <c r="CA24" i="21"/>
  <c r="CB24" i="21"/>
  <c r="CC24" i="21"/>
  <c r="CD24" i="21"/>
  <c r="CE24" i="21"/>
  <c r="CF24" i="21"/>
  <c r="CG24" i="21"/>
  <c r="CH24" i="21"/>
  <c r="CI24" i="21"/>
  <c r="CJ24" i="21"/>
  <c r="CK24" i="21"/>
  <c r="CL24" i="21"/>
  <c r="CM24" i="21"/>
  <c r="CN24" i="21"/>
  <c r="CO24" i="21"/>
  <c r="CP24" i="21"/>
  <c r="CS24" i="21"/>
  <c r="CT24" i="21"/>
  <c r="CU24" i="21"/>
  <c r="CV24" i="21"/>
  <c r="CW24" i="21"/>
  <c r="CX24" i="21"/>
  <c r="CY24" i="21"/>
  <c r="CZ24" i="21"/>
  <c r="DA24" i="21"/>
  <c r="DB24" i="21"/>
  <c r="DC24" i="21"/>
  <c r="DD24" i="21"/>
  <c r="DE24" i="21"/>
  <c r="DF24" i="21"/>
  <c r="DG24" i="21"/>
  <c r="DH24" i="21"/>
  <c r="DI24" i="21"/>
  <c r="DJ24" i="21"/>
  <c r="DK24" i="21"/>
  <c r="DL24" i="21"/>
  <c r="B25" i="21"/>
  <c r="BW25" i="21"/>
  <c r="BX25" i="21"/>
  <c r="BY25" i="21"/>
  <c r="BZ25" i="21"/>
  <c r="CA25" i="21"/>
  <c r="CB25" i="21"/>
  <c r="CC25" i="21"/>
  <c r="CD25" i="21"/>
  <c r="CE25" i="21"/>
  <c r="CF25" i="21"/>
  <c r="CG25" i="21"/>
  <c r="CH25" i="21"/>
  <c r="CI25" i="21"/>
  <c r="CJ25" i="21"/>
  <c r="CK25" i="21"/>
  <c r="CL25" i="21"/>
  <c r="CM25" i="21"/>
  <c r="CN25" i="21"/>
  <c r="CO25" i="21"/>
  <c r="CP25" i="21"/>
  <c r="CS25" i="21"/>
  <c r="CT25" i="21"/>
  <c r="CU25" i="21"/>
  <c r="CV25" i="21"/>
  <c r="CW25" i="21"/>
  <c r="CX25" i="21"/>
  <c r="CY25" i="21"/>
  <c r="CZ25" i="21"/>
  <c r="DA25" i="21"/>
  <c r="DB25" i="21"/>
  <c r="DC25" i="21"/>
  <c r="DD25" i="21"/>
  <c r="DE25" i="21"/>
  <c r="DF25" i="21"/>
  <c r="DG25" i="21"/>
  <c r="DH25" i="21"/>
  <c r="DI25" i="21"/>
  <c r="DJ25" i="21"/>
  <c r="DK25" i="21"/>
  <c r="DL25" i="21"/>
  <c r="B26" i="21"/>
  <c r="BW26" i="21"/>
  <c r="BX26" i="21"/>
  <c r="BY26" i="21"/>
  <c r="BZ26" i="21"/>
  <c r="CA26" i="21"/>
  <c r="CB26" i="21"/>
  <c r="CC26" i="21"/>
  <c r="CD26" i="21"/>
  <c r="CE26" i="21"/>
  <c r="CF26" i="21"/>
  <c r="CG26" i="21"/>
  <c r="CH26" i="21"/>
  <c r="CI26" i="21"/>
  <c r="CJ26" i="21"/>
  <c r="CK26" i="21"/>
  <c r="CL26" i="21"/>
  <c r="CM26" i="21"/>
  <c r="CN26" i="21"/>
  <c r="CO26" i="21"/>
  <c r="CP26" i="21"/>
  <c r="CS26" i="21"/>
  <c r="CT26" i="21"/>
  <c r="CU26" i="21"/>
  <c r="CV26" i="21"/>
  <c r="CW26" i="21"/>
  <c r="CX26" i="21"/>
  <c r="CY26" i="21"/>
  <c r="CZ26" i="21"/>
  <c r="DA26" i="21"/>
  <c r="DB26" i="21"/>
  <c r="DC26" i="21"/>
  <c r="DD26" i="21"/>
  <c r="DE26" i="21"/>
  <c r="DF26" i="21"/>
  <c r="DG26" i="21"/>
  <c r="DH26" i="21"/>
  <c r="DI26" i="21"/>
  <c r="DJ26" i="21"/>
  <c r="DK26" i="21"/>
  <c r="DL26" i="21"/>
  <c r="B27" i="21"/>
  <c r="BW27" i="21"/>
  <c r="BX27" i="21"/>
  <c r="BY27" i="21"/>
  <c r="BZ27" i="21"/>
  <c r="CA27" i="21"/>
  <c r="CB27" i="21"/>
  <c r="CC27" i="21"/>
  <c r="CD27" i="21"/>
  <c r="CE27" i="21"/>
  <c r="CF27" i="21"/>
  <c r="CG27" i="21"/>
  <c r="CH27" i="21"/>
  <c r="CI27" i="21"/>
  <c r="CJ27" i="21"/>
  <c r="CK27" i="21"/>
  <c r="CL27" i="21"/>
  <c r="CM27" i="21"/>
  <c r="CN27" i="21"/>
  <c r="CO27" i="21"/>
  <c r="CP27" i="21"/>
  <c r="CS27" i="21"/>
  <c r="CT27" i="21"/>
  <c r="CU27" i="21"/>
  <c r="CV27" i="21"/>
  <c r="CW27" i="21"/>
  <c r="CX27" i="21"/>
  <c r="CY27" i="21"/>
  <c r="CZ27" i="21"/>
  <c r="DA27" i="21"/>
  <c r="DB27" i="21"/>
  <c r="DC27" i="21"/>
  <c r="DD27" i="21"/>
  <c r="DE27" i="21"/>
  <c r="DF27" i="21"/>
  <c r="DG27" i="21"/>
  <c r="DH27" i="21"/>
  <c r="DI27" i="21"/>
  <c r="DJ27" i="21"/>
  <c r="DK27" i="21"/>
  <c r="DL27" i="21"/>
  <c r="B28" i="21"/>
  <c r="BW28" i="21"/>
  <c r="BX28" i="21"/>
  <c r="BY28" i="21"/>
  <c r="BZ28" i="21"/>
  <c r="CA28" i="21"/>
  <c r="CB28" i="21"/>
  <c r="CC28" i="21"/>
  <c r="CD28" i="21"/>
  <c r="CE28" i="21"/>
  <c r="CF28" i="21"/>
  <c r="CG28" i="21"/>
  <c r="CH28" i="21"/>
  <c r="CI28" i="21"/>
  <c r="CJ28" i="21"/>
  <c r="CK28" i="21"/>
  <c r="CL28" i="21"/>
  <c r="CM28" i="21"/>
  <c r="CN28" i="21"/>
  <c r="CO28" i="21"/>
  <c r="CP28" i="21"/>
  <c r="CS28" i="21"/>
  <c r="CT28" i="21"/>
  <c r="CU28" i="21"/>
  <c r="CV28" i="21"/>
  <c r="CW28" i="21"/>
  <c r="CX28" i="21"/>
  <c r="CY28" i="21"/>
  <c r="CZ28" i="21"/>
  <c r="DA28" i="21"/>
  <c r="DB28" i="21"/>
  <c r="DC28" i="21"/>
  <c r="DD28" i="21"/>
  <c r="DE28" i="21"/>
  <c r="DF28" i="21"/>
  <c r="DG28" i="21"/>
  <c r="DH28" i="21"/>
  <c r="DI28" i="21"/>
  <c r="DJ28" i="21"/>
  <c r="DK28" i="21"/>
  <c r="DL28" i="21"/>
  <c r="B29" i="21"/>
  <c r="BW29" i="21"/>
  <c r="BX29" i="21"/>
  <c r="BY29" i="21"/>
  <c r="BZ29" i="21"/>
  <c r="CA29" i="21"/>
  <c r="CB29" i="21"/>
  <c r="CC29" i="21"/>
  <c r="CD29" i="21"/>
  <c r="CE29" i="21"/>
  <c r="CF29" i="21"/>
  <c r="CG29" i="21"/>
  <c r="CH29" i="21"/>
  <c r="CI29" i="21"/>
  <c r="CJ29" i="21"/>
  <c r="CK29" i="21"/>
  <c r="CL29" i="21"/>
  <c r="CM29" i="21"/>
  <c r="CN29" i="21"/>
  <c r="CO29" i="21"/>
  <c r="CP29" i="21"/>
  <c r="CS29" i="21"/>
  <c r="CT29" i="21"/>
  <c r="CU29" i="21"/>
  <c r="CV29" i="21"/>
  <c r="CW29" i="21"/>
  <c r="CX29" i="21"/>
  <c r="CY29" i="21"/>
  <c r="CZ29" i="21"/>
  <c r="DA29" i="21"/>
  <c r="DB29" i="21"/>
  <c r="DC29" i="21"/>
  <c r="DD29" i="21"/>
  <c r="DE29" i="21"/>
  <c r="DF29" i="21"/>
  <c r="DG29" i="21"/>
  <c r="DH29" i="21"/>
  <c r="DI29" i="21"/>
  <c r="DJ29" i="21"/>
  <c r="DK29" i="21"/>
  <c r="DL29" i="21"/>
  <c r="B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S30" i="21"/>
  <c r="CT30" i="21"/>
  <c r="CU30" i="21"/>
  <c r="CV30" i="21"/>
  <c r="CW30" i="21"/>
  <c r="CX30" i="21"/>
  <c r="CY30" i="21"/>
  <c r="CZ30" i="21"/>
  <c r="DA30" i="21"/>
  <c r="DB30" i="21"/>
  <c r="DC30" i="21"/>
  <c r="DD30" i="21"/>
  <c r="DE30" i="21"/>
  <c r="DF30" i="21"/>
  <c r="DG30" i="21"/>
  <c r="DH30" i="21"/>
  <c r="DI30" i="21"/>
  <c r="DJ30" i="21"/>
  <c r="DK30" i="21"/>
  <c r="DL30" i="21"/>
  <c r="B31" i="21"/>
  <c r="BW31" i="21"/>
  <c r="BX31" i="21"/>
  <c r="BY31" i="21"/>
  <c r="BZ31" i="21"/>
  <c r="CA31" i="21"/>
  <c r="CB31" i="21"/>
  <c r="CC31" i="21"/>
  <c r="CD31" i="21"/>
  <c r="CE31" i="21"/>
  <c r="CF31" i="21"/>
  <c r="CG31" i="21"/>
  <c r="CH31" i="21"/>
  <c r="CI31" i="21"/>
  <c r="CJ31" i="21"/>
  <c r="CK31" i="21"/>
  <c r="CL31" i="21"/>
  <c r="CM31" i="21"/>
  <c r="CN31" i="21"/>
  <c r="CO31" i="21"/>
  <c r="CP31" i="21"/>
  <c r="CS31" i="21"/>
  <c r="CT31" i="21"/>
  <c r="CU31" i="21"/>
  <c r="CV31" i="21"/>
  <c r="CW31" i="21"/>
  <c r="CX31" i="21"/>
  <c r="CY31" i="21"/>
  <c r="CZ31" i="21"/>
  <c r="DA31" i="21"/>
  <c r="DB31" i="21"/>
  <c r="DC31" i="21"/>
  <c r="DD31" i="21"/>
  <c r="DE31" i="21"/>
  <c r="DF31" i="21"/>
  <c r="DG31" i="21"/>
  <c r="DH31" i="21"/>
  <c r="DI31" i="21"/>
  <c r="DJ31" i="21"/>
  <c r="DK31" i="21"/>
  <c r="DL31" i="21"/>
  <c r="B32" i="21"/>
  <c r="BW32" i="21"/>
  <c r="BX32" i="21"/>
  <c r="BY32" i="21"/>
  <c r="BZ32" i="21"/>
  <c r="CA32" i="21"/>
  <c r="CB32" i="21"/>
  <c r="CC32" i="21"/>
  <c r="CD32" i="21"/>
  <c r="CE32" i="21"/>
  <c r="CF32" i="21"/>
  <c r="CG32" i="21"/>
  <c r="CH32" i="21"/>
  <c r="CI32" i="21"/>
  <c r="CJ32" i="21"/>
  <c r="CK32" i="21"/>
  <c r="CL32" i="21"/>
  <c r="CM32" i="21"/>
  <c r="CN32" i="21"/>
  <c r="CO32" i="21"/>
  <c r="CP32" i="21"/>
  <c r="CS32" i="21"/>
  <c r="CT32" i="21"/>
  <c r="CU32" i="21"/>
  <c r="CV32" i="21"/>
  <c r="CW32" i="21"/>
  <c r="CX32" i="21"/>
  <c r="CY32" i="21"/>
  <c r="CZ32" i="21"/>
  <c r="DA32" i="21"/>
  <c r="DB32" i="21"/>
  <c r="DC32" i="21"/>
  <c r="DD32" i="21"/>
  <c r="DE32" i="21"/>
  <c r="DF32" i="21"/>
  <c r="DG32" i="21"/>
  <c r="DH32" i="21"/>
  <c r="DI32" i="21"/>
  <c r="DJ32" i="21"/>
  <c r="DK32" i="21"/>
  <c r="DL32" i="21"/>
  <c r="B33" i="21"/>
  <c r="BW33" i="21"/>
  <c r="BX33" i="21"/>
  <c r="BY33" i="21"/>
  <c r="BZ33" i="21"/>
  <c r="CA33" i="21"/>
  <c r="CB33" i="21"/>
  <c r="CC33" i="21"/>
  <c r="CD33" i="21"/>
  <c r="CE33" i="21"/>
  <c r="CF33" i="21"/>
  <c r="CG33" i="21"/>
  <c r="CH33" i="21"/>
  <c r="CI33" i="21"/>
  <c r="CJ33" i="21"/>
  <c r="CK33" i="21"/>
  <c r="CL33" i="21"/>
  <c r="CM33" i="21"/>
  <c r="CN33" i="21"/>
  <c r="CO33" i="21"/>
  <c r="CP33" i="21"/>
  <c r="CS33" i="21"/>
  <c r="CT33" i="21"/>
  <c r="CU33" i="21"/>
  <c r="CV33" i="21"/>
  <c r="CW33" i="21"/>
  <c r="CX33" i="21"/>
  <c r="CY33" i="21"/>
  <c r="CZ33" i="21"/>
  <c r="DA33" i="21"/>
  <c r="DB33" i="21"/>
  <c r="DC33" i="21"/>
  <c r="DD33" i="21"/>
  <c r="DE33" i="21"/>
  <c r="DF33" i="21"/>
  <c r="DG33" i="21"/>
  <c r="DH33" i="21"/>
  <c r="DI33" i="21"/>
  <c r="DJ33" i="21"/>
  <c r="DK33" i="21"/>
  <c r="DL33" i="21"/>
  <c r="B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S34" i="21"/>
  <c r="CT34" i="21"/>
  <c r="CU34" i="21"/>
  <c r="CV34" i="21"/>
  <c r="CW34" i="21"/>
  <c r="CX34" i="21"/>
  <c r="CY34" i="21"/>
  <c r="CZ34" i="21"/>
  <c r="DA34" i="21"/>
  <c r="DB34" i="21"/>
  <c r="DC34" i="21"/>
  <c r="DD34" i="21"/>
  <c r="DE34" i="21"/>
  <c r="DF34" i="21"/>
  <c r="DG34" i="21"/>
  <c r="DH34" i="21"/>
  <c r="DI34" i="21"/>
  <c r="DJ34" i="21"/>
  <c r="DK34" i="21"/>
  <c r="DL34" i="21"/>
  <c r="B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S35" i="21"/>
  <c r="CT35" i="21"/>
  <c r="CU35" i="21"/>
  <c r="CV35" i="21"/>
  <c r="CW35" i="21"/>
  <c r="CX35" i="21"/>
  <c r="CY35" i="21"/>
  <c r="CZ35" i="21"/>
  <c r="DA35" i="21"/>
  <c r="DB35" i="21"/>
  <c r="DC35" i="21"/>
  <c r="DD35" i="21"/>
  <c r="DE35" i="21"/>
  <c r="DF35" i="21"/>
  <c r="DG35" i="21"/>
  <c r="DH35" i="21"/>
  <c r="DI35" i="21"/>
  <c r="DJ35" i="21"/>
  <c r="DK35" i="21"/>
  <c r="DL35" i="21"/>
  <c r="B36" i="21"/>
  <c r="BW36" i="21"/>
  <c r="BX36" i="21"/>
  <c r="BY36" i="21"/>
  <c r="BZ36" i="21"/>
  <c r="CA36" i="21"/>
  <c r="CB36" i="21"/>
  <c r="CC36" i="21"/>
  <c r="CD36" i="21"/>
  <c r="CE36" i="21"/>
  <c r="CF36" i="21"/>
  <c r="CG36" i="21"/>
  <c r="CH36" i="21"/>
  <c r="CI36" i="21"/>
  <c r="CJ36" i="21"/>
  <c r="CK36" i="21"/>
  <c r="CL36" i="21"/>
  <c r="CM36" i="21"/>
  <c r="CN36" i="21"/>
  <c r="CO36" i="21"/>
  <c r="CP36" i="21"/>
  <c r="CS36" i="21"/>
  <c r="CT36" i="21"/>
  <c r="CU36" i="21"/>
  <c r="CV36" i="21"/>
  <c r="CW36" i="21"/>
  <c r="CX36" i="21"/>
  <c r="CY36" i="21"/>
  <c r="CZ36" i="21"/>
  <c r="DA36" i="21"/>
  <c r="DB36" i="21"/>
  <c r="DC36" i="21"/>
  <c r="DD36" i="21"/>
  <c r="DE36" i="21"/>
  <c r="DF36" i="21"/>
  <c r="DG36" i="21"/>
  <c r="DH36" i="21"/>
  <c r="DI36" i="21"/>
  <c r="DJ36" i="21"/>
  <c r="DK36" i="21"/>
  <c r="DL36" i="21"/>
  <c r="B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S37" i="21"/>
  <c r="CT37" i="21"/>
  <c r="CU37" i="21"/>
  <c r="CV37" i="21"/>
  <c r="CW37" i="21"/>
  <c r="CX37" i="21"/>
  <c r="CY37" i="21"/>
  <c r="CZ37" i="21"/>
  <c r="DA37" i="21"/>
  <c r="DB37" i="21"/>
  <c r="DC37" i="21"/>
  <c r="DD37" i="21"/>
  <c r="DE37" i="21"/>
  <c r="DF37" i="21"/>
  <c r="DG37" i="21"/>
  <c r="DH37" i="21"/>
  <c r="DI37" i="21"/>
  <c r="DJ37" i="21"/>
  <c r="DK37" i="21"/>
  <c r="DL37" i="21"/>
  <c r="B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B39" i="21"/>
  <c r="BW39" i="21"/>
  <c r="BX39" i="21"/>
  <c r="BY39" i="21"/>
  <c r="BZ39" i="21"/>
  <c r="CA39" i="21"/>
  <c r="CB39" i="21"/>
  <c r="CC39" i="21"/>
  <c r="CD39" i="21"/>
  <c r="CE39" i="21"/>
  <c r="CF39" i="21"/>
  <c r="CG39" i="21"/>
  <c r="CH39" i="21"/>
  <c r="CI39" i="21"/>
  <c r="CJ39" i="21"/>
  <c r="CK39" i="21"/>
  <c r="CL39" i="21"/>
  <c r="CM39" i="21"/>
  <c r="CN39" i="21"/>
  <c r="CO39" i="21"/>
  <c r="CP39" i="21"/>
  <c r="CS39" i="21"/>
  <c r="CT39" i="21"/>
  <c r="CU39" i="21"/>
  <c r="CV39" i="21"/>
  <c r="CW39" i="21"/>
  <c r="CX39" i="21"/>
  <c r="CY39" i="21"/>
  <c r="CZ39" i="21"/>
  <c r="DA39" i="21"/>
  <c r="DB39" i="21"/>
  <c r="DC39" i="21"/>
  <c r="DD39" i="21"/>
  <c r="DE39" i="21"/>
  <c r="DF39" i="21"/>
  <c r="DG39" i="21"/>
  <c r="DH39" i="21"/>
  <c r="DI39" i="21"/>
  <c r="DJ39" i="21"/>
  <c r="DK39" i="21"/>
  <c r="DL39" i="21"/>
  <c r="B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S40" i="21"/>
  <c r="CT40" i="21"/>
  <c r="CU40" i="21"/>
  <c r="CV40" i="21"/>
  <c r="CW40" i="21"/>
  <c r="CX40" i="21"/>
  <c r="CY40" i="21"/>
  <c r="CZ40" i="21"/>
  <c r="DA40" i="21"/>
  <c r="DB40" i="21"/>
  <c r="DC40" i="21"/>
  <c r="DD40" i="21"/>
  <c r="DE40" i="21"/>
  <c r="DF40" i="21"/>
  <c r="DG40" i="21"/>
  <c r="DH40" i="21"/>
  <c r="DI40" i="21"/>
  <c r="DJ40" i="21"/>
  <c r="DK40" i="21"/>
  <c r="DL40" i="21"/>
  <c r="B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S41" i="21"/>
  <c r="CT41" i="21"/>
  <c r="CU41" i="21"/>
  <c r="CV41" i="21"/>
  <c r="CW41" i="21"/>
  <c r="CX41" i="21"/>
  <c r="CY41" i="21"/>
  <c r="CZ41" i="21"/>
  <c r="DA41" i="21"/>
  <c r="DB41" i="21"/>
  <c r="DC41" i="21"/>
  <c r="DD41" i="21"/>
  <c r="DE41" i="21"/>
  <c r="DF41" i="21"/>
  <c r="DG41" i="21"/>
  <c r="DH41" i="21"/>
  <c r="DI41" i="21"/>
  <c r="DJ41" i="21"/>
  <c r="DK41" i="21"/>
  <c r="DL41" i="21"/>
  <c r="B42" i="21"/>
  <c r="BW42" i="21"/>
  <c r="BX42" i="21"/>
  <c r="BY42" i="21"/>
  <c r="BZ42" i="21"/>
  <c r="CA42" i="21"/>
  <c r="CB42" i="21"/>
  <c r="CC42" i="21"/>
  <c r="CD42" i="21"/>
  <c r="CE42" i="21"/>
  <c r="CF42" i="21"/>
  <c r="CG42" i="21"/>
  <c r="CH42" i="21"/>
  <c r="CI42" i="21"/>
  <c r="CJ42" i="21"/>
  <c r="CK42" i="21"/>
  <c r="CL42" i="21"/>
  <c r="CM42" i="21"/>
  <c r="CN42" i="21"/>
  <c r="CO42" i="21"/>
  <c r="CP42" i="21"/>
  <c r="CS42" i="21"/>
  <c r="CT42" i="21"/>
  <c r="CU42" i="21"/>
  <c r="CV42" i="21"/>
  <c r="CW42" i="21"/>
  <c r="CX42" i="21"/>
  <c r="CY42" i="21"/>
  <c r="CZ42" i="21"/>
  <c r="DA42" i="21"/>
  <c r="DB42" i="21"/>
  <c r="DC42" i="21"/>
  <c r="DD42" i="21"/>
  <c r="DE42" i="21"/>
  <c r="DF42" i="21"/>
  <c r="DG42" i="21"/>
  <c r="DH42" i="21"/>
  <c r="DI42" i="21"/>
  <c r="DJ42" i="21"/>
  <c r="DK42" i="21"/>
  <c r="DL42" i="21"/>
  <c r="B43" i="21"/>
  <c r="BW43" i="21"/>
  <c r="BX43" i="21"/>
  <c r="BY43" i="21"/>
  <c r="BZ43" i="21"/>
  <c r="CA43" i="21"/>
  <c r="CB43" i="21"/>
  <c r="CC43" i="21"/>
  <c r="CD43" i="21"/>
  <c r="CE43" i="21"/>
  <c r="CF43" i="21"/>
  <c r="CG43" i="21"/>
  <c r="CH43" i="21"/>
  <c r="CI43" i="21"/>
  <c r="CJ43" i="21"/>
  <c r="CK43" i="21"/>
  <c r="CL43" i="21"/>
  <c r="CM43" i="21"/>
  <c r="CN43" i="21"/>
  <c r="CO43" i="21"/>
  <c r="CP43" i="21"/>
  <c r="CS43" i="21"/>
  <c r="CT43" i="21"/>
  <c r="CU43" i="21"/>
  <c r="CV43" i="21"/>
  <c r="CW43" i="21"/>
  <c r="CX43" i="21"/>
  <c r="CY43" i="21"/>
  <c r="CZ43" i="21"/>
  <c r="DA43" i="21"/>
  <c r="DB43" i="21"/>
  <c r="DC43" i="21"/>
  <c r="DD43" i="21"/>
  <c r="DE43" i="21"/>
  <c r="DF43" i="21"/>
  <c r="DG43" i="21"/>
  <c r="DH43" i="21"/>
  <c r="DI43" i="21"/>
  <c r="DJ43" i="21"/>
  <c r="DK43" i="21"/>
  <c r="DL43" i="21"/>
  <c r="B44" i="21"/>
  <c r="BW44" i="21"/>
  <c r="BX44" i="21"/>
  <c r="BY44" i="21"/>
  <c r="BZ44" i="21"/>
  <c r="CA44" i="21"/>
  <c r="CB44" i="21"/>
  <c r="CC44" i="21"/>
  <c r="CD44" i="21"/>
  <c r="CE44" i="21"/>
  <c r="CF44" i="21"/>
  <c r="CG44" i="21"/>
  <c r="CH44" i="21"/>
  <c r="CI44" i="21"/>
  <c r="CJ44" i="21"/>
  <c r="CK44" i="21"/>
  <c r="CL44" i="21"/>
  <c r="CM44" i="21"/>
  <c r="CN44" i="21"/>
  <c r="CO44" i="21"/>
  <c r="CP44" i="21"/>
  <c r="CS44" i="21"/>
  <c r="CT44" i="21"/>
  <c r="CU44" i="21"/>
  <c r="CV44" i="21"/>
  <c r="CW44" i="21"/>
  <c r="CX44" i="21"/>
  <c r="CY44" i="21"/>
  <c r="CZ44" i="21"/>
  <c r="DA44" i="21"/>
  <c r="DB44" i="21"/>
  <c r="DC44" i="21"/>
  <c r="DD44" i="21"/>
  <c r="DE44" i="21"/>
  <c r="DF44" i="21"/>
  <c r="DG44" i="21"/>
  <c r="DH44" i="21"/>
  <c r="DI44" i="21"/>
  <c r="DJ44" i="21"/>
  <c r="DK44" i="21"/>
  <c r="DL44" i="21"/>
  <c r="B45" i="21"/>
  <c r="BW45" i="21"/>
  <c r="BX45" i="21"/>
  <c r="BY45" i="21"/>
  <c r="BZ45" i="21"/>
  <c r="CA45" i="21"/>
  <c r="CB45" i="21"/>
  <c r="CC45" i="21"/>
  <c r="CD45" i="21"/>
  <c r="CE45" i="21"/>
  <c r="CF45" i="21"/>
  <c r="CG45" i="21"/>
  <c r="CH45" i="21"/>
  <c r="CI45" i="21"/>
  <c r="CJ45" i="21"/>
  <c r="CK45" i="21"/>
  <c r="CL45" i="21"/>
  <c r="CM45" i="21"/>
  <c r="CN45" i="21"/>
  <c r="CO45" i="21"/>
  <c r="CP45" i="21"/>
  <c r="CS45" i="21"/>
  <c r="CT45" i="21"/>
  <c r="CU45" i="21"/>
  <c r="CV45" i="21"/>
  <c r="CW45" i="21"/>
  <c r="CX45" i="21"/>
  <c r="CY45" i="21"/>
  <c r="CZ45" i="21"/>
  <c r="DA45" i="21"/>
  <c r="DB45" i="21"/>
  <c r="DC45" i="21"/>
  <c r="DD45" i="21"/>
  <c r="DE45" i="21"/>
  <c r="DF45" i="21"/>
  <c r="DG45" i="21"/>
  <c r="DH45" i="21"/>
  <c r="DI45" i="21"/>
  <c r="DJ45" i="21"/>
  <c r="DK45" i="21"/>
  <c r="DL45" i="21"/>
  <c r="B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S46" i="21"/>
  <c r="CT46" i="21"/>
  <c r="CU46" i="21"/>
  <c r="CV46" i="21"/>
  <c r="CW46" i="21"/>
  <c r="CX46" i="21"/>
  <c r="CY46" i="21"/>
  <c r="CZ46" i="21"/>
  <c r="DA46" i="21"/>
  <c r="DB46" i="21"/>
  <c r="DC46" i="21"/>
  <c r="DD46" i="21"/>
  <c r="DE46" i="21"/>
  <c r="DF46" i="21"/>
  <c r="DG46" i="21"/>
  <c r="DH46" i="21"/>
  <c r="DI46" i="21"/>
  <c r="DJ46" i="21"/>
  <c r="DK46" i="21"/>
  <c r="DL46" i="21"/>
  <c r="B47" i="21"/>
  <c r="BW47" i="21"/>
  <c r="BX47" i="21"/>
  <c r="BY47" i="21"/>
  <c r="BZ47" i="21"/>
  <c r="CA47" i="21"/>
  <c r="CB47" i="21"/>
  <c r="CC47" i="21"/>
  <c r="CD47" i="21"/>
  <c r="CE47" i="21"/>
  <c r="CF47" i="21"/>
  <c r="CG47" i="21"/>
  <c r="CH47" i="21"/>
  <c r="CI47" i="21"/>
  <c r="CJ47" i="21"/>
  <c r="CK47" i="21"/>
  <c r="CL47" i="21"/>
  <c r="CM47" i="21"/>
  <c r="CN47" i="21"/>
  <c r="CO47" i="21"/>
  <c r="CP47" i="21"/>
  <c r="CS47" i="21"/>
  <c r="CT47" i="21"/>
  <c r="CU47" i="21"/>
  <c r="CV47" i="21"/>
  <c r="CW47" i="21"/>
  <c r="CX47" i="21"/>
  <c r="CY47" i="21"/>
  <c r="CZ47" i="21"/>
  <c r="DA47" i="21"/>
  <c r="DB47" i="21"/>
  <c r="DC47" i="21"/>
  <c r="DD47" i="21"/>
  <c r="DE47" i="21"/>
  <c r="DF47" i="21"/>
  <c r="DG47" i="21"/>
  <c r="DH47" i="21"/>
  <c r="DI47" i="21"/>
  <c r="DJ47" i="21"/>
  <c r="DK47" i="21"/>
  <c r="DL47" i="21"/>
  <c r="B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S48" i="21"/>
  <c r="CT48" i="21"/>
  <c r="CU48" i="21"/>
  <c r="CV48" i="21"/>
  <c r="CW48" i="21"/>
  <c r="CX48" i="21"/>
  <c r="CY48" i="21"/>
  <c r="CZ48" i="21"/>
  <c r="DA48" i="21"/>
  <c r="DB48" i="21"/>
  <c r="DC48" i="21"/>
  <c r="DD48" i="21"/>
  <c r="DE48" i="21"/>
  <c r="DF48" i="21"/>
  <c r="DG48" i="21"/>
  <c r="DH48" i="21"/>
  <c r="DI48" i="21"/>
  <c r="DJ48" i="21"/>
  <c r="DK48" i="21"/>
  <c r="DL48" i="21"/>
  <c r="B49" i="21"/>
  <c r="BW49" i="21"/>
  <c r="BX49" i="21"/>
  <c r="BY49" i="21"/>
  <c r="BZ49" i="21"/>
  <c r="CA49" i="21"/>
  <c r="CB49" i="21"/>
  <c r="CC49" i="21"/>
  <c r="CD49" i="21"/>
  <c r="CE49" i="21"/>
  <c r="CF49" i="21"/>
  <c r="CG49" i="21"/>
  <c r="CH49" i="21"/>
  <c r="CI49" i="21"/>
  <c r="CJ49" i="21"/>
  <c r="CK49" i="21"/>
  <c r="CL49" i="21"/>
  <c r="CM49" i="21"/>
  <c r="CN49" i="21"/>
  <c r="CO49" i="21"/>
  <c r="CP49" i="21"/>
  <c r="CS49" i="21"/>
  <c r="CT49" i="21"/>
  <c r="CU49" i="21"/>
  <c r="CV49" i="21"/>
  <c r="CW49" i="21"/>
  <c r="CX49" i="21"/>
  <c r="CY49" i="21"/>
  <c r="CZ49" i="21"/>
  <c r="DA49" i="21"/>
  <c r="DB49" i="21"/>
  <c r="DC49" i="21"/>
  <c r="DD49" i="21"/>
  <c r="DE49" i="21"/>
  <c r="DF49" i="21"/>
  <c r="DG49" i="21"/>
  <c r="DH49" i="21"/>
  <c r="DI49" i="21"/>
  <c r="DJ49" i="21"/>
  <c r="DK49" i="21"/>
  <c r="DL49" i="21"/>
  <c r="B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S50" i="21"/>
  <c r="CT50" i="21"/>
  <c r="CU50" i="21"/>
  <c r="CV50" i="21"/>
  <c r="CW50" i="21"/>
  <c r="CX50" i="21"/>
  <c r="CY50" i="21"/>
  <c r="CZ50" i="21"/>
  <c r="DA50" i="21"/>
  <c r="DB50" i="21"/>
  <c r="DC50" i="21"/>
  <c r="DD50" i="21"/>
  <c r="DE50" i="21"/>
  <c r="DF50" i="21"/>
  <c r="DG50" i="21"/>
  <c r="DH50" i="21"/>
  <c r="DI50" i="21"/>
  <c r="DJ50" i="21"/>
  <c r="DK50" i="21"/>
  <c r="DL50" i="21"/>
  <c r="B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S51" i="21"/>
  <c r="CT51" i="21"/>
  <c r="CU51" i="21"/>
  <c r="CV51" i="21"/>
  <c r="CW51" i="21"/>
  <c r="CX51" i="21"/>
  <c r="CY51" i="21"/>
  <c r="CZ51" i="21"/>
  <c r="DA51" i="21"/>
  <c r="DB51" i="21"/>
  <c r="DC51" i="21"/>
  <c r="DD51" i="21"/>
  <c r="DE51" i="21"/>
  <c r="DF51" i="21"/>
  <c r="DG51" i="21"/>
  <c r="DH51" i="21"/>
  <c r="DI51" i="21"/>
  <c r="DJ51" i="21"/>
  <c r="DK51" i="21"/>
  <c r="DL51" i="21"/>
  <c r="B52" i="21"/>
  <c r="BW52" i="21"/>
  <c r="BX52" i="21"/>
  <c r="BY52" i="21"/>
  <c r="BZ52" i="21"/>
  <c r="CA52" i="21"/>
  <c r="CB52" i="21"/>
  <c r="CC52" i="21"/>
  <c r="CD52" i="21"/>
  <c r="CE52" i="21"/>
  <c r="CF52" i="21"/>
  <c r="CG52" i="21"/>
  <c r="CH52" i="21"/>
  <c r="CI52" i="21"/>
  <c r="CJ52" i="21"/>
  <c r="CK52" i="21"/>
  <c r="CL52" i="21"/>
  <c r="CM52" i="21"/>
  <c r="CN52" i="21"/>
  <c r="CO52" i="21"/>
  <c r="CP52" i="21"/>
  <c r="CS52" i="21"/>
  <c r="CT52" i="21"/>
  <c r="CU52" i="21"/>
  <c r="CV52" i="21"/>
  <c r="CW52" i="21"/>
  <c r="CX52" i="21"/>
  <c r="CY52" i="21"/>
  <c r="CZ52" i="21"/>
  <c r="DA52" i="21"/>
  <c r="DB52" i="21"/>
  <c r="DC52" i="21"/>
  <c r="DD52" i="21"/>
  <c r="DE52" i="21"/>
  <c r="DF52" i="21"/>
  <c r="DG52" i="21"/>
  <c r="DH52" i="21"/>
  <c r="DI52" i="21"/>
  <c r="DJ52" i="21"/>
  <c r="DK52" i="21"/>
  <c r="DL52" i="21"/>
  <c r="B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S53" i="21"/>
  <c r="CT53" i="21"/>
  <c r="CU53" i="21"/>
  <c r="CV53" i="21"/>
  <c r="CW53" i="21"/>
  <c r="CX53" i="21"/>
  <c r="CY53" i="21"/>
  <c r="CZ53" i="21"/>
  <c r="DA53" i="21"/>
  <c r="DB53" i="21"/>
  <c r="DC53" i="21"/>
  <c r="DD53" i="21"/>
  <c r="DE53" i="21"/>
  <c r="DF53" i="21"/>
  <c r="DG53" i="21"/>
  <c r="DH53" i="21"/>
  <c r="DI53" i="21"/>
  <c r="DJ53" i="21"/>
  <c r="DK53" i="21"/>
  <c r="DL53" i="21"/>
  <c r="B54" i="21"/>
  <c r="BW54" i="21"/>
  <c r="BX54" i="21"/>
  <c r="BY54" i="21"/>
  <c r="BZ54" i="21"/>
  <c r="CA54" i="21"/>
  <c r="CB54" i="21"/>
  <c r="CC54" i="21"/>
  <c r="CD54" i="21"/>
  <c r="CE54" i="21"/>
  <c r="CF54" i="21"/>
  <c r="CG54" i="21"/>
  <c r="CH54" i="21"/>
  <c r="CI54" i="21"/>
  <c r="CJ54" i="21"/>
  <c r="CK54" i="21"/>
  <c r="CL54" i="21"/>
  <c r="CM54" i="21"/>
  <c r="CN54" i="21"/>
  <c r="CO54" i="21"/>
  <c r="CP54" i="21"/>
  <c r="CS54" i="21"/>
  <c r="CT54" i="21"/>
  <c r="CU54" i="21"/>
  <c r="CV54" i="21"/>
  <c r="CW54" i="21"/>
  <c r="CX54" i="21"/>
  <c r="CY54" i="21"/>
  <c r="CZ54" i="21"/>
  <c r="DA54" i="21"/>
  <c r="DB54" i="21"/>
  <c r="DC54" i="21"/>
  <c r="DD54" i="21"/>
  <c r="DE54" i="21"/>
  <c r="DF54" i="21"/>
  <c r="DG54" i="21"/>
  <c r="DH54" i="21"/>
  <c r="DI54" i="21"/>
  <c r="DJ54" i="21"/>
  <c r="DK54" i="21"/>
  <c r="DL54" i="21"/>
  <c r="B55" i="21"/>
  <c r="BW55" i="21"/>
  <c r="BX55" i="21"/>
  <c r="BY55" i="21"/>
  <c r="BZ55" i="21"/>
  <c r="CA55" i="21"/>
  <c r="CB55" i="21"/>
  <c r="CC55" i="21"/>
  <c r="CD55" i="21"/>
  <c r="CE55" i="21"/>
  <c r="CF55" i="21"/>
  <c r="CG55" i="21"/>
  <c r="CH55" i="21"/>
  <c r="CI55" i="21"/>
  <c r="CJ55" i="21"/>
  <c r="CK55" i="21"/>
  <c r="CL55" i="21"/>
  <c r="CM55" i="21"/>
  <c r="CN55" i="21"/>
  <c r="CO55" i="21"/>
  <c r="CP55" i="21"/>
  <c r="CS55" i="21"/>
  <c r="CT55" i="21"/>
  <c r="CU55" i="21"/>
  <c r="CV55" i="21"/>
  <c r="CW55" i="21"/>
  <c r="CX55" i="21"/>
  <c r="CY55" i="21"/>
  <c r="CZ55" i="21"/>
  <c r="DA55" i="21"/>
  <c r="DB55" i="21"/>
  <c r="DC55" i="21"/>
  <c r="DD55" i="21"/>
  <c r="DE55" i="21"/>
  <c r="DF55" i="21"/>
  <c r="DG55" i="21"/>
  <c r="DH55" i="21"/>
  <c r="DI55" i="21"/>
  <c r="DJ55" i="21"/>
  <c r="DK55" i="21"/>
  <c r="DL55" i="21"/>
  <c r="B56" i="21"/>
  <c r="BW56" i="21"/>
  <c r="BX56" i="21"/>
  <c r="BY56" i="21"/>
  <c r="BZ56" i="21"/>
  <c r="CA56" i="21"/>
  <c r="CB56" i="21"/>
  <c r="CC56" i="21"/>
  <c r="CD56" i="21"/>
  <c r="CE56" i="21"/>
  <c r="CF56" i="21"/>
  <c r="CG56" i="21"/>
  <c r="CH56" i="21"/>
  <c r="CI56" i="21"/>
  <c r="CJ56" i="21"/>
  <c r="CK56" i="21"/>
  <c r="CL56" i="21"/>
  <c r="CM56" i="21"/>
  <c r="CN56" i="21"/>
  <c r="CO56" i="21"/>
  <c r="CP56" i="21"/>
  <c r="CS56" i="21"/>
  <c r="CT56" i="21"/>
  <c r="CU56" i="21"/>
  <c r="CV56" i="21"/>
  <c r="CW56" i="21"/>
  <c r="CX56" i="21"/>
  <c r="CY56" i="21"/>
  <c r="CZ56" i="21"/>
  <c r="DA56" i="21"/>
  <c r="DB56" i="21"/>
  <c r="DC56" i="21"/>
  <c r="DD56" i="21"/>
  <c r="DE56" i="21"/>
  <c r="DF56" i="21"/>
  <c r="DG56" i="21"/>
  <c r="DH56" i="21"/>
  <c r="DI56" i="21"/>
  <c r="DJ56" i="21"/>
  <c r="DK56" i="21"/>
  <c r="DL56" i="21"/>
  <c r="B57" i="21"/>
  <c r="BW57" i="21"/>
  <c r="BX57" i="21"/>
  <c r="BY57" i="21"/>
  <c r="BZ57" i="21"/>
  <c r="CA57" i="21"/>
  <c r="CB57" i="21"/>
  <c r="CC57" i="21"/>
  <c r="CD57" i="21"/>
  <c r="CE57" i="21"/>
  <c r="CF57" i="21"/>
  <c r="CG57" i="21"/>
  <c r="CH57" i="21"/>
  <c r="CI57" i="21"/>
  <c r="CJ57" i="21"/>
  <c r="CK57" i="21"/>
  <c r="CL57" i="21"/>
  <c r="CM57" i="21"/>
  <c r="CN57" i="21"/>
  <c r="CO57" i="21"/>
  <c r="CP57" i="21"/>
  <c r="CS57" i="21"/>
  <c r="CT57" i="21"/>
  <c r="CU57" i="21"/>
  <c r="CV57" i="21"/>
  <c r="CW57" i="21"/>
  <c r="CX57" i="21"/>
  <c r="CY57" i="21"/>
  <c r="CZ57" i="21"/>
  <c r="DA57" i="21"/>
  <c r="DB57" i="21"/>
  <c r="DC57" i="21"/>
  <c r="DD57" i="21"/>
  <c r="DE57" i="21"/>
  <c r="DF57" i="21"/>
  <c r="DG57" i="21"/>
  <c r="DH57" i="21"/>
  <c r="DI57" i="21"/>
  <c r="DJ57" i="21"/>
  <c r="DK57" i="21"/>
  <c r="DL57" i="21"/>
  <c r="B58" i="21"/>
  <c r="BW58" i="21"/>
  <c r="BX58" i="21"/>
  <c r="BY58" i="21"/>
  <c r="BZ58" i="21"/>
  <c r="CA58" i="21"/>
  <c r="CB58" i="21"/>
  <c r="CC58" i="21"/>
  <c r="CD58" i="21"/>
  <c r="CE58" i="21"/>
  <c r="CF58" i="21"/>
  <c r="CG58" i="21"/>
  <c r="CH58" i="21"/>
  <c r="CI58" i="21"/>
  <c r="CJ58" i="21"/>
  <c r="CK58" i="21"/>
  <c r="CL58" i="21"/>
  <c r="CM58" i="21"/>
  <c r="CN58" i="21"/>
  <c r="CO58" i="21"/>
  <c r="CP58" i="21"/>
  <c r="CS58" i="21"/>
  <c r="CT58" i="21"/>
  <c r="CU58" i="21"/>
  <c r="CV58" i="21"/>
  <c r="CW58" i="21"/>
  <c r="CX58" i="21"/>
  <c r="CY58" i="21"/>
  <c r="CZ58" i="21"/>
  <c r="DA58" i="21"/>
  <c r="DB58" i="21"/>
  <c r="DC58" i="21"/>
  <c r="DD58" i="21"/>
  <c r="DE58" i="21"/>
  <c r="DF58" i="21"/>
  <c r="DG58" i="21"/>
  <c r="DH58" i="21"/>
  <c r="DI58" i="21"/>
  <c r="DJ58" i="21"/>
  <c r="DK58" i="21"/>
  <c r="DL58" i="21"/>
  <c r="B59" i="21"/>
  <c r="BW59" i="21"/>
  <c r="BX59" i="21"/>
  <c r="BY59" i="21"/>
  <c r="BZ59" i="21"/>
  <c r="CA59" i="21"/>
  <c r="CB59" i="21"/>
  <c r="CC59" i="21"/>
  <c r="CD59" i="21"/>
  <c r="CE59" i="21"/>
  <c r="CF59" i="21"/>
  <c r="CG59" i="21"/>
  <c r="CH59" i="21"/>
  <c r="CI59" i="21"/>
  <c r="CJ59" i="21"/>
  <c r="CK59" i="21"/>
  <c r="CL59" i="21"/>
  <c r="CM59" i="21"/>
  <c r="CN59" i="21"/>
  <c r="CO59" i="21"/>
  <c r="CP59" i="21"/>
  <c r="CS59" i="21"/>
  <c r="CT59" i="21"/>
  <c r="CU59" i="21"/>
  <c r="CV59" i="21"/>
  <c r="CW59" i="21"/>
  <c r="CX59" i="21"/>
  <c r="CY59" i="21"/>
  <c r="CZ59" i="21"/>
  <c r="DA59" i="21"/>
  <c r="DB59" i="21"/>
  <c r="DC59" i="21"/>
  <c r="DD59" i="21"/>
  <c r="DE59" i="21"/>
  <c r="DF59" i="21"/>
  <c r="DG59" i="21"/>
  <c r="DH59" i="21"/>
  <c r="DI59" i="21"/>
  <c r="DJ59" i="21"/>
  <c r="DK59" i="21"/>
  <c r="DL59" i="21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AH9" i="19"/>
  <c r="AI9" i="19"/>
  <c r="AJ9" i="19"/>
  <c r="AK9" i="19"/>
  <c r="AL9" i="19"/>
  <c r="AM9" i="19"/>
  <c r="AN9" i="19"/>
  <c r="AO9" i="19"/>
  <c r="AP9" i="19"/>
  <c r="AQ9" i="19"/>
  <c r="BC9" i="19"/>
  <c r="BD9" i="19"/>
  <c r="BE9" i="19"/>
  <c r="BF9" i="19"/>
  <c r="BG9" i="19"/>
  <c r="BH9" i="19"/>
  <c r="BI9" i="19"/>
  <c r="BJ9" i="19"/>
  <c r="BK9" i="19"/>
  <c r="BL9" i="19"/>
  <c r="DN9" i="19"/>
  <c r="DN10" i="19" s="1"/>
  <c r="AH10" i="19" s="1"/>
  <c r="DO9" i="19"/>
  <c r="DO10" i="19" s="1"/>
  <c r="DP9" i="19"/>
  <c r="DP10" i="19" s="1"/>
  <c r="DQ9" i="19"/>
  <c r="DQ10" i="19" s="1"/>
  <c r="DR9" i="19"/>
  <c r="DR10" i="19" s="1"/>
  <c r="DS9" i="19"/>
  <c r="DS10" i="19" s="1"/>
  <c r="DT9" i="19"/>
  <c r="DT10" i="19"/>
  <c r="AN10" i="19" s="1"/>
  <c r="DU9" i="19"/>
  <c r="DV9" i="19"/>
  <c r="DV10" i="19" s="1"/>
  <c r="DW9" i="19"/>
  <c r="DW10" i="19" s="1"/>
  <c r="AQ10" i="19" s="1"/>
  <c r="DY9" i="19"/>
  <c r="DY10" i="19" s="1"/>
  <c r="BC10" i="19" s="1"/>
  <c r="DZ9" i="19"/>
  <c r="DZ10" i="19" s="1"/>
  <c r="EA9" i="19"/>
  <c r="EA10" i="19"/>
  <c r="BE10" i="19" s="1"/>
  <c r="EB9" i="19"/>
  <c r="EB10" i="19" s="1"/>
  <c r="BF10" i="19" s="1"/>
  <c r="EC9" i="19"/>
  <c r="EC10" i="19"/>
  <c r="BG10" i="19" s="1"/>
  <c r="ED9" i="19"/>
  <c r="EE9" i="19"/>
  <c r="EE10" i="19"/>
  <c r="EE11" i="19" s="1"/>
  <c r="BI10" i="19"/>
  <c r="EF9" i="19"/>
  <c r="EG9" i="19"/>
  <c r="EG10" i="19"/>
  <c r="BK10" i="19" s="1"/>
  <c r="EH9" i="19"/>
  <c r="EJ9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DE10" i="19"/>
  <c r="DF10" i="19"/>
  <c r="DG10" i="19"/>
  <c r="DH10" i="19"/>
  <c r="DI10" i="19"/>
  <c r="DJ10" i="19"/>
  <c r="DK10" i="19"/>
  <c r="DL10" i="19"/>
  <c r="DU10" i="19"/>
  <c r="ED10" i="19"/>
  <c r="ED11" i="19" s="1"/>
  <c r="ED12" i="19" s="1"/>
  <c r="ED13" i="19" s="1"/>
  <c r="ED14" i="19" s="1"/>
  <c r="BH14" i="19" s="1"/>
  <c r="EF10" i="19"/>
  <c r="BJ10" i="19" s="1"/>
  <c r="EH10" i="19"/>
  <c r="EH11" i="19" s="1"/>
  <c r="BL11" i="19" s="1"/>
  <c r="EJ10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DE11" i="19"/>
  <c r="DF11" i="19"/>
  <c r="DG11" i="19"/>
  <c r="DH11" i="19"/>
  <c r="DI11" i="19"/>
  <c r="DJ11" i="19"/>
  <c r="DK11" i="19"/>
  <c r="DL11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DE12" i="19"/>
  <c r="DF12" i="19"/>
  <c r="DG12" i="19"/>
  <c r="DH12" i="19"/>
  <c r="DI12" i="19"/>
  <c r="DJ12" i="19"/>
  <c r="DK12" i="19"/>
  <c r="DL12" i="19"/>
  <c r="BH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DE13" i="19"/>
  <c r="DF13" i="19"/>
  <c r="DG13" i="19"/>
  <c r="DH13" i="19"/>
  <c r="DI13" i="19"/>
  <c r="DJ13" i="19"/>
  <c r="DK13" i="19"/>
  <c r="DL13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DE14" i="19"/>
  <c r="DF14" i="19"/>
  <c r="DG14" i="19"/>
  <c r="DH14" i="19"/>
  <c r="DI14" i="19"/>
  <c r="DJ14" i="19"/>
  <c r="DK14" i="19"/>
  <c r="DL14" i="19"/>
  <c r="ED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DE15" i="19"/>
  <c r="DF15" i="19"/>
  <c r="DG15" i="19"/>
  <c r="DH15" i="19"/>
  <c r="DI15" i="19"/>
  <c r="DJ15" i="19"/>
  <c r="DK15" i="19"/>
  <c r="DL15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DE16" i="19"/>
  <c r="DF16" i="19"/>
  <c r="DG16" i="19"/>
  <c r="DH16" i="19"/>
  <c r="DI16" i="19"/>
  <c r="DJ16" i="19"/>
  <c r="DK16" i="19"/>
  <c r="DL16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DE17" i="19"/>
  <c r="DF17" i="19"/>
  <c r="DG17" i="19"/>
  <c r="DH17" i="19"/>
  <c r="DI17" i="19"/>
  <c r="DJ17" i="19"/>
  <c r="DK17" i="19"/>
  <c r="DL17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DE18" i="19"/>
  <c r="DF18" i="19"/>
  <c r="DG18" i="19"/>
  <c r="DH18" i="19"/>
  <c r="DI18" i="19"/>
  <c r="DJ18" i="19"/>
  <c r="DK18" i="19"/>
  <c r="DL18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DE19" i="19"/>
  <c r="DF19" i="19"/>
  <c r="DG19" i="19"/>
  <c r="DH19" i="19"/>
  <c r="DI19" i="19"/>
  <c r="DJ19" i="19"/>
  <c r="DK19" i="19"/>
  <c r="DL19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DE20" i="19"/>
  <c r="DF20" i="19"/>
  <c r="DG20" i="19"/>
  <c r="DH20" i="19"/>
  <c r="DI20" i="19"/>
  <c r="DJ20" i="19"/>
  <c r="DK20" i="19"/>
  <c r="DL20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DE21" i="19"/>
  <c r="DF21" i="19"/>
  <c r="DG21" i="19"/>
  <c r="DH21" i="19"/>
  <c r="DI21" i="19"/>
  <c r="DJ21" i="19"/>
  <c r="DK21" i="19"/>
  <c r="DL21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DE22" i="19"/>
  <c r="DF22" i="19"/>
  <c r="DG22" i="19"/>
  <c r="DH22" i="19"/>
  <c r="DI22" i="19"/>
  <c r="DJ22" i="19"/>
  <c r="DK22" i="19"/>
  <c r="DL22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DE23" i="19"/>
  <c r="DF23" i="19"/>
  <c r="DG23" i="19"/>
  <c r="DH23" i="19"/>
  <c r="DI23" i="19"/>
  <c r="DJ23" i="19"/>
  <c r="DK23" i="19"/>
  <c r="DL23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DE24" i="19"/>
  <c r="DF24" i="19"/>
  <c r="DG24" i="19"/>
  <c r="DH24" i="19"/>
  <c r="DI24" i="19"/>
  <c r="DJ24" i="19"/>
  <c r="DK24" i="19"/>
  <c r="DL24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DE25" i="19"/>
  <c r="DF25" i="19"/>
  <c r="DG25" i="19"/>
  <c r="DH25" i="19"/>
  <c r="DI25" i="19"/>
  <c r="DJ25" i="19"/>
  <c r="DK25" i="19"/>
  <c r="DL25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DE26" i="19"/>
  <c r="DF26" i="19"/>
  <c r="DG26" i="19"/>
  <c r="DH26" i="19"/>
  <c r="DI26" i="19"/>
  <c r="DJ26" i="19"/>
  <c r="DK26" i="19"/>
  <c r="DL26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DE27" i="19"/>
  <c r="DF27" i="19"/>
  <c r="DG27" i="19"/>
  <c r="DH27" i="19"/>
  <c r="DI27" i="19"/>
  <c r="DJ27" i="19"/>
  <c r="DK27" i="19"/>
  <c r="DL27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DE28" i="19"/>
  <c r="DF28" i="19"/>
  <c r="DG28" i="19"/>
  <c r="DH28" i="19"/>
  <c r="DI28" i="19"/>
  <c r="DJ28" i="19"/>
  <c r="DK28" i="19"/>
  <c r="DL28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DE29" i="19"/>
  <c r="DF29" i="19"/>
  <c r="DG29" i="19"/>
  <c r="DH29" i="19"/>
  <c r="DI29" i="19"/>
  <c r="DJ29" i="19"/>
  <c r="DK29" i="19"/>
  <c r="DL29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DE30" i="19"/>
  <c r="DF30" i="19"/>
  <c r="DG30" i="19"/>
  <c r="DH30" i="19"/>
  <c r="DI30" i="19"/>
  <c r="DJ30" i="19"/>
  <c r="DK30" i="19"/>
  <c r="DL30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DE31" i="19"/>
  <c r="DF31" i="19"/>
  <c r="DG31" i="19"/>
  <c r="DH31" i="19"/>
  <c r="DI31" i="19"/>
  <c r="DJ31" i="19"/>
  <c r="DK31" i="19"/>
  <c r="DL31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DE32" i="19"/>
  <c r="DF32" i="19"/>
  <c r="DG32" i="19"/>
  <c r="DH32" i="19"/>
  <c r="DI32" i="19"/>
  <c r="DJ32" i="19"/>
  <c r="DK32" i="19"/>
  <c r="DL32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DE33" i="19"/>
  <c r="DF33" i="19"/>
  <c r="DG33" i="19"/>
  <c r="DH33" i="19"/>
  <c r="DI33" i="19"/>
  <c r="DJ33" i="19"/>
  <c r="DK33" i="19"/>
  <c r="DL33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DE34" i="19"/>
  <c r="DF34" i="19"/>
  <c r="DG34" i="19"/>
  <c r="DH34" i="19"/>
  <c r="DI34" i="19"/>
  <c r="DJ34" i="19"/>
  <c r="DK34" i="19"/>
  <c r="DL34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DE35" i="19"/>
  <c r="DF35" i="19"/>
  <c r="DG35" i="19"/>
  <c r="DH35" i="19"/>
  <c r="DI35" i="19"/>
  <c r="DJ35" i="19"/>
  <c r="DK35" i="19"/>
  <c r="DL35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DE36" i="19"/>
  <c r="DF36" i="19"/>
  <c r="DG36" i="19"/>
  <c r="DH36" i="19"/>
  <c r="DI36" i="19"/>
  <c r="DJ36" i="19"/>
  <c r="DK36" i="19"/>
  <c r="DL36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DE37" i="19"/>
  <c r="DF37" i="19"/>
  <c r="DG37" i="19"/>
  <c r="DH37" i="19"/>
  <c r="DI37" i="19"/>
  <c r="DJ37" i="19"/>
  <c r="DK37" i="19"/>
  <c r="DL37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DE38" i="19"/>
  <c r="DF38" i="19"/>
  <c r="DG38" i="19"/>
  <c r="DH38" i="19"/>
  <c r="DI38" i="19"/>
  <c r="DJ38" i="19"/>
  <c r="DK38" i="19"/>
  <c r="DL38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DE39" i="19"/>
  <c r="DF39" i="19"/>
  <c r="DG39" i="19"/>
  <c r="DH39" i="19"/>
  <c r="DI39" i="19"/>
  <c r="DJ39" i="19"/>
  <c r="DK39" i="19"/>
  <c r="DL39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DE40" i="19"/>
  <c r="DF40" i="19"/>
  <c r="DG40" i="19"/>
  <c r="DH40" i="19"/>
  <c r="DI40" i="19"/>
  <c r="DJ40" i="19"/>
  <c r="DK40" i="19"/>
  <c r="DL40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DE41" i="19"/>
  <c r="DF41" i="19"/>
  <c r="DG41" i="19"/>
  <c r="DH41" i="19"/>
  <c r="DI41" i="19"/>
  <c r="DJ41" i="19"/>
  <c r="DK41" i="19"/>
  <c r="DL41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DE42" i="19"/>
  <c r="DF42" i="19"/>
  <c r="DG42" i="19"/>
  <c r="DH42" i="19"/>
  <c r="DI42" i="19"/>
  <c r="DJ42" i="19"/>
  <c r="DK42" i="19"/>
  <c r="DL42" i="19"/>
  <c r="B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DE43" i="19"/>
  <c r="DF43" i="19"/>
  <c r="DG43" i="19"/>
  <c r="DH43" i="19"/>
  <c r="DI43" i="19"/>
  <c r="DJ43" i="19"/>
  <c r="DK43" i="19"/>
  <c r="DL43" i="19"/>
  <c r="B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DE44" i="19"/>
  <c r="DF44" i="19"/>
  <c r="DG44" i="19"/>
  <c r="DH44" i="19"/>
  <c r="DI44" i="19"/>
  <c r="DJ44" i="19"/>
  <c r="DK44" i="19"/>
  <c r="DL44" i="19"/>
  <c r="B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DE45" i="19"/>
  <c r="DF45" i="19"/>
  <c r="DG45" i="19"/>
  <c r="DH45" i="19"/>
  <c r="DI45" i="19"/>
  <c r="DJ45" i="19"/>
  <c r="DK45" i="19"/>
  <c r="DL45" i="19"/>
  <c r="B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DE46" i="19"/>
  <c r="DF46" i="19"/>
  <c r="DG46" i="19"/>
  <c r="DH46" i="19"/>
  <c r="DI46" i="19"/>
  <c r="DJ46" i="19"/>
  <c r="DK46" i="19"/>
  <c r="DL46" i="19"/>
  <c r="B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DE47" i="19"/>
  <c r="DF47" i="19"/>
  <c r="DG47" i="19"/>
  <c r="DH47" i="19"/>
  <c r="DI47" i="19"/>
  <c r="DJ47" i="19"/>
  <c r="DK47" i="19"/>
  <c r="DL47" i="19"/>
  <c r="B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DE48" i="19"/>
  <c r="DF48" i="19"/>
  <c r="DG48" i="19"/>
  <c r="DH48" i="19"/>
  <c r="DI48" i="19"/>
  <c r="DJ48" i="19"/>
  <c r="DK48" i="19"/>
  <c r="DL48" i="19"/>
  <c r="B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DE49" i="19"/>
  <c r="DF49" i="19"/>
  <c r="DG49" i="19"/>
  <c r="DH49" i="19"/>
  <c r="DI49" i="19"/>
  <c r="DJ49" i="19"/>
  <c r="DK49" i="19"/>
  <c r="DL49" i="19"/>
  <c r="B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DE50" i="19"/>
  <c r="DF50" i="19"/>
  <c r="DG50" i="19"/>
  <c r="DH50" i="19"/>
  <c r="DI50" i="19"/>
  <c r="DJ50" i="19"/>
  <c r="DK50" i="19"/>
  <c r="DL50" i="19"/>
  <c r="B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DE51" i="19"/>
  <c r="DF51" i="19"/>
  <c r="DG51" i="19"/>
  <c r="DH51" i="19"/>
  <c r="DI51" i="19"/>
  <c r="DJ51" i="19"/>
  <c r="DK51" i="19"/>
  <c r="DL51" i="19"/>
  <c r="B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DE52" i="19"/>
  <c r="DF52" i="19"/>
  <c r="DG52" i="19"/>
  <c r="DH52" i="19"/>
  <c r="DI52" i="19"/>
  <c r="DJ52" i="19"/>
  <c r="DK52" i="19"/>
  <c r="DL52" i="19"/>
  <c r="B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DE53" i="19"/>
  <c r="DF53" i="19"/>
  <c r="DG53" i="19"/>
  <c r="DH53" i="19"/>
  <c r="DI53" i="19"/>
  <c r="DJ53" i="19"/>
  <c r="DK53" i="19"/>
  <c r="DL53" i="19"/>
  <c r="B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DE54" i="19"/>
  <c r="DF54" i="19"/>
  <c r="DG54" i="19"/>
  <c r="DH54" i="19"/>
  <c r="DI54" i="19"/>
  <c r="DJ54" i="19"/>
  <c r="DK54" i="19"/>
  <c r="DL54" i="19"/>
  <c r="B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DE55" i="19"/>
  <c r="DF55" i="19"/>
  <c r="DG55" i="19"/>
  <c r="DH55" i="19"/>
  <c r="DI55" i="19"/>
  <c r="DJ55" i="19"/>
  <c r="DK55" i="19"/>
  <c r="DL55" i="19"/>
  <c r="B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DE56" i="19"/>
  <c r="DF56" i="19"/>
  <c r="DG56" i="19"/>
  <c r="DH56" i="19"/>
  <c r="DI56" i="19"/>
  <c r="DJ56" i="19"/>
  <c r="DK56" i="19"/>
  <c r="DL56" i="19"/>
  <c r="B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DE57" i="19"/>
  <c r="DF57" i="19"/>
  <c r="DG57" i="19"/>
  <c r="DH57" i="19"/>
  <c r="DI57" i="19"/>
  <c r="DJ57" i="19"/>
  <c r="DK57" i="19"/>
  <c r="DL57" i="19"/>
  <c r="B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DE58" i="19"/>
  <c r="DF58" i="19"/>
  <c r="DG58" i="19"/>
  <c r="DH58" i="19"/>
  <c r="DI58" i="19"/>
  <c r="DJ58" i="19"/>
  <c r="DK58" i="19"/>
  <c r="DL58" i="19"/>
  <c r="B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DE59" i="19"/>
  <c r="DF59" i="19"/>
  <c r="DG59" i="19"/>
  <c r="DH59" i="19"/>
  <c r="DI59" i="19"/>
  <c r="DJ59" i="19"/>
  <c r="DK59" i="19"/>
  <c r="DL59" i="19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EI9" i="1"/>
  <c r="EI10" i="1" s="1"/>
  <c r="DN9" i="1"/>
  <c r="DN10" i="1" s="1"/>
  <c r="AH10" i="1" s="1"/>
  <c r="DO9" i="1"/>
  <c r="DO10" i="1" s="1"/>
  <c r="AI10" i="1" s="1"/>
  <c r="DP9" i="1"/>
  <c r="DP10" i="1" s="1"/>
  <c r="DQ9" i="1"/>
  <c r="DQ10" i="1" s="1"/>
  <c r="DR9" i="1"/>
  <c r="DR10" i="1" s="1"/>
  <c r="AL10" i="1" s="1"/>
  <c r="DS9" i="1"/>
  <c r="DT9" i="1"/>
  <c r="DT10" i="1" s="1"/>
  <c r="AN10" i="1" s="1"/>
  <c r="DU9" i="1"/>
  <c r="DU10" i="1" s="1"/>
  <c r="AO10" i="1" s="1"/>
  <c r="DV9" i="1"/>
  <c r="DV10" i="1" s="1"/>
  <c r="AP10" i="1" s="1"/>
  <c r="DW9" i="1"/>
  <c r="DY9" i="1"/>
  <c r="DY10" i="1" s="1"/>
  <c r="BC10" i="1" s="1"/>
  <c r="DZ9" i="1"/>
  <c r="DZ10" i="1" s="1"/>
  <c r="BD10" i="1" s="1"/>
  <c r="EA9" i="1"/>
  <c r="EA10" i="1" s="1"/>
  <c r="BE10" i="1" s="1"/>
  <c r="EB9" i="1"/>
  <c r="EB10" i="1" s="1"/>
  <c r="EC9" i="1"/>
  <c r="ED9" i="1"/>
  <c r="EE9" i="1"/>
  <c r="EE10" i="1" s="1"/>
  <c r="BI10" i="1" s="1"/>
  <c r="EF9" i="1"/>
  <c r="EG9" i="1"/>
  <c r="EG10" i="1" s="1"/>
  <c r="EH9" i="1"/>
  <c r="EJ9" i="1"/>
  <c r="EJ10" i="1" s="1"/>
  <c r="BO10" i="1" s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S10" i="1"/>
  <c r="AM10" i="1" s="1"/>
  <c r="DW10" i="1"/>
  <c r="AQ10" i="1" s="1"/>
  <c r="EC10" i="1"/>
  <c r="BG10" i="1" s="1"/>
  <c r="ED10" i="1"/>
  <c r="BH10" i="1" s="1"/>
  <c r="EF10" i="1"/>
  <c r="BJ10" i="1" s="1"/>
  <c r="EH10" i="1"/>
  <c r="BL10" i="1" s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EF11" i="1"/>
  <c r="BJ11" i="1" s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S54" i="1"/>
  <c r="DM54" i="1" s="1"/>
  <c r="CQ54" i="1" s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CQ55" i="1" s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S57" i="1"/>
  <c r="CT57" i="1"/>
  <c r="CU57" i="1"/>
  <c r="CV57" i="1"/>
  <c r="CW57" i="1"/>
  <c r="CX57" i="1"/>
  <c r="CY57" i="1"/>
  <c r="CZ57" i="1"/>
  <c r="DA57" i="1"/>
  <c r="DB57" i="1"/>
  <c r="DC57" i="1"/>
  <c r="DM57" i="1" s="1"/>
  <c r="CQ57" i="1" s="1"/>
  <c r="DD57" i="1"/>
  <c r="DE57" i="1"/>
  <c r="DF57" i="1"/>
  <c r="DG57" i="1"/>
  <c r="DH57" i="1"/>
  <c r="DI57" i="1"/>
  <c r="DJ57" i="1"/>
  <c r="DK57" i="1"/>
  <c r="DL57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S59" i="1"/>
  <c r="DM59" i="1" s="1"/>
  <c r="CQ59" i="1" s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V11" i="19"/>
  <c r="AP10" i="19"/>
  <c r="DT11" i="19"/>
  <c r="AN11" i="19" s="1"/>
  <c r="EG11" i="19"/>
  <c r="EC11" i="19"/>
  <c r="EC12" i="19" s="1"/>
  <c r="BL10" i="19"/>
  <c r="DM52" i="21"/>
  <c r="CQ52" i="21" s="1"/>
  <c r="DM33" i="21"/>
  <c r="DM27" i="21"/>
  <c r="BJ12" i="21"/>
  <c r="DM11" i="21"/>
  <c r="EC11" i="21"/>
  <c r="BG10" i="21"/>
  <c r="EG12" i="19"/>
  <c r="BK11" i="19"/>
  <c r="BG11" i="21"/>
  <c r="EC12" i="21"/>
  <c r="BG12" i="21" s="1"/>
  <c r="DT12" i="19"/>
  <c r="DM22" i="1"/>
  <c r="CQ22" i="1" s="1"/>
  <c r="BO10" i="21" l="1"/>
  <c r="EJ11" i="21"/>
  <c r="EJ12" i="21" s="1"/>
  <c r="BD12" i="21"/>
  <c r="CQ27" i="21"/>
  <c r="AN10" i="21"/>
  <c r="DT11" i="21"/>
  <c r="DM45" i="21"/>
  <c r="DS11" i="21"/>
  <c r="AM10" i="21"/>
  <c r="DR11" i="21"/>
  <c r="AL10" i="21"/>
  <c r="CQ11" i="21"/>
  <c r="CQ45" i="21"/>
  <c r="DM39" i="21"/>
  <c r="CQ39" i="21" s="1"/>
  <c r="CQ33" i="21"/>
  <c r="DM13" i="21"/>
  <c r="CQ13" i="21" s="1"/>
  <c r="DY11" i="21"/>
  <c r="DM28" i="21"/>
  <c r="CQ28" i="21" s="1"/>
  <c r="DM10" i="21"/>
  <c r="CQ10" i="21" s="1"/>
  <c r="DZ11" i="19"/>
  <c r="DN11" i="19"/>
  <c r="DM41" i="21"/>
  <c r="CQ41" i="21" s="1"/>
  <c r="DM40" i="21"/>
  <c r="CQ40" i="21" s="1"/>
  <c r="DM29" i="21"/>
  <c r="CQ29" i="21" s="1"/>
  <c r="DM21" i="21"/>
  <c r="CQ21" i="21" s="1"/>
  <c r="AR9" i="19"/>
  <c r="DX10" i="19" s="1"/>
  <c r="DX11" i="19" s="1"/>
  <c r="DX12" i="19" s="1"/>
  <c r="DX13" i="19" s="1"/>
  <c r="DX14" i="19" s="1"/>
  <c r="DX15" i="19" s="1"/>
  <c r="DX16" i="19" s="1"/>
  <c r="DX17" i="19" s="1"/>
  <c r="DX18" i="19" s="1"/>
  <c r="DR11" i="19"/>
  <c r="AL10" i="19"/>
  <c r="DM14" i="19"/>
  <c r="CQ14" i="19" s="1"/>
  <c r="DY11" i="19"/>
  <c r="DM11" i="1"/>
  <c r="CQ11" i="1" s="1"/>
  <c r="CQ7" i="19"/>
  <c r="CR44" i="19" s="1"/>
  <c r="H50" i="25"/>
  <c r="E50" i="23"/>
  <c r="M40" i="25"/>
  <c r="F40" i="23"/>
  <c r="M50" i="25"/>
  <c r="F50" i="23"/>
  <c r="M44" i="25"/>
  <c r="F44" i="23"/>
  <c r="H44" i="25"/>
  <c r="E44" i="23"/>
  <c r="M47" i="25"/>
  <c r="F47" i="23"/>
  <c r="H47" i="25"/>
  <c r="E47" i="23"/>
  <c r="AR9" i="21"/>
  <c r="DX10" i="21" s="1"/>
  <c r="EE12" i="19"/>
  <c r="BI11" i="19"/>
  <c r="DM51" i="1"/>
  <c r="CQ51" i="1" s="1"/>
  <c r="AP11" i="19"/>
  <c r="DV12" i="19"/>
  <c r="AP12" i="19" s="1"/>
  <c r="DM56" i="1"/>
  <c r="CQ56" i="1" s="1"/>
  <c r="AJ10" i="1"/>
  <c r="DP11" i="1"/>
  <c r="BF10" i="1"/>
  <c r="BM10" i="1" s="1"/>
  <c r="EB11" i="1"/>
  <c r="DM56" i="21"/>
  <c r="CQ56" i="21" s="1"/>
  <c r="DM43" i="21"/>
  <c r="CQ43" i="21" s="1"/>
  <c r="DM42" i="21"/>
  <c r="CQ42" i="21" s="1"/>
  <c r="DM31" i="21"/>
  <c r="CQ31" i="21" s="1"/>
  <c r="DM30" i="21"/>
  <c r="CQ30" i="21" s="1"/>
  <c r="DM53" i="1"/>
  <c r="CQ53" i="1" s="1"/>
  <c r="DM58" i="21"/>
  <c r="CQ58" i="21" s="1"/>
  <c r="DM58" i="1"/>
  <c r="CQ58" i="1" s="1"/>
  <c r="BJ13" i="21"/>
  <c r="EF14" i="21"/>
  <c r="EC13" i="21"/>
  <c r="BO10" i="19"/>
  <c r="EJ11" i="19"/>
  <c r="AM10" i="19"/>
  <c r="DS11" i="19"/>
  <c r="DM59" i="21"/>
  <c r="CQ59" i="21" s="1"/>
  <c r="DM54" i="21"/>
  <c r="CQ54" i="21" s="1"/>
  <c r="DM26" i="21"/>
  <c r="CQ26" i="21" s="1"/>
  <c r="DM15" i="21"/>
  <c r="CQ15" i="21" s="1"/>
  <c r="BH11" i="21"/>
  <c r="ED12" i="21"/>
  <c r="DM19" i="21"/>
  <c r="CQ19" i="21" s="1"/>
  <c r="BF10" i="21"/>
  <c r="EB11" i="21"/>
  <c r="DQ11" i="21"/>
  <c r="AK10" i="21"/>
  <c r="CQ7" i="21"/>
  <c r="AH11" i="19"/>
  <c r="DN12" i="19"/>
  <c r="BK10" i="1"/>
  <c r="EG11" i="1"/>
  <c r="BK11" i="1" s="1"/>
  <c r="DP11" i="19"/>
  <c r="AJ10" i="19"/>
  <c r="DM18" i="21"/>
  <c r="CQ18" i="21" s="1"/>
  <c r="DP11" i="21"/>
  <c r="AJ10" i="21"/>
  <c r="BM9" i="21"/>
  <c r="EI9" i="21" s="1"/>
  <c r="EI10" i="21" s="1"/>
  <c r="BM9" i="19"/>
  <c r="EI9" i="19" s="1"/>
  <c r="EI10" i="19" s="1"/>
  <c r="EI11" i="19" s="1"/>
  <c r="EI12" i="19" s="1"/>
  <c r="EI13" i="19" s="1"/>
  <c r="EI14" i="19" s="1"/>
  <c r="EI15" i="19" s="1"/>
  <c r="EI16" i="19" s="1"/>
  <c r="EI17" i="19" s="1"/>
  <c r="EI18" i="19" s="1"/>
  <c r="EI19" i="19" s="1"/>
  <c r="DM49" i="21"/>
  <c r="CQ49" i="21" s="1"/>
  <c r="DM44" i="21"/>
  <c r="CQ44" i="21" s="1"/>
  <c r="DM32" i="21"/>
  <c r="CQ32" i="21" s="1"/>
  <c r="DW14" i="21"/>
  <c r="BD13" i="21"/>
  <c r="DZ14" i="21"/>
  <c r="DR12" i="21"/>
  <c r="AL11" i="21"/>
  <c r="DO11" i="21"/>
  <c r="AI10" i="21"/>
  <c r="DM52" i="1"/>
  <c r="CQ52" i="1" s="1"/>
  <c r="AI10" i="19"/>
  <c r="DO11" i="19"/>
  <c r="DM20" i="21"/>
  <c r="CQ20" i="21" s="1"/>
  <c r="DM14" i="21"/>
  <c r="CQ14" i="21" s="1"/>
  <c r="DM12" i="21"/>
  <c r="CQ12" i="21" s="1"/>
  <c r="BL10" i="21"/>
  <c r="EH11" i="21"/>
  <c r="DN11" i="21"/>
  <c r="AH10" i="21"/>
  <c r="DM51" i="21"/>
  <c r="CQ51" i="21" s="1"/>
  <c r="DM48" i="21"/>
  <c r="CQ48" i="21" s="1"/>
  <c r="DM47" i="21"/>
  <c r="CQ47" i="21" s="1"/>
  <c r="DM46" i="21"/>
  <c r="CQ46" i="21" s="1"/>
  <c r="DM35" i="21"/>
  <c r="CQ35" i="21" s="1"/>
  <c r="DM34" i="21"/>
  <c r="CQ34" i="21" s="1"/>
  <c r="DM23" i="21"/>
  <c r="CQ23" i="21" s="1"/>
  <c r="DM16" i="21"/>
  <c r="CQ16" i="21" s="1"/>
  <c r="EA11" i="21"/>
  <c r="BK10" i="21"/>
  <c r="EG11" i="21"/>
  <c r="AN12" i="19"/>
  <c r="DT13" i="19"/>
  <c r="DM50" i="21"/>
  <c r="CQ50" i="21" s="1"/>
  <c r="DM22" i="21"/>
  <c r="CQ22" i="21" s="1"/>
  <c r="DM53" i="21"/>
  <c r="CQ53" i="21" s="1"/>
  <c r="DM37" i="21"/>
  <c r="CQ37" i="21" s="1"/>
  <c r="DM36" i="21"/>
  <c r="CQ36" i="21" s="1"/>
  <c r="DM25" i="21"/>
  <c r="CQ25" i="21" s="1"/>
  <c r="DM17" i="21"/>
  <c r="CQ17" i="21" s="1"/>
  <c r="DM43" i="19"/>
  <c r="CQ43" i="19" s="1"/>
  <c r="DM55" i="21"/>
  <c r="CQ55" i="21" s="1"/>
  <c r="DM24" i="21"/>
  <c r="CQ24" i="21" s="1"/>
  <c r="DM34" i="19"/>
  <c r="CQ34" i="19" s="1"/>
  <c r="DM20" i="19"/>
  <c r="CQ20" i="19" s="1"/>
  <c r="DM57" i="21"/>
  <c r="CQ57" i="21" s="1"/>
  <c r="DM38" i="21"/>
  <c r="CQ38" i="21" s="1"/>
  <c r="EE11" i="21"/>
  <c r="BI10" i="21"/>
  <c r="DM48" i="1"/>
  <c r="CQ48" i="1" s="1"/>
  <c r="DM32" i="19"/>
  <c r="CQ32" i="19" s="1"/>
  <c r="DM26" i="19"/>
  <c r="CQ26" i="19" s="1"/>
  <c r="H41" i="25"/>
  <c r="E41" i="23"/>
  <c r="H40" i="25"/>
  <c r="E40" i="23"/>
  <c r="DM22" i="19"/>
  <c r="CQ22" i="19" s="1"/>
  <c r="DV11" i="21"/>
  <c r="BO11" i="21"/>
  <c r="EA11" i="19"/>
  <c r="M52" i="25"/>
  <c r="F52" i="23"/>
  <c r="M49" i="25"/>
  <c r="F49" i="23"/>
  <c r="M46" i="25"/>
  <c r="F46" i="23"/>
  <c r="M43" i="25"/>
  <c r="F43" i="23"/>
  <c r="H52" i="25"/>
  <c r="E52" i="23"/>
  <c r="H49" i="25"/>
  <c r="E49" i="23"/>
  <c r="H46" i="25"/>
  <c r="E46" i="23"/>
  <c r="H43" i="25"/>
  <c r="E43" i="23"/>
  <c r="DM10" i="19"/>
  <c r="CQ10" i="19" s="1"/>
  <c r="BH10" i="21"/>
  <c r="DM30" i="19"/>
  <c r="CQ30" i="19" s="1"/>
  <c r="DM24" i="19"/>
  <c r="CQ24" i="19" s="1"/>
  <c r="DM18" i="19"/>
  <c r="CQ18" i="19" s="1"/>
  <c r="M42" i="25"/>
  <c r="F42" i="23"/>
  <c r="DM58" i="19"/>
  <c r="CQ58" i="19" s="1"/>
  <c r="M51" i="25"/>
  <c r="F51" i="23"/>
  <c r="M48" i="25"/>
  <c r="F48" i="23"/>
  <c r="M45" i="25"/>
  <c r="F45" i="23"/>
  <c r="H42" i="25"/>
  <c r="E42" i="23"/>
  <c r="DS11" i="1"/>
  <c r="DU11" i="21"/>
  <c r="H51" i="25"/>
  <c r="E51" i="23"/>
  <c r="H48" i="25"/>
  <c r="E48" i="23"/>
  <c r="H45" i="25"/>
  <c r="E45" i="23"/>
  <c r="EF12" i="1"/>
  <c r="BJ12" i="1" s="1"/>
  <c r="M41" i="25"/>
  <c r="F41" i="23"/>
  <c r="AK10" i="1"/>
  <c r="DQ11" i="1"/>
  <c r="AK11" i="1" s="1"/>
  <c r="DM18" i="1"/>
  <c r="CQ18" i="1" s="1"/>
  <c r="EG12" i="1"/>
  <c r="BK12" i="1" s="1"/>
  <c r="EE11" i="1"/>
  <c r="BI11" i="1" s="1"/>
  <c r="DV11" i="1"/>
  <c r="AP11" i="1" s="1"/>
  <c r="DO11" i="1"/>
  <c r="AI11" i="1" s="1"/>
  <c r="ED11" i="1"/>
  <c r="BH11" i="1" s="1"/>
  <c r="DZ11" i="1"/>
  <c r="BD11" i="1" s="1"/>
  <c r="EA11" i="1"/>
  <c r="BE11" i="1" s="1"/>
  <c r="DR11" i="1"/>
  <c r="AL11" i="1" s="1"/>
  <c r="EF13" i="1"/>
  <c r="BJ13" i="1" s="1"/>
  <c r="DW11" i="1"/>
  <c r="AQ11" i="1" s="1"/>
  <c r="EH11" i="1"/>
  <c r="BL11" i="1" s="1"/>
  <c r="DT11" i="1"/>
  <c r="AN11" i="1" s="1"/>
  <c r="DU11" i="1"/>
  <c r="AO11" i="1" s="1"/>
  <c r="EC11" i="1"/>
  <c r="BG11" i="1" s="1"/>
  <c r="DM44" i="1"/>
  <c r="CQ44" i="1" s="1"/>
  <c r="EI11" i="1"/>
  <c r="DM49" i="1"/>
  <c r="CQ49" i="1" s="1"/>
  <c r="DM47" i="1"/>
  <c r="CQ47" i="1" s="1"/>
  <c r="DM42" i="1"/>
  <c r="CQ42" i="1" s="1"/>
  <c r="DM41" i="1"/>
  <c r="CQ41" i="1" s="1"/>
  <c r="DM37" i="1"/>
  <c r="CQ37" i="1" s="1"/>
  <c r="DM34" i="1"/>
  <c r="CQ34" i="1" s="1"/>
  <c r="DM33" i="1"/>
  <c r="CQ33" i="1" s="1"/>
  <c r="DM29" i="1"/>
  <c r="CQ29" i="1" s="1"/>
  <c r="DM25" i="1"/>
  <c r="CQ25" i="1" s="1"/>
  <c r="DM21" i="1"/>
  <c r="CQ21" i="1" s="1"/>
  <c r="DM19" i="1"/>
  <c r="CQ19" i="1" s="1"/>
  <c r="DM17" i="1"/>
  <c r="CQ17" i="1" s="1"/>
  <c r="DM13" i="1"/>
  <c r="CQ13" i="1" s="1"/>
  <c r="DM45" i="1"/>
  <c r="CQ45" i="1" s="1"/>
  <c r="DM43" i="1"/>
  <c r="CQ43" i="1" s="1"/>
  <c r="DM38" i="1"/>
  <c r="CQ38" i="1" s="1"/>
  <c r="DM30" i="1"/>
  <c r="CQ30" i="1" s="1"/>
  <c r="DM26" i="1"/>
  <c r="CQ26" i="1" s="1"/>
  <c r="DM50" i="1"/>
  <c r="CQ50" i="1" s="1"/>
  <c r="DM39" i="1"/>
  <c r="CQ39" i="1" s="1"/>
  <c r="DM35" i="1"/>
  <c r="CQ35" i="1" s="1"/>
  <c r="DM32" i="1"/>
  <c r="CQ32" i="1" s="1"/>
  <c r="DM31" i="1"/>
  <c r="CQ31" i="1" s="1"/>
  <c r="DM27" i="1"/>
  <c r="CQ27" i="1" s="1"/>
  <c r="DM23" i="1"/>
  <c r="CQ23" i="1" s="1"/>
  <c r="DM20" i="1"/>
  <c r="CQ20" i="1" s="1"/>
  <c r="DM46" i="1"/>
  <c r="CQ46" i="1" s="1"/>
  <c r="DM40" i="1"/>
  <c r="CQ40" i="1" s="1"/>
  <c r="DM36" i="1"/>
  <c r="CQ36" i="1" s="1"/>
  <c r="DM28" i="1"/>
  <c r="CQ28" i="1" s="1"/>
  <c r="DM24" i="1"/>
  <c r="CQ24" i="1" s="1"/>
  <c r="DM15" i="1"/>
  <c r="CQ15" i="1" s="1"/>
  <c r="DM14" i="1"/>
  <c r="CQ14" i="1" s="1"/>
  <c r="DM16" i="1"/>
  <c r="CQ16" i="1" s="1"/>
  <c r="DM12" i="1"/>
  <c r="CQ12" i="1" s="1"/>
  <c r="EJ11" i="1"/>
  <c r="BO11" i="1" s="1"/>
  <c r="CQ7" i="1"/>
  <c r="CR43" i="1" s="1"/>
  <c r="DM10" i="1"/>
  <c r="CQ10" i="1" s="1"/>
  <c r="DY11" i="1"/>
  <c r="BC11" i="1" s="1"/>
  <c r="DR12" i="19"/>
  <c r="AL11" i="19"/>
  <c r="DM51" i="19"/>
  <c r="CQ51" i="19" s="1"/>
  <c r="DM55" i="19"/>
  <c r="CQ55" i="19" s="1"/>
  <c r="DM47" i="19"/>
  <c r="CQ47" i="19" s="1"/>
  <c r="BH12" i="19"/>
  <c r="DM15" i="19"/>
  <c r="CQ15" i="19" s="1"/>
  <c r="DM11" i="19"/>
  <c r="CQ11" i="19" s="1"/>
  <c r="BH10" i="19"/>
  <c r="DV13" i="19"/>
  <c r="EH12" i="19"/>
  <c r="EF11" i="19"/>
  <c r="EB11" i="19"/>
  <c r="BF11" i="19" s="1"/>
  <c r="DM52" i="19"/>
  <c r="CQ52" i="19" s="1"/>
  <c r="DM33" i="19"/>
  <c r="CQ33" i="19" s="1"/>
  <c r="DW11" i="19"/>
  <c r="BH11" i="19"/>
  <c r="DM44" i="19"/>
  <c r="CQ44" i="19" s="1"/>
  <c r="DM17" i="19"/>
  <c r="CQ17" i="19" s="1"/>
  <c r="DM12" i="19"/>
  <c r="CQ12" i="19" s="1"/>
  <c r="BK12" i="19"/>
  <c r="EG13" i="19"/>
  <c r="DY12" i="19"/>
  <c r="BC11" i="19"/>
  <c r="DM41" i="19"/>
  <c r="CQ41" i="19" s="1"/>
  <c r="BG12" i="19"/>
  <c r="EC13" i="19"/>
  <c r="DM37" i="19"/>
  <c r="CQ37" i="19" s="1"/>
  <c r="DM28" i="19"/>
  <c r="CQ28" i="19" s="1"/>
  <c r="DM25" i="19"/>
  <c r="CQ25" i="19" s="1"/>
  <c r="DM16" i="19"/>
  <c r="CQ16" i="19" s="1"/>
  <c r="DM59" i="19"/>
  <c r="CQ59" i="19" s="1"/>
  <c r="DM54" i="19"/>
  <c r="CQ54" i="19" s="1"/>
  <c r="DM53" i="19"/>
  <c r="CQ53" i="19" s="1"/>
  <c r="DM46" i="19"/>
  <c r="CQ46" i="19" s="1"/>
  <c r="DM45" i="19"/>
  <c r="CQ45" i="19" s="1"/>
  <c r="DM40" i="19"/>
  <c r="CQ40" i="19" s="1"/>
  <c r="DM29" i="19"/>
  <c r="CQ29" i="19" s="1"/>
  <c r="DM21" i="19"/>
  <c r="CQ21" i="19" s="1"/>
  <c r="BH15" i="19"/>
  <c r="ED16" i="19"/>
  <c r="BG11" i="19"/>
  <c r="DM56" i="19"/>
  <c r="CQ56" i="19" s="1"/>
  <c r="DM48" i="19"/>
  <c r="CQ48" i="19" s="1"/>
  <c r="DM39" i="19"/>
  <c r="CQ39" i="19" s="1"/>
  <c r="DM36" i="19"/>
  <c r="CQ36" i="19" s="1"/>
  <c r="DM23" i="19"/>
  <c r="CQ23" i="19" s="1"/>
  <c r="DZ12" i="19"/>
  <c r="AK10" i="19"/>
  <c r="DQ11" i="19"/>
  <c r="DM57" i="19"/>
  <c r="CQ57" i="19" s="1"/>
  <c r="DM50" i="19"/>
  <c r="CQ50" i="19" s="1"/>
  <c r="DM49" i="19"/>
  <c r="CQ49" i="19" s="1"/>
  <c r="DM42" i="19"/>
  <c r="CQ42" i="19" s="1"/>
  <c r="DM38" i="19"/>
  <c r="CQ38" i="19" s="1"/>
  <c r="DM35" i="19"/>
  <c r="CQ35" i="19" s="1"/>
  <c r="DM31" i="19"/>
  <c r="CQ31" i="19" s="1"/>
  <c r="DM27" i="19"/>
  <c r="CQ27" i="19" s="1"/>
  <c r="DM19" i="19"/>
  <c r="CQ19" i="19" s="1"/>
  <c r="DM13" i="19"/>
  <c r="CQ13" i="19" s="1"/>
  <c r="EB12" i="19"/>
  <c r="AO10" i="19"/>
  <c r="DU11" i="19"/>
  <c r="BO11" i="19"/>
  <c r="EJ12" i="19"/>
  <c r="DX10" i="1"/>
  <c r="DN11" i="1"/>
  <c r="AH11" i="1" s="1"/>
  <c r="EJ13" i="21" l="1"/>
  <c r="BO12" i="21"/>
  <c r="AN11" i="21"/>
  <c r="DT12" i="21"/>
  <c r="DS12" i="21"/>
  <c r="AM11" i="21"/>
  <c r="DY12" i="21"/>
  <c r="BC11" i="21"/>
  <c r="CR11" i="19"/>
  <c r="CR29" i="19"/>
  <c r="CR34" i="19"/>
  <c r="W34" i="19" s="1"/>
  <c r="AT34" i="19" s="1"/>
  <c r="CR52" i="19"/>
  <c r="W52" i="19" s="1"/>
  <c r="CR9" i="19"/>
  <c r="CR19" i="19"/>
  <c r="CR59" i="19"/>
  <c r="W59" i="19" s="1"/>
  <c r="CR22" i="19"/>
  <c r="W22" i="19" s="1"/>
  <c r="AT22" i="19" s="1"/>
  <c r="CR27" i="19"/>
  <c r="CR16" i="19"/>
  <c r="W16" i="19" s="1"/>
  <c r="AT16" i="19" s="1"/>
  <c r="CR57" i="19"/>
  <c r="W57" i="19" s="1"/>
  <c r="CR30" i="19"/>
  <c r="W30" i="19" s="1"/>
  <c r="AT30" i="19" s="1"/>
  <c r="CR31" i="19"/>
  <c r="CR51" i="19"/>
  <c r="W51" i="19" s="1"/>
  <c r="CR13" i="19"/>
  <c r="CR23" i="19"/>
  <c r="CR37" i="19"/>
  <c r="W37" i="19" s="1"/>
  <c r="AT37" i="19" s="1"/>
  <c r="CR46" i="19"/>
  <c r="W46" i="19" s="1"/>
  <c r="AT46" i="19" s="1"/>
  <c r="CR38" i="19"/>
  <c r="W38" i="19" s="1"/>
  <c r="AT38" i="19" s="1"/>
  <c r="CR28" i="19"/>
  <c r="W28" i="19" s="1"/>
  <c r="AT28" i="19" s="1"/>
  <c r="W19" i="19"/>
  <c r="AT19" i="19" s="1"/>
  <c r="CR45" i="19"/>
  <c r="W45" i="19" s="1"/>
  <c r="AT45" i="19" s="1"/>
  <c r="CR47" i="19"/>
  <c r="W47" i="19" s="1"/>
  <c r="CR20" i="19"/>
  <c r="W20" i="19" s="1"/>
  <c r="AT20" i="19" s="1"/>
  <c r="CR43" i="19"/>
  <c r="W43" i="19" s="1"/>
  <c r="AT43" i="19" s="1"/>
  <c r="CR54" i="19"/>
  <c r="W54" i="19" s="1"/>
  <c r="CR58" i="19"/>
  <c r="W58" i="19" s="1"/>
  <c r="CR17" i="19"/>
  <c r="W17" i="19" s="1"/>
  <c r="AT17" i="19" s="1"/>
  <c r="CR49" i="19"/>
  <c r="W49" i="19" s="1"/>
  <c r="CR10" i="19"/>
  <c r="W10" i="19" s="1"/>
  <c r="AT10" i="19" s="1"/>
  <c r="BD10" i="19" s="1"/>
  <c r="BM10" i="19" s="1"/>
  <c r="CR21" i="19"/>
  <c r="W21" i="19" s="1"/>
  <c r="AT21" i="19" s="1"/>
  <c r="CR25" i="19"/>
  <c r="CR55" i="19"/>
  <c r="W55" i="19" s="1"/>
  <c r="CR39" i="19"/>
  <c r="W39" i="19" s="1"/>
  <c r="AT39" i="19" s="1"/>
  <c r="CR14" i="19"/>
  <c r="W14" i="19" s="1"/>
  <c r="AT14" i="19" s="1"/>
  <c r="CR41" i="19"/>
  <c r="W41" i="19" s="1"/>
  <c r="AT41" i="19" s="1"/>
  <c r="CR53" i="19"/>
  <c r="W53" i="19" s="1"/>
  <c r="CR56" i="19"/>
  <c r="W56" i="19" s="1"/>
  <c r="CR33" i="19"/>
  <c r="W33" i="19" s="1"/>
  <c r="AT33" i="19" s="1"/>
  <c r="CR48" i="19"/>
  <c r="CR12" i="19"/>
  <c r="W12" i="19" s="1"/>
  <c r="AT12" i="19" s="1"/>
  <c r="W11" i="19"/>
  <c r="AT11" i="19" s="1"/>
  <c r="BD11" i="19" s="1"/>
  <c r="W13" i="19"/>
  <c r="AT13" i="19" s="1"/>
  <c r="CR50" i="19"/>
  <c r="W50" i="19" s="1"/>
  <c r="CR24" i="19"/>
  <c r="W24" i="19" s="1"/>
  <c r="AT24" i="19" s="1"/>
  <c r="CR15" i="19"/>
  <c r="W15" i="19" s="1"/>
  <c r="AT15" i="19" s="1"/>
  <c r="CR42" i="19"/>
  <c r="W42" i="19" s="1"/>
  <c r="AT42" i="19" s="1"/>
  <c r="CR26" i="19"/>
  <c r="W26" i="19" s="1"/>
  <c r="AT26" i="19" s="1"/>
  <c r="CR40" i="19"/>
  <c r="W40" i="19" s="1"/>
  <c r="AT40" i="19" s="1"/>
  <c r="CR36" i="19"/>
  <c r="W36" i="19" s="1"/>
  <c r="AT36" i="19" s="1"/>
  <c r="CR18" i="19"/>
  <c r="W18" i="19" s="1"/>
  <c r="AT18" i="19" s="1"/>
  <c r="CR32" i="19"/>
  <c r="W32" i="19" s="1"/>
  <c r="AT32" i="19" s="1"/>
  <c r="CR35" i="19"/>
  <c r="W35" i="19" s="1"/>
  <c r="AT35" i="19" s="1"/>
  <c r="DQ12" i="1"/>
  <c r="AK12" i="1" s="1"/>
  <c r="W29" i="19"/>
  <c r="AT29" i="19" s="1"/>
  <c r="W44" i="19"/>
  <c r="AT44" i="19" s="1"/>
  <c r="W48" i="19"/>
  <c r="W27" i="19"/>
  <c r="AT27" i="19" s="1"/>
  <c r="W31" i="19"/>
  <c r="AT31" i="19" s="1"/>
  <c r="CR27" i="1"/>
  <c r="CR31" i="1"/>
  <c r="W31" i="1" s="1"/>
  <c r="CR55" i="1"/>
  <c r="W55" i="1" s="1"/>
  <c r="CR29" i="1"/>
  <c r="W29" i="1" s="1"/>
  <c r="CR37" i="1"/>
  <c r="W37" i="1" s="1"/>
  <c r="CR10" i="1"/>
  <c r="W10" i="1" s="1"/>
  <c r="CR18" i="1"/>
  <c r="W18" i="1" s="1"/>
  <c r="CR20" i="1"/>
  <c r="W20" i="1" s="1"/>
  <c r="CR13" i="1"/>
  <c r="W13" i="1" s="1"/>
  <c r="CR19" i="1"/>
  <c r="W19" i="1" s="1"/>
  <c r="CR40" i="1"/>
  <c r="W40" i="1" s="1"/>
  <c r="CR52" i="1"/>
  <c r="W52" i="1" s="1"/>
  <c r="CR35" i="1"/>
  <c r="W35" i="1" s="1"/>
  <c r="CR9" i="1"/>
  <c r="CR48" i="1"/>
  <c r="W48" i="1" s="1"/>
  <c r="CR59" i="1"/>
  <c r="W59" i="1" s="1"/>
  <c r="CR58" i="1"/>
  <c r="W58" i="1" s="1"/>
  <c r="CR24" i="1"/>
  <c r="W24" i="1" s="1"/>
  <c r="CR56" i="1"/>
  <c r="W56" i="1" s="1"/>
  <c r="CR41" i="1"/>
  <c r="W41" i="1" s="1"/>
  <c r="CR50" i="1"/>
  <c r="W50" i="1" s="1"/>
  <c r="CR16" i="1"/>
  <c r="W16" i="1" s="1"/>
  <c r="CR25" i="1"/>
  <c r="W25" i="1" s="1"/>
  <c r="CR42" i="1"/>
  <c r="W42" i="1" s="1"/>
  <c r="CR23" i="1"/>
  <c r="W23" i="1" s="1"/>
  <c r="CR45" i="1"/>
  <c r="CR15" i="1"/>
  <c r="CR32" i="1"/>
  <c r="CR34" i="1"/>
  <c r="CR51" i="1"/>
  <c r="W51" i="1" s="1"/>
  <c r="CR33" i="1"/>
  <c r="W33" i="1" s="1"/>
  <c r="CR28" i="1"/>
  <c r="W28" i="1" s="1"/>
  <c r="CR26" i="1"/>
  <c r="W26" i="1" s="1"/>
  <c r="CR22" i="1"/>
  <c r="W22" i="1" s="1"/>
  <c r="CR47" i="1"/>
  <c r="W47" i="1" s="1"/>
  <c r="CR14" i="1"/>
  <c r="W14" i="1" s="1"/>
  <c r="CR54" i="1"/>
  <c r="W54" i="1" s="1"/>
  <c r="CR30" i="1"/>
  <c r="W30" i="1" s="1"/>
  <c r="CR11" i="1"/>
  <c r="W11" i="1" s="1"/>
  <c r="CR53" i="1"/>
  <c r="W53" i="1" s="1"/>
  <c r="CR36" i="1"/>
  <c r="CR38" i="1"/>
  <c r="W38" i="1" s="1"/>
  <c r="CR46" i="1"/>
  <c r="W46" i="1" s="1"/>
  <c r="CR12" i="1"/>
  <c r="CR57" i="1"/>
  <c r="W57" i="1" s="1"/>
  <c r="W25" i="19"/>
  <c r="AT25" i="19" s="1"/>
  <c r="CR49" i="1"/>
  <c r="W49" i="1" s="1"/>
  <c r="CR44" i="1"/>
  <c r="W44" i="1" s="1"/>
  <c r="CR21" i="1"/>
  <c r="W21" i="1" s="1"/>
  <c r="CR39" i="1"/>
  <c r="W39" i="1" s="1"/>
  <c r="CR17" i="1"/>
  <c r="W17" i="1" s="1"/>
  <c r="W23" i="19"/>
  <c r="AT23" i="19" s="1"/>
  <c r="DT14" i="19"/>
  <c r="AN13" i="19"/>
  <c r="AJ11" i="1"/>
  <c r="DP12" i="1"/>
  <c r="EG12" i="21"/>
  <c r="BK11" i="21"/>
  <c r="AH11" i="21"/>
  <c r="DN12" i="21"/>
  <c r="AI11" i="21"/>
  <c r="DO12" i="21"/>
  <c r="CR29" i="21"/>
  <c r="W29" i="21" s="1"/>
  <c r="CR43" i="21"/>
  <c r="W43" i="21" s="1"/>
  <c r="CR17" i="21"/>
  <c r="W17" i="21" s="1"/>
  <c r="CR24" i="21"/>
  <c r="W24" i="21" s="1"/>
  <c r="CR34" i="21"/>
  <c r="W34" i="21" s="1"/>
  <c r="CR46" i="21"/>
  <c r="W46" i="21" s="1"/>
  <c r="CR31" i="21"/>
  <c r="W31" i="21" s="1"/>
  <c r="CR57" i="21"/>
  <c r="W57" i="21" s="1"/>
  <c r="CR54" i="21"/>
  <c r="W54" i="21" s="1"/>
  <c r="CR45" i="21"/>
  <c r="W45" i="21" s="1"/>
  <c r="CR56" i="21"/>
  <c r="W56" i="21" s="1"/>
  <c r="CR58" i="21"/>
  <c r="W58" i="21" s="1"/>
  <c r="CR16" i="21"/>
  <c r="W16" i="21" s="1"/>
  <c r="CR12" i="21"/>
  <c r="CR38" i="21"/>
  <c r="W38" i="21" s="1"/>
  <c r="CR21" i="21"/>
  <c r="W21" i="21" s="1"/>
  <c r="CR35" i="21"/>
  <c r="W35" i="21" s="1"/>
  <c r="CR49" i="21"/>
  <c r="W49" i="21" s="1"/>
  <c r="CR14" i="21"/>
  <c r="W14" i="21" s="1"/>
  <c r="CR18" i="21"/>
  <c r="W18" i="21" s="1"/>
  <c r="CR28" i="21"/>
  <c r="W28" i="21" s="1"/>
  <c r="CR40" i="21"/>
  <c r="W40" i="21" s="1"/>
  <c r="CR37" i="21"/>
  <c r="W37" i="21" s="1"/>
  <c r="CR51" i="21"/>
  <c r="W51" i="21" s="1"/>
  <c r="CR48" i="21"/>
  <c r="CR15" i="21"/>
  <c r="W15" i="21" s="1"/>
  <c r="CR22" i="21"/>
  <c r="W22" i="21" s="1"/>
  <c r="CR32" i="21"/>
  <c r="W32" i="21" s="1"/>
  <c r="CR44" i="21"/>
  <c r="W44" i="21" s="1"/>
  <c r="CR55" i="21"/>
  <c r="W55" i="21" s="1"/>
  <c r="CR52" i="21"/>
  <c r="W52" i="21" s="1"/>
  <c r="CR20" i="21"/>
  <c r="W20" i="21" s="1"/>
  <c r="CR19" i="21"/>
  <c r="W19" i="21" s="1"/>
  <c r="CR23" i="21"/>
  <c r="W23" i="21" s="1"/>
  <c r="CR53" i="21"/>
  <c r="W53" i="21" s="1"/>
  <c r="CR59" i="21"/>
  <c r="W59" i="21" s="1"/>
  <c r="CR27" i="21"/>
  <c r="W27" i="21" s="1"/>
  <c r="CR13" i="21"/>
  <c r="W13" i="21" s="1"/>
  <c r="CR25" i="21"/>
  <c r="W25" i="21" s="1"/>
  <c r="CR11" i="21"/>
  <c r="W11" i="21" s="1"/>
  <c r="CR33" i="21"/>
  <c r="W33" i="21" s="1"/>
  <c r="CR39" i="21"/>
  <c r="W39" i="21" s="1"/>
  <c r="CR9" i="21"/>
  <c r="CR42" i="21"/>
  <c r="W42" i="21" s="1"/>
  <c r="CR50" i="21"/>
  <c r="W50" i="21" s="1"/>
  <c r="CR30" i="21"/>
  <c r="W30" i="21" s="1"/>
  <c r="CR36" i="21"/>
  <c r="W36" i="21" s="1"/>
  <c r="CR41" i="21"/>
  <c r="W41" i="21" s="1"/>
  <c r="CR47" i="21"/>
  <c r="W47" i="21" s="1"/>
  <c r="CR26" i="21"/>
  <c r="W26" i="21" s="1"/>
  <c r="CR10" i="21"/>
  <c r="W10" i="21" s="1"/>
  <c r="AR10" i="21"/>
  <c r="DX11" i="21"/>
  <c r="EA12" i="19"/>
  <c r="BE11" i="19"/>
  <c r="BL11" i="21"/>
  <c r="EH12" i="21"/>
  <c r="DR13" i="21"/>
  <c r="AL12" i="21"/>
  <c r="BM10" i="21"/>
  <c r="EI11" i="21"/>
  <c r="AK11" i="21"/>
  <c r="DQ12" i="21"/>
  <c r="DS12" i="19"/>
  <c r="AM11" i="19"/>
  <c r="AR10" i="1"/>
  <c r="EA12" i="21"/>
  <c r="BE11" i="21"/>
  <c r="DZ15" i="21"/>
  <c r="BD14" i="21"/>
  <c r="EB12" i="21"/>
  <c r="BF11" i="21"/>
  <c r="DV12" i="21"/>
  <c r="AP11" i="21"/>
  <c r="AJ11" i="21"/>
  <c r="DP12" i="21"/>
  <c r="W12" i="21"/>
  <c r="AQ14" i="21"/>
  <c r="DW15" i="21"/>
  <c r="BI11" i="21"/>
  <c r="EE12" i="21"/>
  <c r="AO11" i="21"/>
  <c r="DU12" i="21"/>
  <c r="DP12" i="19"/>
  <c r="AJ11" i="19"/>
  <c r="EE13" i="19"/>
  <c r="BI12" i="19"/>
  <c r="AM11" i="1"/>
  <c r="DS12" i="1"/>
  <c r="DO12" i="19"/>
  <c r="AI11" i="19"/>
  <c r="BH12" i="21"/>
  <c r="ED13" i="21"/>
  <c r="EC14" i="21"/>
  <c r="BG13" i="21"/>
  <c r="EF15" i="21"/>
  <c r="BJ14" i="21"/>
  <c r="BF11" i="1"/>
  <c r="BM11" i="1" s="1"/>
  <c r="EB12" i="1"/>
  <c r="W48" i="21"/>
  <c r="AH12" i="19"/>
  <c r="DN13" i="19"/>
  <c r="W36" i="1"/>
  <c r="W15" i="1"/>
  <c r="W27" i="1"/>
  <c r="W12" i="1"/>
  <c r="W43" i="1"/>
  <c r="W32" i="1"/>
  <c r="W45" i="1"/>
  <c r="W34" i="1"/>
  <c r="DX11" i="1"/>
  <c r="C44" i="25"/>
  <c r="D44" i="23"/>
  <c r="DT12" i="1"/>
  <c r="AN12" i="1" s="1"/>
  <c r="DW12" i="1"/>
  <c r="AQ12" i="1" s="1"/>
  <c r="ED12" i="1"/>
  <c r="BH12" i="1" s="1"/>
  <c r="EE12" i="1"/>
  <c r="BI12" i="1" s="1"/>
  <c r="C45" i="25"/>
  <c r="D45" i="23"/>
  <c r="C47" i="25"/>
  <c r="D47" i="23"/>
  <c r="C49" i="25"/>
  <c r="D49" i="23"/>
  <c r="C51" i="25"/>
  <c r="D51" i="23"/>
  <c r="EI12" i="1"/>
  <c r="EC12" i="1"/>
  <c r="BG12" i="1" s="1"/>
  <c r="EF14" i="1"/>
  <c r="BJ14" i="1" s="1"/>
  <c r="EA12" i="1"/>
  <c r="BE12" i="1" s="1"/>
  <c r="DO12" i="1"/>
  <c r="AI12" i="1" s="1"/>
  <c r="DU12" i="1"/>
  <c r="AO12" i="1" s="1"/>
  <c r="EH12" i="1"/>
  <c r="BL12" i="1" s="1"/>
  <c r="DZ12" i="1"/>
  <c r="BD12" i="1" s="1"/>
  <c r="DV12" i="1"/>
  <c r="AP12" i="1" s="1"/>
  <c r="EG13" i="1"/>
  <c r="BK13" i="1" s="1"/>
  <c r="C46" i="25"/>
  <c r="D46" i="23"/>
  <c r="C48" i="25"/>
  <c r="D48" i="23"/>
  <c r="C50" i="25"/>
  <c r="D50" i="23"/>
  <c r="C52" i="25"/>
  <c r="D52" i="23"/>
  <c r="DQ13" i="1"/>
  <c r="AK13" i="1" s="1"/>
  <c r="DR12" i="1"/>
  <c r="AL12" i="1" s="1"/>
  <c r="EJ12" i="1"/>
  <c r="BO12" i="1" s="1"/>
  <c r="DY12" i="1"/>
  <c r="BC12" i="1" s="1"/>
  <c r="AL12" i="19"/>
  <c r="DR13" i="19"/>
  <c r="BJ11" i="19"/>
  <c r="EF12" i="19"/>
  <c r="EH13" i="19"/>
  <c r="BL12" i="19"/>
  <c r="DW12" i="19"/>
  <c r="AQ11" i="19"/>
  <c r="DV14" i="19"/>
  <c r="AP13" i="19"/>
  <c r="EJ13" i="19"/>
  <c r="BO12" i="19"/>
  <c r="EB13" i="19"/>
  <c r="BF12" i="19"/>
  <c r="EG14" i="19"/>
  <c r="BK13" i="19"/>
  <c r="DQ12" i="19"/>
  <c r="AK11" i="19"/>
  <c r="ED17" i="19"/>
  <c r="BH16" i="19"/>
  <c r="EI20" i="19"/>
  <c r="DU12" i="19"/>
  <c r="AO11" i="19"/>
  <c r="AR10" i="19"/>
  <c r="DZ13" i="19"/>
  <c r="BD12" i="19"/>
  <c r="EC14" i="19"/>
  <c r="BG13" i="19"/>
  <c r="DY13" i="19"/>
  <c r="BC12" i="19"/>
  <c r="DX19" i="19"/>
  <c r="DN12" i="1"/>
  <c r="AH12" i="1" s="1"/>
  <c r="EJ14" i="21" l="1"/>
  <c r="BO13" i="21"/>
  <c r="DT13" i="21"/>
  <c r="AN12" i="21"/>
  <c r="AM12" i="21"/>
  <c r="DS13" i="21"/>
  <c r="DY13" i="21"/>
  <c r="BC12" i="21"/>
  <c r="BQ10" i="19"/>
  <c r="C11" i="14" s="1"/>
  <c r="BM11" i="19"/>
  <c r="BQ10" i="1"/>
  <c r="AO12" i="21"/>
  <c r="DU13" i="21"/>
  <c r="DN14" i="19"/>
  <c r="AH13" i="19"/>
  <c r="DV13" i="21"/>
  <c r="AP12" i="21"/>
  <c r="EI12" i="21"/>
  <c r="BM11" i="21"/>
  <c r="EE14" i="19"/>
  <c r="BI13" i="19"/>
  <c r="EB13" i="21"/>
  <c r="BF12" i="21"/>
  <c r="AL13" i="21"/>
  <c r="DR14" i="21"/>
  <c r="AH12" i="21"/>
  <c r="DN13" i="21"/>
  <c r="AJ12" i="1"/>
  <c r="DP13" i="1"/>
  <c r="EH13" i="21"/>
  <c r="BL12" i="21"/>
  <c r="EC15" i="21"/>
  <c r="BG14" i="21"/>
  <c r="DP13" i="19"/>
  <c r="AJ12" i="19"/>
  <c r="DZ16" i="21"/>
  <c r="BD15" i="21"/>
  <c r="AR11" i="21"/>
  <c r="DX12" i="21"/>
  <c r="AM12" i="1"/>
  <c r="DS13" i="1"/>
  <c r="BH13" i="21"/>
  <c r="ED14" i="21"/>
  <c r="BK12" i="21"/>
  <c r="EG13" i="21"/>
  <c r="BJ15" i="21"/>
  <c r="EF16" i="21"/>
  <c r="AJ12" i="21"/>
  <c r="DP13" i="21"/>
  <c r="BE12" i="21"/>
  <c r="EA13" i="21"/>
  <c r="BQ10" i="21"/>
  <c r="AN14" i="19"/>
  <c r="DT15" i="19"/>
  <c r="DW16" i="21"/>
  <c r="AQ15" i="21"/>
  <c r="DS13" i="19"/>
  <c r="AM12" i="19"/>
  <c r="EA13" i="19"/>
  <c r="BE12" i="19"/>
  <c r="BF12" i="1"/>
  <c r="BM12" i="1" s="1"/>
  <c r="EB13" i="1"/>
  <c r="AI12" i="19"/>
  <c r="DO13" i="19"/>
  <c r="DQ13" i="21"/>
  <c r="AK12" i="21"/>
  <c r="AI12" i="21"/>
  <c r="DO13" i="21"/>
  <c r="AR11" i="1"/>
  <c r="BQ11" i="1" s="1"/>
  <c r="EE13" i="21"/>
  <c r="BI12" i="21"/>
  <c r="DT13" i="1"/>
  <c r="AN13" i="1" s="1"/>
  <c r="DQ14" i="1"/>
  <c r="AK14" i="1" s="1"/>
  <c r="DV13" i="1"/>
  <c r="AP13" i="1" s="1"/>
  <c r="DZ13" i="1"/>
  <c r="BD13" i="1" s="1"/>
  <c r="DU13" i="1"/>
  <c r="AO13" i="1" s="1"/>
  <c r="EA13" i="1"/>
  <c r="BE13" i="1" s="1"/>
  <c r="EC13" i="1"/>
  <c r="BG13" i="1" s="1"/>
  <c r="EE13" i="1"/>
  <c r="BI13" i="1" s="1"/>
  <c r="DW13" i="1"/>
  <c r="AQ13" i="1" s="1"/>
  <c r="EI13" i="1"/>
  <c r="ED13" i="1"/>
  <c r="BH13" i="1" s="1"/>
  <c r="DR13" i="1"/>
  <c r="AL13" i="1" s="1"/>
  <c r="EG14" i="1"/>
  <c r="BK14" i="1" s="1"/>
  <c r="EH13" i="1"/>
  <c r="BL13" i="1" s="1"/>
  <c r="DO13" i="1"/>
  <c r="AI13" i="1" s="1"/>
  <c r="EF15" i="1"/>
  <c r="BJ15" i="1" s="1"/>
  <c r="DX12" i="1"/>
  <c r="EJ13" i="1"/>
  <c r="BO13" i="1" s="1"/>
  <c r="DY13" i="1"/>
  <c r="BC13" i="1" s="1"/>
  <c r="DR14" i="19"/>
  <c r="AL13" i="19"/>
  <c r="DV15" i="19"/>
  <c r="AP14" i="19"/>
  <c r="BJ12" i="19"/>
  <c r="EF13" i="19"/>
  <c r="AQ12" i="19"/>
  <c r="DW13" i="19"/>
  <c r="EH14" i="19"/>
  <c r="BL13" i="19"/>
  <c r="DY14" i="19"/>
  <c r="BC13" i="19"/>
  <c r="DX20" i="19"/>
  <c r="DZ14" i="19"/>
  <c r="BD13" i="19"/>
  <c r="EI21" i="19"/>
  <c r="ED18" i="19"/>
  <c r="BH17" i="19"/>
  <c r="AR11" i="19"/>
  <c r="AK12" i="19"/>
  <c r="DQ13" i="19"/>
  <c r="BK14" i="19"/>
  <c r="EG15" i="19"/>
  <c r="BO13" i="19"/>
  <c r="EJ14" i="19"/>
  <c r="BG14" i="19"/>
  <c r="EC15" i="19"/>
  <c r="DU13" i="19"/>
  <c r="AO12" i="19"/>
  <c r="BF13" i="19"/>
  <c r="EB14" i="19"/>
  <c r="DN13" i="1"/>
  <c r="AH13" i="1" s="1"/>
  <c r="BR10" i="21" l="1"/>
  <c r="D11" i="14"/>
  <c r="I11" i="15" s="1"/>
  <c r="BO14" i="21"/>
  <c r="EJ15" i="21"/>
  <c r="BQ11" i="21"/>
  <c r="AN13" i="21"/>
  <c r="DT14" i="21"/>
  <c r="DS14" i="21"/>
  <c r="AM13" i="21"/>
  <c r="BC13" i="21"/>
  <c r="DY14" i="21"/>
  <c r="BR10" i="19"/>
  <c r="H11" i="15"/>
  <c r="AR12" i="1"/>
  <c r="EA14" i="21"/>
  <c r="BE13" i="21"/>
  <c r="DO14" i="21"/>
  <c r="AI13" i="21"/>
  <c r="DP14" i="21"/>
  <c r="AJ13" i="21"/>
  <c r="AR12" i="21"/>
  <c r="DX13" i="21"/>
  <c r="BQ11" i="19"/>
  <c r="BL13" i="21"/>
  <c r="EH14" i="21"/>
  <c r="EB14" i="21"/>
  <c r="BF13" i="21"/>
  <c r="BM12" i="21"/>
  <c r="EI13" i="21"/>
  <c r="DW17" i="21"/>
  <c r="AQ16" i="21"/>
  <c r="DR15" i="21"/>
  <c r="AL14" i="21"/>
  <c r="DQ14" i="21"/>
  <c r="AK13" i="21"/>
  <c r="AN15" i="19"/>
  <c r="DT16" i="19"/>
  <c r="DZ17" i="21"/>
  <c r="BD16" i="21"/>
  <c r="AP13" i="21"/>
  <c r="DV14" i="21"/>
  <c r="AJ13" i="1"/>
  <c r="DP14" i="1"/>
  <c r="EE15" i="19"/>
  <c r="BI14" i="19"/>
  <c r="BI13" i="21"/>
  <c r="EE14" i="21"/>
  <c r="AM13" i="1"/>
  <c r="DS14" i="1"/>
  <c r="DP14" i="19"/>
  <c r="AJ13" i="19"/>
  <c r="DN15" i="19"/>
  <c r="AH14" i="19"/>
  <c r="AH13" i="21"/>
  <c r="DN14" i="21"/>
  <c r="AO13" i="21"/>
  <c r="DU14" i="21"/>
  <c r="BF13" i="1"/>
  <c r="EB14" i="1"/>
  <c r="BJ16" i="21"/>
  <c r="EF17" i="21"/>
  <c r="ED15" i="21"/>
  <c r="BH14" i="21"/>
  <c r="BE13" i="19"/>
  <c r="EA14" i="19"/>
  <c r="DO14" i="19"/>
  <c r="AI13" i="19"/>
  <c r="DS14" i="19"/>
  <c r="AM13" i="19"/>
  <c r="EG14" i="21"/>
  <c r="BK13" i="21"/>
  <c r="BM12" i="19"/>
  <c r="EC16" i="21"/>
  <c r="BG15" i="21"/>
  <c r="BM13" i="1"/>
  <c r="BR11" i="1"/>
  <c r="DO14" i="1"/>
  <c r="AI14" i="1" s="1"/>
  <c r="EG15" i="1"/>
  <c r="BK15" i="1" s="1"/>
  <c r="EC14" i="1"/>
  <c r="BG14" i="1" s="1"/>
  <c r="DX13" i="1"/>
  <c r="BQ12" i="1"/>
  <c r="ED14" i="1"/>
  <c r="BH14" i="1" s="1"/>
  <c r="EF16" i="1"/>
  <c r="BJ16" i="1" s="1"/>
  <c r="DR14" i="1"/>
  <c r="AL14" i="1" s="1"/>
  <c r="EE14" i="1"/>
  <c r="BI14" i="1" s="1"/>
  <c r="EA14" i="1"/>
  <c r="BE14" i="1" s="1"/>
  <c r="DZ14" i="1"/>
  <c r="BD14" i="1" s="1"/>
  <c r="DQ15" i="1"/>
  <c r="AK15" i="1" s="1"/>
  <c r="DT14" i="1"/>
  <c r="AN14" i="1" s="1"/>
  <c r="EH14" i="1"/>
  <c r="BL14" i="1" s="1"/>
  <c r="DW14" i="1"/>
  <c r="AQ14" i="1" s="1"/>
  <c r="DU14" i="1"/>
  <c r="AO14" i="1" s="1"/>
  <c r="DV14" i="1"/>
  <c r="AP14" i="1" s="1"/>
  <c r="EI14" i="1"/>
  <c r="BR10" i="1"/>
  <c r="EJ14" i="1"/>
  <c r="BO14" i="1" s="1"/>
  <c r="DY14" i="1"/>
  <c r="BC14" i="1" s="1"/>
  <c r="DR15" i="19"/>
  <c r="AL14" i="19"/>
  <c r="DV16" i="19"/>
  <c r="AP15" i="19"/>
  <c r="EH15" i="19"/>
  <c r="BL14" i="19"/>
  <c r="DW14" i="19"/>
  <c r="AQ13" i="19"/>
  <c r="BJ13" i="19"/>
  <c r="EF14" i="19"/>
  <c r="BK15" i="19"/>
  <c r="EG16" i="19"/>
  <c r="DQ14" i="19"/>
  <c r="AK13" i="19"/>
  <c r="AR12" i="19"/>
  <c r="BG15" i="19"/>
  <c r="EC16" i="19"/>
  <c r="ED19" i="19"/>
  <c r="BH18" i="19"/>
  <c r="DX21" i="19"/>
  <c r="BC14" i="19"/>
  <c r="DY15" i="19"/>
  <c r="EJ15" i="19"/>
  <c r="BO14" i="19"/>
  <c r="EB15" i="19"/>
  <c r="BF14" i="19"/>
  <c r="DU14" i="19"/>
  <c r="AO13" i="19"/>
  <c r="EI22" i="19"/>
  <c r="DZ15" i="19"/>
  <c r="BD14" i="19"/>
  <c r="DN14" i="1"/>
  <c r="AH14" i="1" s="1"/>
  <c r="BR11" i="21" l="1"/>
  <c r="D12" i="14"/>
  <c r="I12" i="15" s="1"/>
  <c r="F3" i="23"/>
  <c r="M3" i="25"/>
  <c r="F11" i="14"/>
  <c r="BO15" i="21"/>
  <c r="EJ16" i="21"/>
  <c r="AN14" i="21"/>
  <c r="DT15" i="21"/>
  <c r="DS15" i="21"/>
  <c r="AM14" i="21"/>
  <c r="BC14" i="21"/>
  <c r="DY15" i="21"/>
  <c r="H3" i="25"/>
  <c r="E3" i="23"/>
  <c r="BR11" i="19"/>
  <c r="C12" i="14"/>
  <c r="BE14" i="19"/>
  <c r="EA15" i="19"/>
  <c r="AP14" i="21"/>
  <c r="DV15" i="21"/>
  <c r="BH15" i="21"/>
  <c r="ED16" i="21"/>
  <c r="DP15" i="19"/>
  <c r="AJ14" i="19"/>
  <c r="DZ18" i="21"/>
  <c r="BD17" i="21"/>
  <c r="AM14" i="1"/>
  <c r="DS15" i="1"/>
  <c r="AN16" i="19"/>
  <c r="DT17" i="19"/>
  <c r="EI14" i="21"/>
  <c r="BM13" i="21"/>
  <c r="AR13" i="21"/>
  <c r="DX14" i="21"/>
  <c r="BQ12" i="21"/>
  <c r="BJ17" i="21"/>
  <c r="EF18" i="21"/>
  <c r="BF14" i="1"/>
  <c r="EB15" i="1"/>
  <c r="EE15" i="21"/>
  <c r="BI14" i="21"/>
  <c r="AK14" i="21"/>
  <c r="DQ15" i="21"/>
  <c r="EB15" i="21"/>
  <c r="BF14" i="21"/>
  <c r="DP15" i="21"/>
  <c r="AJ14" i="21"/>
  <c r="DU15" i="21"/>
  <c r="AO14" i="21"/>
  <c r="BL14" i="21"/>
  <c r="EH15" i="21"/>
  <c r="DN16" i="19"/>
  <c r="AH15" i="19"/>
  <c r="DS15" i="19"/>
  <c r="AM14" i="19"/>
  <c r="EE16" i="19"/>
  <c r="BI15" i="19"/>
  <c r="AI14" i="21"/>
  <c r="DO15" i="21"/>
  <c r="BG16" i="21"/>
  <c r="EC17" i="21"/>
  <c r="EG15" i="21"/>
  <c r="BK14" i="21"/>
  <c r="DN15" i="21"/>
  <c r="AH14" i="21"/>
  <c r="AJ14" i="1"/>
  <c r="DP15" i="1"/>
  <c r="DW18" i="21"/>
  <c r="AQ17" i="21"/>
  <c r="BQ12" i="19"/>
  <c r="AR13" i="1"/>
  <c r="BQ13" i="1" s="1"/>
  <c r="BM13" i="19"/>
  <c r="BM14" i="1"/>
  <c r="AI14" i="19"/>
  <c r="DO15" i="19"/>
  <c r="DR16" i="21"/>
  <c r="AL15" i="21"/>
  <c r="BE14" i="21"/>
  <c r="EA15" i="21"/>
  <c r="BR12" i="1"/>
  <c r="DZ15" i="1"/>
  <c r="BD15" i="1" s="1"/>
  <c r="EC15" i="1"/>
  <c r="BG15" i="1" s="1"/>
  <c r="DO15" i="1"/>
  <c r="AI15" i="1" s="1"/>
  <c r="DX14" i="1"/>
  <c r="DW15" i="1"/>
  <c r="AQ15" i="1" s="1"/>
  <c r="DU15" i="1"/>
  <c r="AO15" i="1" s="1"/>
  <c r="EH15" i="1"/>
  <c r="BL15" i="1" s="1"/>
  <c r="DQ16" i="1"/>
  <c r="AK16" i="1" s="1"/>
  <c r="EA15" i="1"/>
  <c r="BE15" i="1" s="1"/>
  <c r="DR15" i="1"/>
  <c r="AL15" i="1" s="1"/>
  <c r="ED15" i="1"/>
  <c r="BH15" i="1" s="1"/>
  <c r="EG16" i="1"/>
  <c r="BK16" i="1" s="1"/>
  <c r="DV15" i="1"/>
  <c r="AP15" i="1" s="1"/>
  <c r="DT15" i="1"/>
  <c r="AN15" i="1" s="1"/>
  <c r="EE15" i="1"/>
  <c r="BI15" i="1" s="1"/>
  <c r="EF17" i="1"/>
  <c r="BJ17" i="1" s="1"/>
  <c r="EI15" i="1"/>
  <c r="EJ15" i="1"/>
  <c r="BO15" i="1" s="1"/>
  <c r="DY15" i="1"/>
  <c r="BC15" i="1" s="1"/>
  <c r="DR16" i="19"/>
  <c r="AL15" i="19"/>
  <c r="DW15" i="19"/>
  <c r="AQ14" i="19"/>
  <c r="AP16" i="19"/>
  <c r="DV17" i="19"/>
  <c r="EF15" i="19"/>
  <c r="BJ14" i="19"/>
  <c r="EH16" i="19"/>
  <c r="BL15" i="19"/>
  <c r="BH19" i="19"/>
  <c r="ED20" i="19"/>
  <c r="AK14" i="19"/>
  <c r="DQ15" i="19"/>
  <c r="DZ16" i="19"/>
  <c r="BD15" i="19"/>
  <c r="EI23" i="19"/>
  <c r="DU15" i="19"/>
  <c r="AO14" i="19"/>
  <c r="DY16" i="19"/>
  <c r="BC15" i="19"/>
  <c r="EG17" i="19"/>
  <c r="BK16" i="19"/>
  <c r="BM14" i="19"/>
  <c r="EB16" i="19"/>
  <c r="BF15" i="19"/>
  <c r="DX22" i="19"/>
  <c r="EC17" i="19"/>
  <c r="BG16" i="19"/>
  <c r="AR13" i="19"/>
  <c r="EJ16" i="19"/>
  <c r="BO15" i="19"/>
  <c r="DN15" i="1"/>
  <c r="AH15" i="1" s="1"/>
  <c r="M4" i="25" l="1"/>
  <c r="F4" i="23"/>
  <c r="BR12" i="21"/>
  <c r="D13" i="14"/>
  <c r="I13" i="15" s="1"/>
  <c r="BO16" i="21"/>
  <c r="EJ17" i="21"/>
  <c r="BQ13" i="21"/>
  <c r="AN15" i="21"/>
  <c r="DT16" i="21"/>
  <c r="DS16" i="21"/>
  <c r="AM15" i="21"/>
  <c r="BC15" i="21"/>
  <c r="DY16" i="21"/>
  <c r="H12" i="15"/>
  <c r="F12" i="14"/>
  <c r="BR12" i="19"/>
  <c r="C13" i="14"/>
  <c r="BR13" i="1"/>
  <c r="BE15" i="21"/>
  <c r="EA16" i="21"/>
  <c r="AQ18" i="21"/>
  <c r="DW19" i="21"/>
  <c r="DU16" i="21"/>
  <c r="AO15" i="21"/>
  <c r="AJ15" i="21"/>
  <c r="DP16" i="21"/>
  <c r="DX15" i="21"/>
  <c r="AR14" i="21"/>
  <c r="BH16" i="21"/>
  <c r="ED17" i="21"/>
  <c r="DO16" i="19"/>
  <c r="AI15" i="19"/>
  <c r="BI16" i="19"/>
  <c r="EE17" i="19"/>
  <c r="BF15" i="21"/>
  <c r="EB16" i="21"/>
  <c r="AL16" i="21"/>
  <c r="DR17" i="21"/>
  <c r="DQ16" i="21"/>
  <c r="AK15" i="21"/>
  <c r="BM14" i="21"/>
  <c r="EI15" i="21"/>
  <c r="DT18" i="19"/>
  <c r="AN17" i="19"/>
  <c r="DP16" i="19"/>
  <c r="AJ15" i="19"/>
  <c r="AR14" i="1"/>
  <c r="BK15" i="21"/>
  <c r="EG16" i="21"/>
  <c r="DN17" i="19"/>
  <c r="AH16" i="19"/>
  <c r="EE16" i="21"/>
  <c r="BI15" i="21"/>
  <c r="AM15" i="1"/>
  <c r="DS16" i="1"/>
  <c r="DV16" i="21"/>
  <c r="AP15" i="21"/>
  <c r="AH15" i="21"/>
  <c r="DN16" i="21"/>
  <c r="DS16" i="19"/>
  <c r="AM15" i="19"/>
  <c r="EC18" i="21"/>
  <c r="BG17" i="21"/>
  <c r="BL15" i="21"/>
  <c r="EH16" i="21"/>
  <c r="BF15" i="1"/>
  <c r="BM15" i="1" s="1"/>
  <c r="EB16" i="1"/>
  <c r="EA16" i="19"/>
  <c r="BE15" i="19"/>
  <c r="BM15" i="19" s="1"/>
  <c r="AJ15" i="1"/>
  <c r="DP16" i="1"/>
  <c r="BQ13" i="19"/>
  <c r="DO16" i="21"/>
  <c r="AI15" i="21"/>
  <c r="BJ18" i="21"/>
  <c r="EF19" i="21"/>
  <c r="BD18" i="21"/>
  <c r="DZ19" i="21"/>
  <c r="EE16" i="1"/>
  <c r="BI16" i="1" s="1"/>
  <c r="DV16" i="1"/>
  <c r="AP16" i="1" s="1"/>
  <c r="EG17" i="1"/>
  <c r="BK17" i="1" s="1"/>
  <c r="ED16" i="1"/>
  <c r="BH16" i="1" s="1"/>
  <c r="DR16" i="1"/>
  <c r="AL16" i="1" s="1"/>
  <c r="DQ17" i="1"/>
  <c r="AK17" i="1" s="1"/>
  <c r="DU16" i="1"/>
  <c r="AO16" i="1" s="1"/>
  <c r="DW16" i="1"/>
  <c r="AQ16" i="1" s="1"/>
  <c r="DO16" i="1"/>
  <c r="AI16" i="1" s="1"/>
  <c r="DZ16" i="1"/>
  <c r="BD16" i="1" s="1"/>
  <c r="EI16" i="1"/>
  <c r="EF18" i="1"/>
  <c r="BJ18" i="1" s="1"/>
  <c r="DT16" i="1"/>
  <c r="AN16" i="1" s="1"/>
  <c r="EA16" i="1"/>
  <c r="BE16" i="1" s="1"/>
  <c r="EH16" i="1"/>
  <c r="BL16" i="1" s="1"/>
  <c r="EC16" i="1"/>
  <c r="BG16" i="1" s="1"/>
  <c r="C4" i="25"/>
  <c r="D4" i="23"/>
  <c r="DX15" i="1"/>
  <c r="BQ14" i="1"/>
  <c r="C3" i="25"/>
  <c r="D3" i="23"/>
  <c r="H11" i="14"/>
  <c r="EJ16" i="1"/>
  <c r="BO16" i="1" s="1"/>
  <c r="DY16" i="1"/>
  <c r="BC16" i="1" s="1"/>
  <c r="AR14" i="19"/>
  <c r="AL16" i="19"/>
  <c r="DR17" i="19"/>
  <c r="EH17" i="19"/>
  <c r="BL16" i="19"/>
  <c r="EF16" i="19"/>
  <c r="BJ15" i="19"/>
  <c r="DW16" i="19"/>
  <c r="AQ15" i="19"/>
  <c r="DV18" i="19"/>
  <c r="AP17" i="19"/>
  <c r="DX23" i="19"/>
  <c r="DU16" i="19"/>
  <c r="AO15" i="19"/>
  <c r="EI24" i="19"/>
  <c r="EG18" i="19"/>
  <c r="BK17" i="19"/>
  <c r="DQ16" i="19"/>
  <c r="AK15" i="19"/>
  <c r="EJ17" i="19"/>
  <c r="BO16" i="19"/>
  <c r="EC18" i="19"/>
  <c r="BG17" i="19"/>
  <c r="EB17" i="19"/>
  <c r="BF16" i="19"/>
  <c r="BC16" i="19"/>
  <c r="DY17" i="19"/>
  <c r="DZ17" i="19"/>
  <c r="BD16" i="19"/>
  <c r="ED21" i="19"/>
  <c r="BH20" i="19"/>
  <c r="DN16" i="1"/>
  <c r="AH16" i="1" s="1"/>
  <c r="BR13" i="21" l="1"/>
  <c r="D14" i="14"/>
  <c r="I14" i="15" s="1"/>
  <c r="M5" i="25"/>
  <c r="F5" i="23"/>
  <c r="EJ18" i="21"/>
  <c r="BO17" i="21"/>
  <c r="DT17" i="21"/>
  <c r="AN16" i="21"/>
  <c r="AM16" i="21"/>
  <c r="DS17" i="21"/>
  <c r="DY17" i="21"/>
  <c r="BC16" i="21"/>
  <c r="H12" i="14"/>
  <c r="E4" i="23"/>
  <c r="H4" i="25"/>
  <c r="H13" i="15"/>
  <c r="F13" i="14"/>
  <c r="BR13" i="19"/>
  <c r="C14" i="14"/>
  <c r="AM16" i="1"/>
  <c r="DS17" i="1"/>
  <c r="EB17" i="21"/>
  <c r="BF16" i="21"/>
  <c r="EE18" i="19"/>
  <c r="BI17" i="19"/>
  <c r="BM16" i="1"/>
  <c r="BI16" i="21"/>
  <c r="EE17" i="21"/>
  <c r="DT19" i="19"/>
  <c r="AN18" i="19"/>
  <c r="EI16" i="21"/>
  <c r="BM15" i="21"/>
  <c r="DZ20" i="21"/>
  <c r="BD19" i="21"/>
  <c r="DP17" i="19"/>
  <c r="AJ16" i="19"/>
  <c r="BG18" i="21"/>
  <c r="EC19" i="21"/>
  <c r="DN18" i="19"/>
  <c r="AH17" i="19"/>
  <c r="AI16" i="19"/>
  <c r="DO17" i="19"/>
  <c r="AO16" i="21"/>
  <c r="DU17" i="21"/>
  <c r="EF20" i="21"/>
  <c r="BJ19" i="21"/>
  <c r="EG17" i="21"/>
  <c r="BK16" i="21"/>
  <c r="ED18" i="21"/>
  <c r="BH17" i="21"/>
  <c r="AQ19" i="21"/>
  <c r="DW20" i="21"/>
  <c r="DQ17" i="21"/>
  <c r="AK16" i="21"/>
  <c r="BF16" i="1"/>
  <c r="EB17" i="1"/>
  <c r="AJ16" i="1"/>
  <c r="DP17" i="1"/>
  <c r="DN17" i="21"/>
  <c r="AH16" i="21"/>
  <c r="AL17" i="21"/>
  <c r="DR18" i="21"/>
  <c r="BQ14" i="21"/>
  <c r="EA17" i="21"/>
  <c r="BE16" i="21"/>
  <c r="BL16" i="21"/>
  <c r="EH17" i="21"/>
  <c r="AR15" i="19"/>
  <c r="DX16" i="21"/>
  <c r="AR15" i="21"/>
  <c r="AR15" i="1"/>
  <c r="BQ15" i="1" s="1"/>
  <c r="AJ16" i="21"/>
  <c r="DP17" i="21"/>
  <c r="BQ14" i="19"/>
  <c r="DO17" i="21"/>
  <c r="AI16" i="21"/>
  <c r="AM16" i="19"/>
  <c r="DS17" i="19"/>
  <c r="BE16" i="19"/>
  <c r="EA17" i="19"/>
  <c r="DV17" i="21"/>
  <c r="AP16" i="21"/>
  <c r="BR14" i="1"/>
  <c r="EH17" i="1"/>
  <c r="BL17" i="1" s="1"/>
  <c r="EF19" i="1"/>
  <c r="BJ19" i="1" s="1"/>
  <c r="DZ17" i="1"/>
  <c r="BD17" i="1" s="1"/>
  <c r="DW17" i="1"/>
  <c r="AQ17" i="1" s="1"/>
  <c r="DQ18" i="1"/>
  <c r="AK18" i="1" s="1"/>
  <c r="ED17" i="1"/>
  <c r="BH17" i="1" s="1"/>
  <c r="DV17" i="1"/>
  <c r="AP17" i="1" s="1"/>
  <c r="EC17" i="1"/>
  <c r="BG17" i="1" s="1"/>
  <c r="EA17" i="1"/>
  <c r="BE17" i="1" s="1"/>
  <c r="DT17" i="1"/>
  <c r="AN17" i="1" s="1"/>
  <c r="DO17" i="1"/>
  <c r="AI17" i="1" s="1"/>
  <c r="DU17" i="1"/>
  <c r="AO17" i="1" s="1"/>
  <c r="DR17" i="1"/>
  <c r="AL17" i="1" s="1"/>
  <c r="EG18" i="1"/>
  <c r="BK18" i="1" s="1"/>
  <c r="EE17" i="1"/>
  <c r="BI17" i="1" s="1"/>
  <c r="DX16" i="1"/>
  <c r="C5" i="25"/>
  <c r="D5" i="23"/>
  <c r="EI17" i="1"/>
  <c r="C6" i="25"/>
  <c r="D6" i="23"/>
  <c r="EJ17" i="1"/>
  <c r="BO17" i="1" s="1"/>
  <c r="DY17" i="1"/>
  <c r="BC17" i="1" s="1"/>
  <c r="DR18" i="19"/>
  <c r="AL17" i="19"/>
  <c r="DW17" i="19"/>
  <c r="AQ16" i="19"/>
  <c r="BL17" i="19"/>
  <c r="EH18" i="19"/>
  <c r="AP18" i="19"/>
  <c r="DV19" i="19"/>
  <c r="BJ16" i="19"/>
  <c r="BM16" i="19" s="1"/>
  <c r="EF17" i="19"/>
  <c r="BC17" i="19"/>
  <c r="DY18" i="19"/>
  <c r="EG19" i="19"/>
  <c r="BK18" i="19"/>
  <c r="EI25" i="19"/>
  <c r="EJ18" i="19"/>
  <c r="BO17" i="19"/>
  <c r="DZ18" i="19"/>
  <c r="BD17" i="19"/>
  <c r="DU17" i="19"/>
  <c r="AO16" i="19"/>
  <c r="ED22" i="19"/>
  <c r="BH21" i="19"/>
  <c r="EB18" i="19"/>
  <c r="BF17" i="19"/>
  <c r="EC19" i="19"/>
  <c r="BG18" i="19"/>
  <c r="DQ17" i="19"/>
  <c r="AK16" i="19"/>
  <c r="DX24" i="19"/>
  <c r="DN17" i="1"/>
  <c r="AH17" i="1" s="1"/>
  <c r="M6" i="25" l="1"/>
  <c r="F6" i="23"/>
  <c r="BR14" i="21"/>
  <c r="D15" i="14"/>
  <c r="I15" i="15" s="1"/>
  <c r="EJ19" i="21"/>
  <c r="BO18" i="21"/>
  <c r="AN17" i="21"/>
  <c r="DT18" i="21"/>
  <c r="AM17" i="21"/>
  <c r="DS18" i="21"/>
  <c r="BQ15" i="21"/>
  <c r="DY18" i="21"/>
  <c r="BC17" i="21"/>
  <c r="BR14" i="19"/>
  <c r="C15" i="14"/>
  <c r="H13" i="14"/>
  <c r="E5" i="23"/>
  <c r="H5" i="25"/>
  <c r="H14" i="15"/>
  <c r="F14" i="14"/>
  <c r="G14" i="14" s="1"/>
  <c r="AR16" i="1"/>
  <c r="AH18" i="19"/>
  <c r="DN19" i="19"/>
  <c r="DT20" i="19"/>
  <c r="AN19" i="19"/>
  <c r="AL18" i="21"/>
  <c r="DR19" i="21"/>
  <c r="EA18" i="19"/>
  <c r="BE17" i="19"/>
  <c r="BH18" i="21"/>
  <c r="ED19" i="21"/>
  <c r="BG19" i="21"/>
  <c r="EC20" i="21"/>
  <c r="AM17" i="19"/>
  <c r="DS18" i="19"/>
  <c r="DN18" i="21"/>
  <c r="AH17" i="21"/>
  <c r="EG18" i="21"/>
  <c r="BK17" i="21"/>
  <c r="DP18" i="19"/>
  <c r="AJ17" i="19"/>
  <c r="AJ17" i="1"/>
  <c r="AR17" i="1" s="1"/>
  <c r="DP18" i="1"/>
  <c r="EE19" i="19"/>
  <c r="BI18" i="19"/>
  <c r="AR16" i="21"/>
  <c r="DX17" i="21"/>
  <c r="EF21" i="21"/>
  <c r="BJ20" i="21"/>
  <c r="BD20" i="21"/>
  <c r="DZ21" i="21"/>
  <c r="BQ15" i="19"/>
  <c r="BF17" i="1"/>
  <c r="EB18" i="1"/>
  <c r="AO17" i="21"/>
  <c r="DU18" i="21"/>
  <c r="AP17" i="21"/>
  <c r="DV18" i="21"/>
  <c r="EH18" i="21"/>
  <c r="BL17" i="21"/>
  <c r="BM16" i="21"/>
  <c r="EI17" i="21"/>
  <c r="DO18" i="19"/>
  <c r="AI17" i="19"/>
  <c r="BF17" i="21"/>
  <c r="EB18" i="21"/>
  <c r="DO18" i="21"/>
  <c r="AI17" i="21"/>
  <c r="DP18" i="21"/>
  <c r="AJ17" i="21"/>
  <c r="DQ18" i="21"/>
  <c r="AK17" i="21"/>
  <c r="AM17" i="1"/>
  <c r="DS18" i="1"/>
  <c r="BI17" i="21"/>
  <c r="EE18" i="21"/>
  <c r="BE17" i="21"/>
  <c r="EA18" i="21"/>
  <c r="DW21" i="21"/>
  <c r="AQ20" i="21"/>
  <c r="BM17" i="1"/>
  <c r="DR18" i="1"/>
  <c r="AL18" i="1" s="1"/>
  <c r="DO18" i="1"/>
  <c r="AI18" i="1" s="1"/>
  <c r="EC18" i="1"/>
  <c r="BG18" i="1" s="1"/>
  <c r="ED18" i="1"/>
  <c r="BH18" i="1" s="1"/>
  <c r="DW18" i="1"/>
  <c r="AQ18" i="1" s="1"/>
  <c r="EF20" i="1"/>
  <c r="BJ20" i="1" s="1"/>
  <c r="EH18" i="1"/>
  <c r="BL18" i="1" s="1"/>
  <c r="EG19" i="1"/>
  <c r="BK19" i="1" s="1"/>
  <c r="DU18" i="1"/>
  <c r="AO18" i="1" s="1"/>
  <c r="DT18" i="1"/>
  <c r="AN18" i="1" s="1"/>
  <c r="EA18" i="1"/>
  <c r="BE18" i="1" s="1"/>
  <c r="DV18" i="1"/>
  <c r="AP18" i="1" s="1"/>
  <c r="DQ19" i="1"/>
  <c r="AK19" i="1" s="1"/>
  <c r="DZ18" i="1"/>
  <c r="BD18" i="1" s="1"/>
  <c r="EE18" i="1"/>
  <c r="BI18" i="1" s="1"/>
  <c r="EI18" i="1"/>
  <c r="DX17" i="1"/>
  <c r="BR15" i="1"/>
  <c r="BQ16" i="1"/>
  <c r="EJ18" i="1"/>
  <c r="BO18" i="1" s="1"/>
  <c r="DY18" i="1"/>
  <c r="BC18" i="1" s="1"/>
  <c r="AL18" i="19"/>
  <c r="DR19" i="19"/>
  <c r="BJ17" i="19"/>
  <c r="EF18" i="19"/>
  <c r="AQ17" i="19"/>
  <c r="DW18" i="19"/>
  <c r="EH19" i="19"/>
  <c r="BL18" i="19"/>
  <c r="DV20" i="19"/>
  <c r="AP19" i="19"/>
  <c r="AR16" i="19"/>
  <c r="EI26" i="19"/>
  <c r="DX25" i="19"/>
  <c r="DQ18" i="19"/>
  <c r="AK17" i="19"/>
  <c r="EB19" i="19"/>
  <c r="BF18" i="19"/>
  <c r="ED23" i="19"/>
  <c r="BH22" i="19"/>
  <c r="DU18" i="19"/>
  <c r="AO17" i="19"/>
  <c r="BC18" i="19"/>
  <c r="DY19" i="19"/>
  <c r="EG20" i="19"/>
  <c r="BK19" i="19"/>
  <c r="BG19" i="19"/>
  <c r="EC20" i="19"/>
  <c r="DZ19" i="19"/>
  <c r="BD18" i="19"/>
  <c r="EJ19" i="19"/>
  <c r="BO18" i="19"/>
  <c r="DN18" i="1"/>
  <c r="AH18" i="1" s="1"/>
  <c r="BR15" i="21" l="1"/>
  <c r="D16" i="14"/>
  <c r="I16" i="15" s="1"/>
  <c r="M7" i="25"/>
  <c r="F7" i="23"/>
  <c r="BO19" i="21"/>
  <c r="EJ20" i="21"/>
  <c r="DT19" i="21"/>
  <c r="AN18" i="21"/>
  <c r="AM18" i="21"/>
  <c r="DS19" i="21"/>
  <c r="DY19" i="21"/>
  <c r="BC18" i="21"/>
  <c r="BR15" i="19"/>
  <c r="C16" i="14"/>
  <c r="H15" i="15"/>
  <c r="F15" i="14"/>
  <c r="G15" i="14" s="1"/>
  <c r="H14" i="14"/>
  <c r="E6" i="23"/>
  <c r="H6" i="25"/>
  <c r="BM17" i="19"/>
  <c r="BM17" i="21"/>
  <c r="EI18" i="21"/>
  <c r="AJ18" i="1"/>
  <c r="DP19" i="1"/>
  <c r="DQ19" i="21"/>
  <c r="AK18" i="21"/>
  <c r="ED20" i="21"/>
  <c r="BH19" i="21"/>
  <c r="EH19" i="21"/>
  <c r="BL18" i="21"/>
  <c r="BD21" i="21"/>
  <c r="DZ22" i="21"/>
  <c r="AQ21" i="21"/>
  <c r="DW22" i="21"/>
  <c r="AI18" i="21"/>
  <c r="DO19" i="21"/>
  <c r="BK18" i="21"/>
  <c r="EG19" i="21"/>
  <c r="BE18" i="19"/>
  <c r="EA19" i="19"/>
  <c r="EA19" i="21"/>
  <c r="BE18" i="21"/>
  <c r="BF18" i="21"/>
  <c r="EB19" i="21"/>
  <c r="AL19" i="21"/>
  <c r="DR20" i="21"/>
  <c r="AJ18" i="19"/>
  <c r="DP19" i="19"/>
  <c r="BJ21" i="21"/>
  <c r="EF22" i="21"/>
  <c r="DN19" i="21"/>
  <c r="AH18" i="21"/>
  <c r="AP18" i="21"/>
  <c r="DV19" i="21"/>
  <c r="EE19" i="21"/>
  <c r="BI18" i="21"/>
  <c r="DU19" i="21"/>
  <c r="AO18" i="21"/>
  <c r="DX18" i="21"/>
  <c r="AR17" i="21"/>
  <c r="AM18" i="19"/>
  <c r="DS19" i="19"/>
  <c r="AJ18" i="21"/>
  <c r="DP19" i="21"/>
  <c r="BQ16" i="21"/>
  <c r="AN20" i="19"/>
  <c r="DT21" i="19"/>
  <c r="AM18" i="1"/>
  <c r="DS19" i="1"/>
  <c r="BF18" i="1"/>
  <c r="BM18" i="1" s="1"/>
  <c r="EB19" i="1"/>
  <c r="EC21" i="21"/>
  <c r="BG20" i="21"/>
  <c r="DN20" i="19"/>
  <c r="AH19" i="19"/>
  <c r="BQ16" i="19"/>
  <c r="DO19" i="19"/>
  <c r="AI18" i="19"/>
  <c r="BI19" i="19"/>
  <c r="EE20" i="19"/>
  <c r="EE19" i="1"/>
  <c r="BI19" i="1" s="1"/>
  <c r="DQ20" i="1"/>
  <c r="AK20" i="1" s="1"/>
  <c r="EA19" i="1"/>
  <c r="BE19" i="1" s="1"/>
  <c r="DU19" i="1"/>
  <c r="AO19" i="1" s="1"/>
  <c r="EH19" i="1"/>
  <c r="BL19" i="1" s="1"/>
  <c r="DW19" i="1"/>
  <c r="AQ19" i="1" s="1"/>
  <c r="EC19" i="1"/>
  <c r="BG19" i="1" s="1"/>
  <c r="DO19" i="1"/>
  <c r="AI19" i="1" s="1"/>
  <c r="EI19" i="1"/>
  <c r="D7" i="23"/>
  <c r="C7" i="25"/>
  <c r="DZ19" i="1"/>
  <c r="BD19" i="1" s="1"/>
  <c r="DV19" i="1"/>
  <c r="AP19" i="1" s="1"/>
  <c r="DT19" i="1"/>
  <c r="AN19" i="1" s="1"/>
  <c r="EG20" i="1"/>
  <c r="BK20" i="1" s="1"/>
  <c r="EF21" i="1"/>
  <c r="BJ21" i="1" s="1"/>
  <c r="ED19" i="1"/>
  <c r="BH19" i="1" s="1"/>
  <c r="DR19" i="1"/>
  <c r="AL19" i="1" s="1"/>
  <c r="DX18" i="1"/>
  <c r="BR16" i="1"/>
  <c r="C8" i="25"/>
  <c r="D8" i="23"/>
  <c r="BQ17" i="1"/>
  <c r="EJ19" i="1"/>
  <c r="BO19" i="1" s="1"/>
  <c r="DY19" i="1"/>
  <c r="BC19" i="1" s="1"/>
  <c r="DR20" i="19"/>
  <c r="AL19" i="19"/>
  <c r="AR17" i="19"/>
  <c r="BL19" i="19"/>
  <c r="EH20" i="19"/>
  <c r="AQ18" i="19"/>
  <c r="DW19" i="19"/>
  <c r="EF19" i="19"/>
  <c r="BJ18" i="19"/>
  <c r="AP20" i="19"/>
  <c r="DV21" i="19"/>
  <c r="EG21" i="19"/>
  <c r="BK20" i="19"/>
  <c r="AO18" i="19"/>
  <c r="DU19" i="19"/>
  <c r="EB20" i="19"/>
  <c r="BF19" i="19"/>
  <c r="DX26" i="19"/>
  <c r="DY20" i="19"/>
  <c r="BC19" i="19"/>
  <c r="EJ20" i="19"/>
  <c r="BO19" i="19"/>
  <c r="EC21" i="19"/>
  <c r="BG20" i="19"/>
  <c r="BH23" i="19"/>
  <c r="ED24" i="19"/>
  <c r="DQ19" i="19"/>
  <c r="AK18" i="19"/>
  <c r="EI27" i="19"/>
  <c r="BD19" i="19"/>
  <c r="DZ20" i="19"/>
  <c r="DN19" i="1"/>
  <c r="AH19" i="1" s="1"/>
  <c r="BR16" i="21" l="1"/>
  <c r="D17" i="14"/>
  <c r="I17" i="15" s="1"/>
  <c r="M8" i="25"/>
  <c r="F8" i="23"/>
  <c r="EJ21" i="21"/>
  <c r="BO20" i="21"/>
  <c r="DT20" i="21"/>
  <c r="AN19" i="21"/>
  <c r="AM19" i="21"/>
  <c r="DS20" i="21"/>
  <c r="BQ17" i="21"/>
  <c r="BC19" i="21"/>
  <c r="DY20" i="21"/>
  <c r="F16" i="14"/>
  <c r="H16" i="15"/>
  <c r="H15" i="14"/>
  <c r="E7" i="23"/>
  <c r="H7" i="25"/>
  <c r="BR16" i="19"/>
  <c r="C17" i="14"/>
  <c r="BM18" i="19"/>
  <c r="AR18" i="1"/>
  <c r="BG21" i="21"/>
  <c r="EC22" i="21"/>
  <c r="DS20" i="19"/>
  <c r="AM19" i="19"/>
  <c r="BJ22" i="21"/>
  <c r="EF23" i="21"/>
  <c r="EA20" i="19"/>
  <c r="BE19" i="19"/>
  <c r="BQ17" i="19"/>
  <c r="BE19" i="21"/>
  <c r="EA20" i="21"/>
  <c r="AM19" i="1"/>
  <c r="DS20" i="1"/>
  <c r="ED21" i="21"/>
  <c r="BH20" i="21"/>
  <c r="BF19" i="1"/>
  <c r="EB20" i="1"/>
  <c r="AJ19" i="19"/>
  <c r="DP20" i="19"/>
  <c r="BK19" i="21"/>
  <c r="EG20" i="21"/>
  <c r="DN20" i="21"/>
  <c r="AH19" i="21"/>
  <c r="DU20" i="21"/>
  <c r="AO19" i="21"/>
  <c r="AI19" i="19"/>
  <c r="DO20" i="19"/>
  <c r="AL20" i="21"/>
  <c r="DR21" i="21"/>
  <c r="DO20" i="21"/>
  <c r="AI19" i="21"/>
  <c r="DQ20" i="21"/>
  <c r="AK19" i="21"/>
  <c r="BL19" i="21"/>
  <c r="EH20" i="21"/>
  <c r="DW23" i="21"/>
  <c r="AQ22" i="21"/>
  <c r="AJ19" i="1"/>
  <c r="DP20" i="1"/>
  <c r="EE20" i="21"/>
  <c r="BI19" i="21"/>
  <c r="DX19" i="21"/>
  <c r="AR18" i="21"/>
  <c r="AH20" i="19"/>
  <c r="DN21" i="19"/>
  <c r="DP20" i="21"/>
  <c r="AJ19" i="21"/>
  <c r="AP19" i="21"/>
  <c r="DV20" i="21"/>
  <c r="BF19" i="21"/>
  <c r="EB20" i="21"/>
  <c r="BD22" i="21"/>
  <c r="DZ23" i="21"/>
  <c r="EI19" i="21"/>
  <c r="BM18" i="21"/>
  <c r="EE21" i="19"/>
  <c r="BI20" i="19"/>
  <c r="DT22" i="19"/>
  <c r="AN21" i="19"/>
  <c r="BM19" i="1"/>
  <c r="EC20" i="1"/>
  <c r="BG20" i="1" s="1"/>
  <c r="EI20" i="1"/>
  <c r="ED20" i="1"/>
  <c r="BH20" i="1" s="1"/>
  <c r="EG21" i="1"/>
  <c r="BK21" i="1" s="1"/>
  <c r="DV20" i="1"/>
  <c r="AP20" i="1" s="1"/>
  <c r="EA20" i="1"/>
  <c r="BE20" i="1" s="1"/>
  <c r="EF22" i="1"/>
  <c r="BJ22" i="1" s="1"/>
  <c r="DT20" i="1"/>
  <c r="AN20" i="1" s="1"/>
  <c r="DZ20" i="1"/>
  <c r="BD20" i="1" s="1"/>
  <c r="DO20" i="1"/>
  <c r="AI20" i="1" s="1"/>
  <c r="DW20" i="1"/>
  <c r="AQ20" i="1" s="1"/>
  <c r="DU20" i="1"/>
  <c r="AO20" i="1" s="1"/>
  <c r="DQ21" i="1"/>
  <c r="AK21" i="1" s="1"/>
  <c r="EE20" i="1"/>
  <c r="BI20" i="1" s="1"/>
  <c r="DR20" i="1"/>
  <c r="AL20" i="1" s="1"/>
  <c r="EH20" i="1"/>
  <c r="BL20" i="1" s="1"/>
  <c r="DX19" i="1"/>
  <c r="BR17" i="1"/>
  <c r="C9" i="25"/>
  <c r="D9" i="23"/>
  <c r="BQ18" i="1"/>
  <c r="EJ20" i="1"/>
  <c r="BO20" i="1" s="1"/>
  <c r="DY20" i="1"/>
  <c r="BC20" i="1" s="1"/>
  <c r="DR21" i="19"/>
  <c r="AL20" i="19"/>
  <c r="EF20" i="19"/>
  <c r="BJ19" i="19"/>
  <c r="AP21" i="19"/>
  <c r="DV22" i="19"/>
  <c r="DW20" i="19"/>
  <c r="AQ19" i="19"/>
  <c r="EH21" i="19"/>
  <c r="BL20" i="19"/>
  <c r="ED25" i="19"/>
  <c r="BH24" i="19"/>
  <c r="AR18" i="19"/>
  <c r="BK21" i="19"/>
  <c r="EG22" i="19"/>
  <c r="DZ21" i="19"/>
  <c r="BD20" i="19"/>
  <c r="EB21" i="19"/>
  <c r="BF20" i="19"/>
  <c r="EI28" i="19"/>
  <c r="DQ20" i="19"/>
  <c r="AK19" i="19"/>
  <c r="BG21" i="19"/>
  <c r="EC22" i="19"/>
  <c r="EJ21" i="19"/>
  <c r="BO20" i="19"/>
  <c r="DY21" i="19"/>
  <c r="BC20" i="19"/>
  <c r="DX27" i="19"/>
  <c r="DU20" i="19"/>
  <c r="AO19" i="19"/>
  <c r="DN20" i="1"/>
  <c r="AH20" i="1" s="1"/>
  <c r="F9" i="23" l="1"/>
  <c r="M9" i="25"/>
  <c r="BR17" i="21"/>
  <c r="D18" i="14"/>
  <c r="I18" i="15" s="1"/>
  <c r="EJ22" i="21"/>
  <c r="BO21" i="21"/>
  <c r="DT21" i="21"/>
  <c r="AN20" i="21"/>
  <c r="DS21" i="21"/>
  <c r="AM20" i="21"/>
  <c r="BC20" i="21"/>
  <c r="DY21" i="21"/>
  <c r="E8" i="23"/>
  <c r="H8" i="25"/>
  <c r="H16" i="14"/>
  <c r="BR17" i="19"/>
  <c r="C18" i="14"/>
  <c r="F17" i="14"/>
  <c r="H17" i="15"/>
  <c r="BM19" i="19"/>
  <c r="EB21" i="21"/>
  <c r="BF20" i="21"/>
  <c r="AJ20" i="1"/>
  <c r="DP21" i="1"/>
  <c r="AL21" i="21"/>
  <c r="DR22" i="21"/>
  <c r="EA21" i="21"/>
  <c r="BE20" i="21"/>
  <c r="BK20" i="21"/>
  <c r="EG21" i="21"/>
  <c r="AQ23" i="21"/>
  <c r="DW24" i="21"/>
  <c r="AI20" i="19"/>
  <c r="DO21" i="19"/>
  <c r="AJ20" i="19"/>
  <c r="DP21" i="19"/>
  <c r="BQ18" i="19"/>
  <c r="AN22" i="19"/>
  <c r="DT23" i="19"/>
  <c r="AJ20" i="21"/>
  <c r="DP21" i="21"/>
  <c r="BE20" i="19"/>
  <c r="EA21" i="19"/>
  <c r="DN22" i="19"/>
  <c r="AH21" i="19"/>
  <c r="BL20" i="21"/>
  <c r="EH21" i="21"/>
  <c r="BF20" i="1"/>
  <c r="BM20" i="1" s="1"/>
  <c r="EB21" i="1"/>
  <c r="EF24" i="21"/>
  <c r="BJ23" i="21"/>
  <c r="AP20" i="21"/>
  <c r="DV21" i="21"/>
  <c r="EE22" i="19"/>
  <c r="BI21" i="19"/>
  <c r="AH20" i="21"/>
  <c r="DN21" i="21"/>
  <c r="BQ18" i="21"/>
  <c r="BM19" i="21"/>
  <c r="EI20" i="21"/>
  <c r="DX20" i="21"/>
  <c r="AR19" i="21"/>
  <c r="AK20" i="21"/>
  <c r="DQ21" i="21"/>
  <c r="AO20" i="21"/>
  <c r="DU21" i="21"/>
  <c r="ED22" i="21"/>
  <c r="BH21" i="21"/>
  <c r="DS21" i="19"/>
  <c r="AM20" i="19"/>
  <c r="AR19" i="1"/>
  <c r="BQ19" i="1" s="1"/>
  <c r="DZ24" i="21"/>
  <c r="BD23" i="21"/>
  <c r="AM20" i="1"/>
  <c r="DS21" i="1"/>
  <c r="EC23" i="21"/>
  <c r="BG22" i="21"/>
  <c r="EE21" i="21"/>
  <c r="BI20" i="21"/>
  <c r="DO21" i="21"/>
  <c r="AI20" i="21"/>
  <c r="DX20" i="1"/>
  <c r="EE21" i="1"/>
  <c r="BI21" i="1" s="1"/>
  <c r="DU21" i="1"/>
  <c r="AO21" i="1" s="1"/>
  <c r="DZ21" i="1"/>
  <c r="BD21" i="1" s="1"/>
  <c r="EA21" i="1"/>
  <c r="BE21" i="1" s="1"/>
  <c r="EG22" i="1"/>
  <c r="BK22" i="1" s="1"/>
  <c r="EI21" i="1"/>
  <c r="DR21" i="1"/>
  <c r="AL21" i="1" s="1"/>
  <c r="DQ22" i="1"/>
  <c r="AK22" i="1" s="1"/>
  <c r="DW21" i="1"/>
  <c r="AQ21" i="1" s="1"/>
  <c r="DT21" i="1"/>
  <c r="AN21" i="1" s="1"/>
  <c r="DV21" i="1"/>
  <c r="AP21" i="1" s="1"/>
  <c r="ED21" i="1"/>
  <c r="BH21" i="1" s="1"/>
  <c r="EC21" i="1"/>
  <c r="BG21" i="1" s="1"/>
  <c r="EH21" i="1"/>
  <c r="BL21" i="1" s="1"/>
  <c r="DO21" i="1"/>
  <c r="AI21" i="1" s="1"/>
  <c r="EF23" i="1"/>
  <c r="BJ23" i="1" s="1"/>
  <c r="BR18" i="1"/>
  <c r="C10" i="25"/>
  <c r="D10" i="23"/>
  <c r="EJ21" i="1"/>
  <c r="BO21" i="1" s="1"/>
  <c r="DY21" i="1"/>
  <c r="BC21" i="1" s="1"/>
  <c r="AL21" i="19"/>
  <c r="DR22" i="19"/>
  <c r="AR19" i="19"/>
  <c r="BL21" i="19"/>
  <c r="EH22" i="19"/>
  <c r="AQ20" i="19"/>
  <c r="DW21" i="19"/>
  <c r="AP22" i="19"/>
  <c r="DV23" i="19"/>
  <c r="EF21" i="19"/>
  <c r="BJ20" i="19"/>
  <c r="BM20" i="19" s="1"/>
  <c r="DZ22" i="19"/>
  <c r="BD21" i="19"/>
  <c r="ED26" i="19"/>
  <c r="BH25" i="19"/>
  <c r="DX28" i="19"/>
  <c r="BO21" i="19"/>
  <c r="EJ22" i="19"/>
  <c r="EI29" i="19"/>
  <c r="EC23" i="19"/>
  <c r="BG22" i="19"/>
  <c r="EG23" i="19"/>
  <c r="BK22" i="19"/>
  <c r="DU21" i="19"/>
  <c r="AO20" i="19"/>
  <c r="BC21" i="19"/>
  <c r="DY22" i="19"/>
  <c r="DQ21" i="19"/>
  <c r="AK20" i="19"/>
  <c r="BF21" i="19"/>
  <c r="EB22" i="19"/>
  <c r="DN21" i="1"/>
  <c r="AH21" i="1" s="1"/>
  <c r="BR18" i="21" l="1"/>
  <c r="D19" i="14"/>
  <c r="I19" i="15" s="1"/>
  <c r="F10" i="23"/>
  <c r="M10" i="25"/>
  <c r="EJ23" i="21"/>
  <c r="BO22" i="21"/>
  <c r="AN21" i="21"/>
  <c r="DT22" i="21"/>
  <c r="AM21" i="21"/>
  <c r="DS22" i="21"/>
  <c r="BC21" i="21"/>
  <c r="DY22" i="21"/>
  <c r="H18" i="15"/>
  <c r="F18" i="14"/>
  <c r="H9" i="25"/>
  <c r="E9" i="23"/>
  <c r="H17" i="14"/>
  <c r="BR18" i="19"/>
  <c r="C19" i="14"/>
  <c r="AR20" i="1"/>
  <c r="BD24" i="21"/>
  <c r="DZ25" i="21"/>
  <c r="EI21" i="21"/>
  <c r="BM20" i="21"/>
  <c r="BF21" i="1"/>
  <c r="EB22" i="1"/>
  <c r="DT24" i="19"/>
  <c r="AN23" i="19"/>
  <c r="AQ24" i="21"/>
  <c r="DW25" i="21"/>
  <c r="BK21" i="21"/>
  <c r="EG22" i="21"/>
  <c r="BQ19" i="19"/>
  <c r="AI21" i="21"/>
  <c r="DO22" i="21"/>
  <c r="DN22" i="21"/>
  <c r="AH21" i="21"/>
  <c r="EH22" i="21"/>
  <c r="BL21" i="21"/>
  <c r="AJ21" i="19"/>
  <c r="DP22" i="19"/>
  <c r="BH22" i="21"/>
  <c r="ED23" i="21"/>
  <c r="BE21" i="21"/>
  <c r="EA22" i="21"/>
  <c r="DU22" i="21"/>
  <c r="AO21" i="21"/>
  <c r="DO22" i="19"/>
  <c r="AI21" i="19"/>
  <c r="AL22" i="21"/>
  <c r="DR23" i="21"/>
  <c r="EE23" i="19"/>
  <c r="BI22" i="19"/>
  <c r="BG23" i="21"/>
  <c r="EC24" i="21"/>
  <c r="AK21" i="21"/>
  <c r="DQ22" i="21"/>
  <c r="DV22" i="21"/>
  <c r="AP21" i="21"/>
  <c r="EA22" i="19"/>
  <c r="BE21" i="19"/>
  <c r="AJ21" i="1"/>
  <c r="DP22" i="1"/>
  <c r="AH22" i="19"/>
  <c r="DN23" i="19"/>
  <c r="AM21" i="1"/>
  <c r="DS22" i="1"/>
  <c r="DS22" i="19"/>
  <c r="AM21" i="19"/>
  <c r="BI21" i="21"/>
  <c r="EE22" i="21"/>
  <c r="BM21" i="1"/>
  <c r="BQ19" i="21"/>
  <c r="DP22" i="21"/>
  <c r="AJ21" i="21"/>
  <c r="DX21" i="21"/>
  <c r="AR20" i="21"/>
  <c r="BJ24" i="21"/>
  <c r="EF25" i="21"/>
  <c r="BF21" i="21"/>
  <c r="EB22" i="21"/>
  <c r="EH22" i="1"/>
  <c r="BL22" i="1" s="1"/>
  <c r="EG23" i="1"/>
  <c r="BK23" i="1" s="1"/>
  <c r="DZ22" i="1"/>
  <c r="BD22" i="1" s="1"/>
  <c r="EE22" i="1"/>
  <c r="BI22" i="1" s="1"/>
  <c r="DO22" i="1"/>
  <c r="AI22" i="1" s="1"/>
  <c r="EC22" i="1"/>
  <c r="BG22" i="1" s="1"/>
  <c r="DV22" i="1"/>
  <c r="AP22" i="1" s="1"/>
  <c r="DT22" i="1"/>
  <c r="AN22" i="1" s="1"/>
  <c r="DW22" i="1"/>
  <c r="AQ22" i="1" s="1"/>
  <c r="DR22" i="1"/>
  <c r="AL22" i="1" s="1"/>
  <c r="EI22" i="1"/>
  <c r="EA22" i="1"/>
  <c r="BE22" i="1" s="1"/>
  <c r="DU22" i="1"/>
  <c r="AO22" i="1" s="1"/>
  <c r="DX21" i="1"/>
  <c r="EF24" i="1"/>
  <c r="BJ24" i="1" s="1"/>
  <c r="ED22" i="1"/>
  <c r="BH22" i="1" s="1"/>
  <c r="DQ23" i="1"/>
  <c r="AK23" i="1" s="1"/>
  <c r="BR19" i="1"/>
  <c r="C11" i="25"/>
  <c r="D11" i="23"/>
  <c r="BQ20" i="1"/>
  <c r="EJ22" i="1"/>
  <c r="BO22" i="1" s="1"/>
  <c r="DY22" i="1"/>
  <c r="BC22" i="1" s="1"/>
  <c r="DR23" i="19"/>
  <c r="AL22" i="19"/>
  <c r="EF22" i="19"/>
  <c r="BJ21" i="19"/>
  <c r="BL22" i="19"/>
  <c r="EH23" i="19"/>
  <c r="AP23" i="19"/>
  <c r="DV24" i="19"/>
  <c r="DW22" i="19"/>
  <c r="AQ21" i="19"/>
  <c r="DX29" i="19"/>
  <c r="DZ23" i="19"/>
  <c r="BD22" i="19"/>
  <c r="EB23" i="19"/>
  <c r="BF22" i="19"/>
  <c r="AR20" i="19"/>
  <c r="EJ23" i="19"/>
  <c r="BO22" i="19"/>
  <c r="DQ22" i="19"/>
  <c r="AK21" i="19"/>
  <c r="AO21" i="19"/>
  <c r="DU22" i="19"/>
  <c r="ED27" i="19"/>
  <c r="BH26" i="19"/>
  <c r="BC22" i="19"/>
  <c r="DY23" i="19"/>
  <c r="BK23" i="19"/>
  <c r="EG24" i="19"/>
  <c r="BG23" i="19"/>
  <c r="EC24" i="19"/>
  <c r="EI30" i="19"/>
  <c r="DN22" i="1"/>
  <c r="AH22" i="1" s="1"/>
  <c r="F11" i="23" l="1"/>
  <c r="M11" i="25"/>
  <c r="BR19" i="21"/>
  <c r="D20" i="14"/>
  <c r="I20" i="15" s="1"/>
  <c r="EJ24" i="21"/>
  <c r="BO23" i="21"/>
  <c r="AN22" i="21"/>
  <c r="DT23" i="21"/>
  <c r="AM22" i="21"/>
  <c r="DS23" i="21"/>
  <c r="BC22" i="21"/>
  <c r="DY23" i="21"/>
  <c r="H18" i="14"/>
  <c r="H10" i="25"/>
  <c r="E10" i="23"/>
  <c r="BR19" i="19"/>
  <c r="C20" i="14"/>
  <c r="H19" i="15"/>
  <c r="F19" i="14"/>
  <c r="BQ20" i="21"/>
  <c r="BM21" i="19"/>
  <c r="DR24" i="21"/>
  <c r="AL23" i="21"/>
  <c r="AJ22" i="19"/>
  <c r="DP23" i="19"/>
  <c r="EG23" i="21"/>
  <c r="BK22" i="21"/>
  <c r="EB23" i="21"/>
  <c r="BF22" i="21"/>
  <c r="BI22" i="21"/>
  <c r="EE23" i="21"/>
  <c r="AQ25" i="21"/>
  <c r="DW26" i="21"/>
  <c r="DS23" i="19"/>
  <c r="AM22" i="19"/>
  <c r="AP22" i="21"/>
  <c r="DV23" i="21"/>
  <c r="DU23" i="21"/>
  <c r="AO22" i="21"/>
  <c r="AH22" i="21"/>
  <c r="DN23" i="21"/>
  <c r="AN24" i="19"/>
  <c r="DT25" i="19"/>
  <c r="EF26" i="21"/>
  <c r="BJ25" i="21"/>
  <c r="AM22" i="1"/>
  <c r="DS23" i="1"/>
  <c r="DQ23" i="21"/>
  <c r="AK22" i="21"/>
  <c r="BE22" i="21"/>
  <c r="EA23" i="21"/>
  <c r="DO23" i="21"/>
  <c r="AI22" i="21"/>
  <c r="BF22" i="1"/>
  <c r="BM22" i="1" s="1"/>
  <c r="EB23" i="1"/>
  <c r="BL22" i="21"/>
  <c r="EH23" i="21"/>
  <c r="DN24" i="19"/>
  <c r="AH23" i="19"/>
  <c r="BG24" i="21"/>
  <c r="EC25" i="21"/>
  <c r="ED24" i="21"/>
  <c r="BH23" i="21"/>
  <c r="BE22" i="19"/>
  <c r="EA23" i="19"/>
  <c r="AR21" i="21"/>
  <c r="DX22" i="21"/>
  <c r="BM21" i="21"/>
  <c r="EI22" i="21"/>
  <c r="AJ22" i="1"/>
  <c r="DP23" i="1"/>
  <c r="DZ26" i="21"/>
  <c r="BD25" i="21"/>
  <c r="DO23" i="19"/>
  <c r="AI22" i="19"/>
  <c r="BQ20" i="19"/>
  <c r="AR21" i="1"/>
  <c r="AJ22" i="21"/>
  <c r="DP23" i="21"/>
  <c r="EE24" i="19"/>
  <c r="BI23" i="19"/>
  <c r="AR22" i="1"/>
  <c r="DQ24" i="1"/>
  <c r="AK24" i="1" s="1"/>
  <c r="DU23" i="1"/>
  <c r="AO23" i="1" s="1"/>
  <c r="DW23" i="1"/>
  <c r="AQ23" i="1" s="1"/>
  <c r="DV23" i="1"/>
  <c r="AP23" i="1" s="1"/>
  <c r="DZ23" i="1"/>
  <c r="BD23" i="1" s="1"/>
  <c r="ED23" i="1"/>
  <c r="BH23" i="1" s="1"/>
  <c r="DX22" i="1"/>
  <c r="EA23" i="1"/>
  <c r="BE23" i="1" s="1"/>
  <c r="DR23" i="1"/>
  <c r="AL23" i="1" s="1"/>
  <c r="DT23" i="1"/>
  <c r="AN23" i="1" s="1"/>
  <c r="EC23" i="1"/>
  <c r="BG23" i="1" s="1"/>
  <c r="EE23" i="1"/>
  <c r="BI23" i="1" s="1"/>
  <c r="EG24" i="1"/>
  <c r="BK24" i="1" s="1"/>
  <c r="EH23" i="1"/>
  <c r="BL23" i="1" s="1"/>
  <c r="EF25" i="1"/>
  <c r="BJ25" i="1" s="1"/>
  <c r="EI23" i="1"/>
  <c r="DO23" i="1"/>
  <c r="AI23" i="1" s="1"/>
  <c r="BR20" i="1"/>
  <c r="BQ21" i="1"/>
  <c r="EJ23" i="1"/>
  <c r="BO23" i="1" s="1"/>
  <c r="DY23" i="1"/>
  <c r="BC23" i="1" s="1"/>
  <c r="AL23" i="19"/>
  <c r="DR24" i="19"/>
  <c r="BJ22" i="19"/>
  <c r="EF23" i="19"/>
  <c r="EH24" i="19"/>
  <c r="BL23" i="19"/>
  <c r="DW23" i="19"/>
  <c r="AQ22" i="19"/>
  <c r="AP24" i="19"/>
  <c r="DV25" i="19"/>
  <c r="BD23" i="19"/>
  <c r="DZ24" i="19"/>
  <c r="EG25" i="19"/>
  <c r="BK24" i="19"/>
  <c r="AK22" i="19"/>
  <c r="DQ23" i="19"/>
  <c r="AO22" i="19"/>
  <c r="DU23" i="19"/>
  <c r="EB24" i="19"/>
  <c r="BF23" i="19"/>
  <c r="DX30" i="19"/>
  <c r="EI31" i="19"/>
  <c r="EC25" i="19"/>
  <c r="BG24" i="19"/>
  <c r="BC23" i="19"/>
  <c r="DY24" i="19"/>
  <c r="BH27" i="19"/>
  <c r="ED28" i="19"/>
  <c r="AR21" i="19"/>
  <c r="EJ24" i="19"/>
  <c r="BO23" i="19"/>
  <c r="DN23" i="1"/>
  <c r="AH23" i="1" s="1"/>
  <c r="M12" i="25" l="1"/>
  <c r="F12" i="23"/>
  <c r="BR20" i="21"/>
  <c r="D21" i="14"/>
  <c r="I21" i="15" s="1"/>
  <c r="BO24" i="21"/>
  <c r="EJ25" i="21"/>
  <c r="DT24" i="21"/>
  <c r="AN23" i="21"/>
  <c r="AM23" i="21"/>
  <c r="DS24" i="21"/>
  <c r="BC23" i="21"/>
  <c r="DY24" i="21"/>
  <c r="H20" i="15"/>
  <c r="F20" i="14"/>
  <c r="H19" i="14"/>
  <c r="E11" i="23"/>
  <c r="H11" i="25"/>
  <c r="BR20" i="19"/>
  <c r="C21" i="14"/>
  <c r="AI23" i="19"/>
  <c r="DO24" i="19"/>
  <c r="BE23" i="19"/>
  <c r="EA24" i="19"/>
  <c r="BF23" i="1"/>
  <c r="EB24" i="1"/>
  <c r="AN25" i="19"/>
  <c r="DT26" i="19"/>
  <c r="BI23" i="21"/>
  <c r="EE24" i="21"/>
  <c r="DN24" i="21"/>
  <c r="AH23" i="21"/>
  <c r="BH24" i="21"/>
  <c r="ED25" i="21"/>
  <c r="DO24" i="21"/>
  <c r="AI23" i="21"/>
  <c r="EB24" i="21"/>
  <c r="BF23" i="21"/>
  <c r="BG25" i="21"/>
  <c r="EC26" i="21"/>
  <c r="BE23" i="21"/>
  <c r="EA24" i="21"/>
  <c r="BI24" i="19"/>
  <c r="EE25" i="19"/>
  <c r="AJ23" i="1"/>
  <c r="DP24" i="1"/>
  <c r="DU24" i="21"/>
  <c r="AO23" i="21"/>
  <c r="BK23" i="21"/>
  <c r="EG24" i="21"/>
  <c r="BD26" i="21"/>
  <c r="DZ27" i="21"/>
  <c r="AJ23" i="21"/>
  <c r="DP24" i="21"/>
  <c r="AP23" i="21"/>
  <c r="DV24" i="21"/>
  <c r="DP24" i="19"/>
  <c r="AJ23" i="19"/>
  <c r="EI23" i="21"/>
  <c r="BM22" i="21"/>
  <c r="AM23" i="1"/>
  <c r="DS24" i="1"/>
  <c r="DS24" i="19"/>
  <c r="AM23" i="19"/>
  <c r="DR25" i="21"/>
  <c r="AL24" i="21"/>
  <c r="BQ21" i="19"/>
  <c r="AH24" i="19"/>
  <c r="DN25" i="19"/>
  <c r="BM23" i="1"/>
  <c r="AR22" i="21"/>
  <c r="DX23" i="21"/>
  <c r="EH24" i="21"/>
  <c r="BL23" i="21"/>
  <c r="DW27" i="21"/>
  <c r="AQ26" i="21"/>
  <c r="BM22" i="19"/>
  <c r="DQ24" i="21"/>
  <c r="AK23" i="21"/>
  <c r="BQ21" i="21"/>
  <c r="BJ26" i="21"/>
  <c r="EF27" i="21"/>
  <c r="BR21" i="1"/>
  <c r="DO24" i="1"/>
  <c r="AI24" i="1" s="1"/>
  <c r="EF26" i="1"/>
  <c r="BJ26" i="1" s="1"/>
  <c r="EE24" i="1"/>
  <c r="BI24" i="1" s="1"/>
  <c r="EA24" i="1"/>
  <c r="BE24" i="1" s="1"/>
  <c r="DV24" i="1"/>
  <c r="AP24" i="1" s="1"/>
  <c r="DU24" i="1"/>
  <c r="AO24" i="1" s="1"/>
  <c r="DT24" i="1"/>
  <c r="AN24" i="1" s="1"/>
  <c r="EI24" i="1"/>
  <c r="EH24" i="1"/>
  <c r="BL24" i="1" s="1"/>
  <c r="EG25" i="1"/>
  <c r="BK25" i="1" s="1"/>
  <c r="EC24" i="1"/>
  <c r="BG24" i="1" s="1"/>
  <c r="DR24" i="1"/>
  <c r="AL24" i="1" s="1"/>
  <c r="DX23" i="1"/>
  <c r="DZ24" i="1"/>
  <c r="BD24" i="1" s="1"/>
  <c r="DW24" i="1"/>
  <c r="AQ24" i="1" s="1"/>
  <c r="DQ25" i="1"/>
  <c r="AK25" i="1" s="1"/>
  <c r="ED24" i="1"/>
  <c r="BH24" i="1" s="1"/>
  <c r="C12" i="25"/>
  <c r="D12" i="23"/>
  <c r="BQ22" i="1"/>
  <c r="EJ24" i="1"/>
  <c r="BO24" i="1" s="1"/>
  <c r="DY24" i="1"/>
  <c r="BC24" i="1" s="1"/>
  <c r="AL24" i="19"/>
  <c r="DR25" i="19"/>
  <c r="AR22" i="19"/>
  <c r="AQ23" i="19"/>
  <c r="DW24" i="19"/>
  <c r="DV26" i="19"/>
  <c r="AP25" i="19"/>
  <c r="BL24" i="19"/>
  <c r="EH25" i="19"/>
  <c r="EF24" i="19"/>
  <c r="BJ23" i="19"/>
  <c r="BM23" i="19" s="1"/>
  <c r="EC26" i="19"/>
  <c r="BG25" i="19"/>
  <c r="DX31" i="19"/>
  <c r="DQ24" i="19"/>
  <c r="AK23" i="19"/>
  <c r="DZ25" i="19"/>
  <c r="BD24" i="19"/>
  <c r="EJ25" i="19"/>
  <c r="BO24" i="19"/>
  <c r="DY25" i="19"/>
  <c r="BC24" i="19"/>
  <c r="EG26" i="19"/>
  <c r="BK25" i="19"/>
  <c r="ED29" i="19"/>
  <c r="BH28" i="19"/>
  <c r="EI32" i="19"/>
  <c r="BF24" i="19"/>
  <c r="EB25" i="19"/>
  <c r="DU24" i="19"/>
  <c r="AO23" i="19"/>
  <c r="DN24" i="1"/>
  <c r="AH24" i="1" s="1"/>
  <c r="BR21" i="21" l="1"/>
  <c r="D22" i="14"/>
  <c r="I22" i="15" s="1"/>
  <c r="F13" i="23"/>
  <c r="M13" i="25"/>
  <c r="EJ26" i="21"/>
  <c r="BO25" i="21"/>
  <c r="AN24" i="21"/>
  <c r="DT25" i="21"/>
  <c r="AM24" i="21"/>
  <c r="DS25" i="21"/>
  <c r="DY25" i="21"/>
  <c r="BC24" i="21"/>
  <c r="BR21" i="19"/>
  <c r="C22" i="14"/>
  <c r="H20" i="14"/>
  <c r="E12" i="23"/>
  <c r="H12" i="25"/>
  <c r="F21" i="14"/>
  <c r="H21" i="15"/>
  <c r="BQ22" i="19"/>
  <c r="AH24" i="21"/>
  <c r="DN25" i="21"/>
  <c r="BQ22" i="21"/>
  <c r="AM24" i="1"/>
  <c r="DS25" i="1"/>
  <c r="BK24" i="21"/>
  <c r="EG25" i="21"/>
  <c r="EE25" i="21"/>
  <c r="BI24" i="21"/>
  <c r="EF28" i="21"/>
  <c r="BJ27" i="21"/>
  <c r="DN26" i="19"/>
  <c r="AH25" i="19"/>
  <c r="AN26" i="19"/>
  <c r="DT27" i="19"/>
  <c r="BM24" i="1"/>
  <c r="BM23" i="21"/>
  <c r="EI24" i="21"/>
  <c r="DU25" i="21"/>
  <c r="AO24" i="21"/>
  <c r="AJ24" i="1"/>
  <c r="DP25" i="1"/>
  <c r="BF24" i="1"/>
  <c r="EB25" i="1"/>
  <c r="DQ25" i="21"/>
  <c r="AK24" i="21"/>
  <c r="DP25" i="19"/>
  <c r="AJ24" i="19"/>
  <c r="BF24" i="21"/>
  <c r="EB25" i="21"/>
  <c r="DV25" i="21"/>
  <c r="AP24" i="21"/>
  <c r="BI25" i="19"/>
  <c r="EE26" i="19"/>
  <c r="BE24" i="19"/>
  <c r="EA25" i="19"/>
  <c r="DX24" i="21"/>
  <c r="AR23" i="21"/>
  <c r="DR26" i="21"/>
  <c r="AL25" i="21"/>
  <c r="AI24" i="21"/>
  <c r="DO25" i="21"/>
  <c r="BL24" i="21"/>
  <c r="EH25" i="21"/>
  <c r="DZ28" i="21"/>
  <c r="BD27" i="21"/>
  <c r="EC27" i="21"/>
  <c r="BG26" i="21"/>
  <c r="AR23" i="1"/>
  <c r="BQ23" i="1" s="1"/>
  <c r="AQ27" i="21"/>
  <c r="DW28" i="21"/>
  <c r="DP25" i="21"/>
  <c r="AJ24" i="21"/>
  <c r="BE24" i="21"/>
  <c r="EA25" i="21"/>
  <c r="BH25" i="21"/>
  <c r="ED26" i="21"/>
  <c r="AI24" i="19"/>
  <c r="DO25" i="19"/>
  <c r="AM24" i="19"/>
  <c r="DS25" i="19"/>
  <c r="AR24" i="1"/>
  <c r="ED25" i="1"/>
  <c r="BH25" i="1" s="1"/>
  <c r="DQ26" i="1"/>
  <c r="AK26" i="1" s="1"/>
  <c r="DX24" i="1"/>
  <c r="EC25" i="1"/>
  <c r="BG25" i="1" s="1"/>
  <c r="DT25" i="1"/>
  <c r="AN25" i="1" s="1"/>
  <c r="DV25" i="1"/>
  <c r="AP25" i="1" s="1"/>
  <c r="EF27" i="1"/>
  <c r="BJ27" i="1" s="1"/>
  <c r="DZ25" i="1"/>
  <c r="BD25" i="1" s="1"/>
  <c r="EH25" i="1"/>
  <c r="BL25" i="1" s="1"/>
  <c r="EA25" i="1"/>
  <c r="BE25" i="1" s="1"/>
  <c r="DW25" i="1"/>
  <c r="AQ25" i="1" s="1"/>
  <c r="DR25" i="1"/>
  <c r="AL25" i="1" s="1"/>
  <c r="EG26" i="1"/>
  <c r="BK26" i="1" s="1"/>
  <c r="EI25" i="1"/>
  <c r="DU25" i="1"/>
  <c r="AO25" i="1" s="1"/>
  <c r="EE25" i="1"/>
  <c r="BI25" i="1" s="1"/>
  <c r="DO25" i="1"/>
  <c r="AI25" i="1" s="1"/>
  <c r="BR22" i="1"/>
  <c r="C14" i="25"/>
  <c r="D14" i="23"/>
  <c r="C13" i="25"/>
  <c r="D13" i="23"/>
  <c r="EJ25" i="1"/>
  <c r="BO25" i="1" s="1"/>
  <c r="DY25" i="1"/>
  <c r="BC25" i="1" s="1"/>
  <c r="DR26" i="19"/>
  <c r="AL25" i="19"/>
  <c r="EF25" i="19"/>
  <c r="BJ24" i="19"/>
  <c r="AP26" i="19"/>
  <c r="DV27" i="19"/>
  <c r="AQ24" i="19"/>
  <c r="DW25" i="19"/>
  <c r="EH26" i="19"/>
  <c r="BL25" i="19"/>
  <c r="AR23" i="19"/>
  <c r="DU25" i="19"/>
  <c r="AO24" i="19"/>
  <c r="ED30" i="19"/>
  <c r="BH29" i="19"/>
  <c r="BO25" i="19"/>
  <c r="EJ26" i="19"/>
  <c r="BF25" i="19"/>
  <c r="EB26" i="19"/>
  <c r="DQ25" i="19"/>
  <c r="AK24" i="19"/>
  <c r="EI33" i="19"/>
  <c r="BK26" i="19"/>
  <c r="EG27" i="19"/>
  <c r="BC25" i="19"/>
  <c r="DY26" i="19"/>
  <c r="DZ26" i="19"/>
  <c r="BD25" i="19"/>
  <c r="DX32" i="19"/>
  <c r="BG26" i="19"/>
  <c r="EC27" i="19"/>
  <c r="DN25" i="1"/>
  <c r="AH25" i="1" s="1"/>
  <c r="BR22" i="21" l="1"/>
  <c r="D23" i="14"/>
  <c r="I23" i="15" s="1"/>
  <c r="M14" i="25"/>
  <c r="F14" i="23"/>
  <c r="EJ27" i="21"/>
  <c r="BO26" i="21"/>
  <c r="DT26" i="21"/>
  <c r="AN25" i="21"/>
  <c r="AM25" i="21"/>
  <c r="DS26" i="21"/>
  <c r="BC25" i="21"/>
  <c r="DY26" i="21"/>
  <c r="BR22" i="19"/>
  <c r="C23" i="14"/>
  <c r="H22" i="15"/>
  <c r="F22" i="14"/>
  <c r="H13" i="25"/>
  <c r="E13" i="23"/>
  <c r="H21" i="14"/>
  <c r="BM24" i="19"/>
  <c r="AI25" i="21"/>
  <c r="DO26" i="21"/>
  <c r="BF25" i="21"/>
  <c r="EB26" i="21"/>
  <c r="EF29" i="21"/>
  <c r="BJ28" i="21"/>
  <c r="DP26" i="21"/>
  <c r="AJ25" i="21"/>
  <c r="BM25" i="1"/>
  <c r="BQ23" i="21"/>
  <c r="EE26" i="21"/>
  <c r="BI25" i="21"/>
  <c r="EI25" i="21"/>
  <c r="BM24" i="21"/>
  <c r="AR24" i="21"/>
  <c r="DX25" i="21"/>
  <c r="DQ26" i="21"/>
  <c r="AK25" i="21"/>
  <c r="DT28" i="19"/>
  <c r="AN27" i="19"/>
  <c r="BK25" i="21"/>
  <c r="EG26" i="21"/>
  <c r="EA26" i="19"/>
  <c r="BE25" i="19"/>
  <c r="BF25" i="1"/>
  <c r="EB26" i="1"/>
  <c r="AJ25" i="19"/>
  <c r="DP26" i="19"/>
  <c r="AI25" i="19"/>
  <c r="DO26" i="19"/>
  <c r="BG27" i="21"/>
  <c r="EC28" i="21"/>
  <c r="AM25" i="1"/>
  <c r="DS26" i="1"/>
  <c r="DS26" i="19"/>
  <c r="AM25" i="19"/>
  <c r="EE27" i="19"/>
  <c r="BI26" i="19"/>
  <c r="AJ25" i="1"/>
  <c r="DP26" i="1"/>
  <c r="DN27" i="19"/>
  <c r="AH26" i="19"/>
  <c r="AL26" i="21"/>
  <c r="DR27" i="21"/>
  <c r="BQ23" i="19"/>
  <c r="BD28" i="21"/>
  <c r="DZ29" i="21"/>
  <c r="AO25" i="21"/>
  <c r="DU26" i="21"/>
  <c r="BL25" i="21"/>
  <c r="EH26" i="21"/>
  <c r="AH25" i="21"/>
  <c r="DN26" i="21"/>
  <c r="DW29" i="21"/>
  <c r="AQ28" i="21"/>
  <c r="BH26" i="21"/>
  <c r="ED27" i="21"/>
  <c r="EA26" i="21"/>
  <c r="BE25" i="21"/>
  <c r="DV26" i="21"/>
  <c r="AP25" i="21"/>
  <c r="DR26" i="1"/>
  <c r="AL26" i="1" s="1"/>
  <c r="EA26" i="1"/>
  <c r="BE26" i="1" s="1"/>
  <c r="DV26" i="1"/>
  <c r="AP26" i="1" s="1"/>
  <c r="DQ27" i="1"/>
  <c r="AK27" i="1" s="1"/>
  <c r="DZ26" i="1"/>
  <c r="BD26" i="1" s="1"/>
  <c r="EE26" i="1"/>
  <c r="BI26" i="1" s="1"/>
  <c r="DU26" i="1"/>
  <c r="AO26" i="1" s="1"/>
  <c r="EG27" i="1"/>
  <c r="BK27" i="1" s="1"/>
  <c r="EH26" i="1"/>
  <c r="BL26" i="1" s="1"/>
  <c r="EF28" i="1"/>
  <c r="BJ28" i="1" s="1"/>
  <c r="DT26" i="1"/>
  <c r="AN26" i="1" s="1"/>
  <c r="DX25" i="1"/>
  <c r="ED26" i="1"/>
  <c r="BH26" i="1" s="1"/>
  <c r="DO26" i="1"/>
  <c r="AI26" i="1" s="1"/>
  <c r="EI26" i="1"/>
  <c r="DW26" i="1"/>
  <c r="AQ26" i="1" s="1"/>
  <c r="EC26" i="1"/>
  <c r="BG26" i="1" s="1"/>
  <c r="BR23" i="1"/>
  <c r="C15" i="25"/>
  <c r="D15" i="23"/>
  <c r="BQ24" i="1"/>
  <c r="EJ26" i="1"/>
  <c r="BO26" i="1" s="1"/>
  <c r="DY26" i="1"/>
  <c r="BC26" i="1" s="1"/>
  <c r="DR27" i="19"/>
  <c r="AL26" i="19"/>
  <c r="EF26" i="19"/>
  <c r="BJ25" i="19"/>
  <c r="BM25" i="19" s="1"/>
  <c r="DV28" i="19"/>
  <c r="AP27" i="19"/>
  <c r="EH27" i="19"/>
  <c r="BL26" i="19"/>
  <c r="DW26" i="19"/>
  <c r="AQ25" i="19"/>
  <c r="DQ26" i="19"/>
  <c r="AK25" i="19"/>
  <c r="EB27" i="19"/>
  <c r="BF26" i="19"/>
  <c r="DZ27" i="19"/>
  <c r="BD26" i="19"/>
  <c r="EG28" i="19"/>
  <c r="BK27" i="19"/>
  <c r="DX33" i="19"/>
  <c r="EI34" i="19"/>
  <c r="EJ27" i="19"/>
  <c r="BO26" i="19"/>
  <c r="AR24" i="19"/>
  <c r="EC28" i="19"/>
  <c r="BG27" i="19"/>
  <c r="DY27" i="19"/>
  <c r="BC26" i="19"/>
  <c r="ED31" i="19"/>
  <c r="BH30" i="19"/>
  <c r="DU26" i="19"/>
  <c r="AO25" i="19"/>
  <c r="DN26" i="1"/>
  <c r="AH26" i="1" s="1"/>
  <c r="M15" i="25" l="1"/>
  <c r="F15" i="23"/>
  <c r="BR23" i="21"/>
  <c r="D24" i="14"/>
  <c r="I24" i="15" s="1"/>
  <c r="EJ28" i="21"/>
  <c r="BO27" i="21"/>
  <c r="AN26" i="21"/>
  <c r="DT27" i="21"/>
  <c r="AM26" i="21"/>
  <c r="DS27" i="21"/>
  <c r="DY27" i="21"/>
  <c r="BC26" i="21"/>
  <c r="H23" i="15"/>
  <c r="F23" i="14"/>
  <c r="BR23" i="19"/>
  <c r="C24" i="14"/>
  <c r="H22" i="14"/>
  <c r="E14" i="23"/>
  <c r="H14" i="25"/>
  <c r="BQ24" i="21"/>
  <c r="AM26" i="1"/>
  <c r="DS27" i="1"/>
  <c r="EG27" i="21"/>
  <c r="BK26" i="21"/>
  <c r="DN27" i="21"/>
  <c r="AH26" i="21"/>
  <c r="AL27" i="21"/>
  <c r="DR28" i="21"/>
  <c r="EC29" i="21"/>
  <c r="BG28" i="21"/>
  <c r="DT29" i="19"/>
  <c r="AN28" i="19"/>
  <c r="AJ26" i="21"/>
  <c r="DP27" i="21"/>
  <c r="BL26" i="21"/>
  <c r="EH27" i="21"/>
  <c r="DO27" i="19"/>
  <c r="AI26" i="19"/>
  <c r="AP26" i="21"/>
  <c r="DV27" i="21"/>
  <c r="AH27" i="19"/>
  <c r="DN28" i="19"/>
  <c r="DQ27" i="21"/>
  <c r="AK26" i="21"/>
  <c r="BJ29" i="21"/>
  <c r="EF30" i="21"/>
  <c r="AQ29" i="21"/>
  <c r="DW30" i="21"/>
  <c r="DU27" i="21"/>
  <c r="AO26" i="21"/>
  <c r="AJ26" i="1"/>
  <c r="DP27" i="1"/>
  <c r="DP27" i="19"/>
  <c r="AJ26" i="19"/>
  <c r="DX26" i="21"/>
  <c r="AR25" i="21"/>
  <c r="BF26" i="21"/>
  <c r="EB27" i="21"/>
  <c r="BE26" i="21"/>
  <c r="EA27" i="21"/>
  <c r="ED28" i="21"/>
  <c r="BH27" i="21"/>
  <c r="BF26" i="1"/>
  <c r="BM26" i="1" s="1"/>
  <c r="EB27" i="1"/>
  <c r="DO27" i="21"/>
  <c r="AI26" i="21"/>
  <c r="BI27" i="19"/>
  <c r="EE28" i="19"/>
  <c r="BM25" i="21"/>
  <c r="EI26" i="21"/>
  <c r="DZ30" i="21"/>
  <c r="BD29" i="21"/>
  <c r="BQ24" i="19"/>
  <c r="AR25" i="19"/>
  <c r="BQ25" i="19" s="1"/>
  <c r="AR25" i="1"/>
  <c r="AM26" i="19"/>
  <c r="DS27" i="19"/>
  <c r="BE26" i="19"/>
  <c r="EA27" i="19"/>
  <c r="BI26" i="21"/>
  <c r="EE27" i="21"/>
  <c r="EC27" i="1"/>
  <c r="BG27" i="1" s="1"/>
  <c r="ED27" i="1"/>
  <c r="BH27" i="1" s="1"/>
  <c r="EH27" i="1"/>
  <c r="BL27" i="1" s="1"/>
  <c r="DU27" i="1"/>
  <c r="AO27" i="1" s="1"/>
  <c r="DZ27" i="1"/>
  <c r="BD27" i="1" s="1"/>
  <c r="DV27" i="1"/>
  <c r="AP27" i="1" s="1"/>
  <c r="DR27" i="1"/>
  <c r="AL27" i="1" s="1"/>
  <c r="DW27" i="1"/>
  <c r="AQ27" i="1" s="1"/>
  <c r="DO27" i="1"/>
  <c r="AI27" i="1" s="1"/>
  <c r="DX26" i="1"/>
  <c r="EF29" i="1"/>
  <c r="BJ29" i="1" s="1"/>
  <c r="EG28" i="1"/>
  <c r="BK28" i="1" s="1"/>
  <c r="EE27" i="1"/>
  <c r="BI27" i="1" s="1"/>
  <c r="DQ28" i="1"/>
  <c r="AK28" i="1" s="1"/>
  <c r="EA27" i="1"/>
  <c r="BE27" i="1" s="1"/>
  <c r="EI27" i="1"/>
  <c r="DT27" i="1"/>
  <c r="AN27" i="1" s="1"/>
  <c r="BR24" i="1"/>
  <c r="C16" i="25"/>
  <c r="D16" i="23"/>
  <c r="BQ25" i="1"/>
  <c r="EJ27" i="1"/>
  <c r="BO27" i="1" s="1"/>
  <c r="DY27" i="1"/>
  <c r="BC27" i="1" s="1"/>
  <c r="DR28" i="19"/>
  <c r="AL27" i="19"/>
  <c r="DW27" i="19"/>
  <c r="AQ26" i="19"/>
  <c r="BL27" i="19"/>
  <c r="EH28" i="19"/>
  <c r="DV29" i="19"/>
  <c r="AP28" i="19"/>
  <c r="EF27" i="19"/>
  <c r="BJ26" i="19"/>
  <c r="BM26" i="19" s="1"/>
  <c r="DY28" i="19"/>
  <c r="BC27" i="19"/>
  <c r="DX34" i="19"/>
  <c r="AK26" i="19"/>
  <c r="DQ27" i="19"/>
  <c r="DU27" i="19"/>
  <c r="AO26" i="19"/>
  <c r="ED32" i="19"/>
  <c r="BH31" i="19"/>
  <c r="EJ28" i="19"/>
  <c r="BO27" i="19"/>
  <c r="DZ28" i="19"/>
  <c r="BD27" i="19"/>
  <c r="EC29" i="19"/>
  <c r="BG28" i="19"/>
  <c r="EI35" i="19"/>
  <c r="EB28" i="19"/>
  <c r="BF27" i="19"/>
  <c r="BK28" i="19"/>
  <c r="EG29" i="19"/>
  <c r="DN27" i="1"/>
  <c r="AH27" i="1" s="1"/>
  <c r="M16" i="25" l="1"/>
  <c r="F16" i="23"/>
  <c r="BR24" i="21"/>
  <c r="D25" i="14"/>
  <c r="I25" i="15" s="1"/>
  <c r="BO28" i="21"/>
  <c r="EJ29" i="21"/>
  <c r="DT28" i="21"/>
  <c r="AN27" i="21"/>
  <c r="AM27" i="21"/>
  <c r="DS28" i="21"/>
  <c r="BC27" i="21"/>
  <c r="DY28" i="21"/>
  <c r="H23" i="14"/>
  <c r="E15" i="23"/>
  <c r="H15" i="25"/>
  <c r="H24" i="15"/>
  <c r="F24" i="14"/>
  <c r="BR24" i="19"/>
  <c r="C25" i="14"/>
  <c r="BR25" i="19"/>
  <c r="C26" i="14"/>
  <c r="AR26" i="1"/>
  <c r="AH28" i="19"/>
  <c r="DN29" i="19"/>
  <c r="AJ27" i="1"/>
  <c r="DP28" i="1"/>
  <c r="AP27" i="21"/>
  <c r="DV28" i="21"/>
  <c r="EE28" i="21"/>
  <c r="BI27" i="21"/>
  <c r="BG29" i="21"/>
  <c r="EC30" i="21"/>
  <c r="AL28" i="21"/>
  <c r="DR29" i="21"/>
  <c r="DZ31" i="21"/>
  <c r="BD30" i="21"/>
  <c r="AO27" i="21"/>
  <c r="DU28" i="21"/>
  <c r="AI27" i="19"/>
  <c r="DO28" i="19"/>
  <c r="BE27" i="21"/>
  <c r="EA28" i="21"/>
  <c r="DW31" i="21"/>
  <c r="AQ30" i="21"/>
  <c r="BL27" i="21"/>
  <c r="EH28" i="21"/>
  <c r="BM27" i="1"/>
  <c r="DS28" i="19"/>
  <c r="AM27" i="19"/>
  <c r="BI28" i="19"/>
  <c r="EE29" i="19"/>
  <c r="DN28" i="21"/>
  <c r="AH27" i="21"/>
  <c r="AJ27" i="19"/>
  <c r="DP28" i="19"/>
  <c r="EI27" i="21"/>
  <c r="BM26" i="21"/>
  <c r="EB28" i="21"/>
  <c r="BF27" i="21"/>
  <c r="EF31" i="21"/>
  <c r="BJ30" i="21"/>
  <c r="DP28" i="21"/>
  <c r="AJ27" i="21"/>
  <c r="EA28" i="19"/>
  <c r="BE27" i="19"/>
  <c r="EG28" i="21"/>
  <c r="BK27" i="21"/>
  <c r="DO28" i="21"/>
  <c r="AI27" i="21"/>
  <c r="BQ25" i="21"/>
  <c r="AM27" i="1"/>
  <c r="DS28" i="1"/>
  <c r="BH28" i="21"/>
  <c r="ED29" i="21"/>
  <c r="BF27" i="1"/>
  <c r="EB28" i="1"/>
  <c r="AR26" i="21"/>
  <c r="DX27" i="21"/>
  <c r="AK27" i="21"/>
  <c r="DQ28" i="21"/>
  <c r="DT30" i="19"/>
  <c r="AN29" i="19"/>
  <c r="DQ29" i="1"/>
  <c r="AK29" i="1" s="1"/>
  <c r="EF30" i="1"/>
  <c r="BJ30" i="1" s="1"/>
  <c r="DO28" i="1"/>
  <c r="AI28" i="1" s="1"/>
  <c r="DR28" i="1"/>
  <c r="AL28" i="1" s="1"/>
  <c r="DZ28" i="1"/>
  <c r="BD28" i="1" s="1"/>
  <c r="ED28" i="1"/>
  <c r="BH28" i="1" s="1"/>
  <c r="EI28" i="1"/>
  <c r="EA28" i="1"/>
  <c r="BE28" i="1" s="1"/>
  <c r="EE28" i="1"/>
  <c r="BI28" i="1" s="1"/>
  <c r="BQ26" i="1"/>
  <c r="DX27" i="1"/>
  <c r="AR27" i="1" s="1"/>
  <c r="DW28" i="1"/>
  <c r="AQ28" i="1" s="1"/>
  <c r="DV28" i="1"/>
  <c r="AP28" i="1" s="1"/>
  <c r="DU28" i="1"/>
  <c r="AO28" i="1" s="1"/>
  <c r="EH28" i="1"/>
  <c r="BL28" i="1" s="1"/>
  <c r="EC28" i="1"/>
  <c r="BG28" i="1" s="1"/>
  <c r="DT28" i="1"/>
  <c r="AN28" i="1" s="1"/>
  <c r="EG29" i="1"/>
  <c r="BK29" i="1" s="1"/>
  <c r="BR25" i="1"/>
  <c r="C17" i="25"/>
  <c r="D17" i="23"/>
  <c r="EJ28" i="1"/>
  <c r="BO28" i="1" s="1"/>
  <c r="DY28" i="1"/>
  <c r="BC28" i="1" s="1"/>
  <c r="AL28" i="19"/>
  <c r="DR29" i="19"/>
  <c r="BJ27" i="19"/>
  <c r="BM27" i="19" s="1"/>
  <c r="EF28" i="19"/>
  <c r="DV30" i="19"/>
  <c r="AP29" i="19"/>
  <c r="AQ27" i="19"/>
  <c r="DW28" i="19"/>
  <c r="BL28" i="19"/>
  <c r="EH29" i="19"/>
  <c r="BK29" i="19"/>
  <c r="EG30" i="19"/>
  <c r="DQ28" i="19"/>
  <c r="AK27" i="19"/>
  <c r="DY29" i="19"/>
  <c r="BC28" i="19"/>
  <c r="EB29" i="19"/>
  <c r="BF28" i="19"/>
  <c r="EC30" i="19"/>
  <c r="BG29" i="19"/>
  <c r="EJ29" i="19"/>
  <c r="BO28" i="19"/>
  <c r="DU28" i="19"/>
  <c r="AO27" i="19"/>
  <c r="DZ29" i="19"/>
  <c r="BD28" i="19"/>
  <c r="BH32" i="19"/>
  <c r="ED33" i="19"/>
  <c r="DX35" i="19"/>
  <c r="EI36" i="19"/>
  <c r="AR26" i="19"/>
  <c r="DN28" i="1"/>
  <c r="AH28" i="1" s="1"/>
  <c r="BR25" i="21" l="1"/>
  <c r="D26" i="14"/>
  <c r="I26" i="15" s="1"/>
  <c r="M17" i="25"/>
  <c r="F17" i="23"/>
  <c r="BO29" i="21"/>
  <c r="EJ30" i="21"/>
  <c r="BQ26" i="21"/>
  <c r="AN28" i="21"/>
  <c r="DT29" i="21"/>
  <c r="AM28" i="21"/>
  <c r="DS29" i="21"/>
  <c r="DY29" i="21"/>
  <c r="BC28" i="21"/>
  <c r="H24" i="14"/>
  <c r="E16" i="23"/>
  <c r="H16" i="25"/>
  <c r="F25" i="14"/>
  <c r="H25" i="15"/>
  <c r="H26" i="15"/>
  <c r="F26" i="14"/>
  <c r="ED30" i="21"/>
  <c r="BH29" i="21"/>
  <c r="EA29" i="19"/>
  <c r="BE28" i="19"/>
  <c r="EI28" i="21"/>
  <c r="BM27" i="21"/>
  <c r="EC31" i="21"/>
  <c r="BG30" i="21"/>
  <c r="BE28" i="21"/>
  <c r="EA29" i="21"/>
  <c r="BQ26" i="19"/>
  <c r="BI28" i="21"/>
  <c r="EE29" i="21"/>
  <c r="AJ28" i="19"/>
  <c r="DP29" i="19"/>
  <c r="AM28" i="1"/>
  <c r="DS29" i="1"/>
  <c r="AH28" i="21"/>
  <c r="DN29" i="21"/>
  <c r="DO29" i="19"/>
  <c r="AI28" i="19"/>
  <c r="DV29" i="21"/>
  <c r="AP28" i="21"/>
  <c r="AN30" i="19"/>
  <c r="DT31" i="19"/>
  <c r="EE30" i="19"/>
  <c r="BI29" i="19"/>
  <c r="AJ28" i="21"/>
  <c r="DP29" i="21"/>
  <c r="DU29" i="21"/>
  <c r="AO28" i="21"/>
  <c r="AJ28" i="1"/>
  <c r="DP29" i="1"/>
  <c r="DQ29" i="21"/>
  <c r="AK28" i="21"/>
  <c r="AR27" i="21"/>
  <c r="DX28" i="21"/>
  <c r="DO29" i="21"/>
  <c r="AI28" i="21"/>
  <c r="BJ31" i="21"/>
  <c r="EF32" i="21"/>
  <c r="AM28" i="19"/>
  <c r="DS29" i="19"/>
  <c r="DZ32" i="21"/>
  <c r="BD31" i="21"/>
  <c r="AQ31" i="21"/>
  <c r="DW32" i="21"/>
  <c r="BF28" i="1"/>
  <c r="BM28" i="1" s="1"/>
  <c r="EB29" i="1"/>
  <c r="EG29" i="21"/>
  <c r="BK28" i="21"/>
  <c r="BF28" i="21"/>
  <c r="EB29" i="21"/>
  <c r="EH29" i="21"/>
  <c r="BL28" i="21"/>
  <c r="DR30" i="21"/>
  <c r="AL29" i="21"/>
  <c r="DN30" i="19"/>
  <c r="AH29" i="19"/>
  <c r="EG30" i="1"/>
  <c r="BK30" i="1" s="1"/>
  <c r="DU29" i="1"/>
  <c r="AO29" i="1" s="1"/>
  <c r="EA29" i="1"/>
  <c r="BE29" i="1" s="1"/>
  <c r="DO29" i="1"/>
  <c r="AI29" i="1" s="1"/>
  <c r="EC29" i="1"/>
  <c r="BG29" i="1" s="1"/>
  <c r="DW29" i="1"/>
  <c r="AQ29" i="1" s="1"/>
  <c r="ED29" i="1"/>
  <c r="BH29" i="1" s="1"/>
  <c r="DZ29" i="1"/>
  <c r="BD29" i="1" s="1"/>
  <c r="DQ30" i="1"/>
  <c r="AK30" i="1" s="1"/>
  <c r="DT29" i="1"/>
  <c r="AN29" i="1" s="1"/>
  <c r="EH29" i="1"/>
  <c r="BL29" i="1" s="1"/>
  <c r="DV29" i="1"/>
  <c r="AP29" i="1" s="1"/>
  <c r="DX28" i="1"/>
  <c r="EE29" i="1"/>
  <c r="BI29" i="1" s="1"/>
  <c r="EI29" i="1"/>
  <c r="DR29" i="1"/>
  <c r="AL29" i="1" s="1"/>
  <c r="EF31" i="1"/>
  <c r="BJ31" i="1" s="1"/>
  <c r="C18" i="25"/>
  <c r="D18" i="23"/>
  <c r="BR26" i="1"/>
  <c r="BQ27" i="1"/>
  <c r="EJ29" i="1"/>
  <c r="BO29" i="1" s="1"/>
  <c r="DY29" i="1"/>
  <c r="BC29" i="1" s="1"/>
  <c r="AL29" i="19"/>
  <c r="DR30" i="19"/>
  <c r="AR27" i="19"/>
  <c r="DV31" i="19"/>
  <c r="AP30" i="19"/>
  <c r="EH30" i="19"/>
  <c r="BL29" i="19"/>
  <c r="DW29" i="19"/>
  <c r="AQ28" i="19"/>
  <c r="EF29" i="19"/>
  <c r="BJ28" i="19"/>
  <c r="BM28" i="19" s="1"/>
  <c r="DY30" i="19"/>
  <c r="BC29" i="19"/>
  <c r="BK30" i="19"/>
  <c r="EG31" i="19"/>
  <c r="DZ30" i="19"/>
  <c r="BD29" i="19"/>
  <c r="BO29" i="19"/>
  <c r="EJ30" i="19"/>
  <c r="BH33" i="19"/>
  <c r="ED34" i="19"/>
  <c r="EC31" i="19"/>
  <c r="BG30" i="19"/>
  <c r="DX36" i="19"/>
  <c r="BF29" i="19"/>
  <c r="EB30" i="19"/>
  <c r="AK28" i="19"/>
  <c r="DQ29" i="19"/>
  <c r="EI37" i="19"/>
  <c r="DU29" i="19"/>
  <c r="AO28" i="19"/>
  <c r="DN29" i="1"/>
  <c r="AH29" i="1" s="1"/>
  <c r="F18" i="23" l="1"/>
  <c r="M18" i="25"/>
  <c r="BR26" i="21"/>
  <c r="D27" i="14"/>
  <c r="I27" i="15" s="1"/>
  <c r="BO30" i="21"/>
  <c r="EJ31" i="21"/>
  <c r="AN29" i="21"/>
  <c r="DT30" i="21"/>
  <c r="DS30" i="21"/>
  <c r="AM29" i="21"/>
  <c r="BQ27" i="21"/>
  <c r="DY30" i="21"/>
  <c r="BC29" i="21"/>
  <c r="BR26" i="19"/>
  <c r="C27" i="14"/>
  <c r="H17" i="25"/>
  <c r="E17" i="23"/>
  <c r="H25" i="14"/>
  <c r="H26" i="14"/>
  <c r="E18" i="23"/>
  <c r="H18" i="25"/>
  <c r="EG30" i="21"/>
  <c r="BK29" i="21"/>
  <c r="BJ32" i="21"/>
  <c r="EF33" i="21"/>
  <c r="DP30" i="21"/>
  <c r="AJ29" i="21"/>
  <c r="AM29" i="1"/>
  <c r="DS30" i="1"/>
  <c r="AR28" i="21"/>
  <c r="DX29" i="21"/>
  <c r="AN31" i="19"/>
  <c r="DT32" i="19"/>
  <c r="BI29" i="21"/>
  <c r="EE30" i="21"/>
  <c r="DW33" i="21"/>
  <c r="AQ32" i="21"/>
  <c r="BG31" i="21"/>
  <c r="EC32" i="21"/>
  <c r="AR28" i="1"/>
  <c r="BQ28" i="1" s="1"/>
  <c r="AI29" i="21"/>
  <c r="DO30" i="21"/>
  <c r="DQ30" i="21"/>
  <c r="AK29" i="21"/>
  <c r="AP29" i="21"/>
  <c r="DV30" i="21"/>
  <c r="EI29" i="21"/>
  <c r="BM28" i="21"/>
  <c r="DP30" i="19"/>
  <c r="AJ29" i="19"/>
  <c r="EH30" i="21"/>
  <c r="BL29" i="21"/>
  <c r="AJ29" i="1"/>
  <c r="DP30" i="1"/>
  <c r="BM29" i="1"/>
  <c r="BF29" i="21"/>
  <c r="EB30" i="21"/>
  <c r="DZ33" i="21"/>
  <c r="BD32" i="21"/>
  <c r="DO30" i="19"/>
  <c r="AI29" i="19"/>
  <c r="BE29" i="19"/>
  <c r="EA30" i="19"/>
  <c r="EE31" i="19"/>
  <c r="BI30" i="19"/>
  <c r="DN31" i="19"/>
  <c r="AH30" i="19"/>
  <c r="AL30" i="21"/>
  <c r="DR31" i="21"/>
  <c r="DS30" i="19"/>
  <c r="AM29" i="19"/>
  <c r="AH29" i="21"/>
  <c r="DN30" i="21"/>
  <c r="EA30" i="21"/>
  <c r="BE29" i="21"/>
  <c r="BF29" i="1"/>
  <c r="EB30" i="1"/>
  <c r="BQ27" i="19"/>
  <c r="AO29" i="21"/>
  <c r="DU30" i="21"/>
  <c r="ED31" i="21"/>
  <c r="BH30" i="21"/>
  <c r="EI30" i="1"/>
  <c r="EH30" i="1"/>
  <c r="BL30" i="1" s="1"/>
  <c r="ED30" i="1"/>
  <c r="BH30" i="1" s="1"/>
  <c r="EA30" i="1"/>
  <c r="BE30" i="1" s="1"/>
  <c r="EF32" i="1"/>
  <c r="BJ32" i="1" s="1"/>
  <c r="EE30" i="1"/>
  <c r="BI30" i="1" s="1"/>
  <c r="DV30" i="1"/>
  <c r="AP30" i="1" s="1"/>
  <c r="DT30" i="1"/>
  <c r="AN30" i="1" s="1"/>
  <c r="DZ30" i="1"/>
  <c r="BD30" i="1" s="1"/>
  <c r="DW30" i="1"/>
  <c r="AQ30" i="1" s="1"/>
  <c r="DO30" i="1"/>
  <c r="AI30" i="1" s="1"/>
  <c r="EG31" i="1"/>
  <c r="BK31" i="1" s="1"/>
  <c r="DR30" i="1"/>
  <c r="AL30" i="1" s="1"/>
  <c r="DX29" i="1"/>
  <c r="DQ31" i="1"/>
  <c r="AK31" i="1" s="1"/>
  <c r="EC30" i="1"/>
  <c r="BG30" i="1" s="1"/>
  <c r="DU30" i="1"/>
  <c r="AO30" i="1" s="1"/>
  <c r="BR27" i="1"/>
  <c r="C19" i="25"/>
  <c r="D19" i="23"/>
  <c r="EJ30" i="1"/>
  <c r="BO30" i="1" s="1"/>
  <c r="DY30" i="1"/>
  <c r="BC30" i="1" s="1"/>
  <c r="DR31" i="19"/>
  <c r="AL30" i="19"/>
  <c r="BJ29" i="19"/>
  <c r="BM29" i="19" s="1"/>
  <c r="EF30" i="19"/>
  <c r="BL30" i="19"/>
  <c r="EH31" i="19"/>
  <c r="AR28" i="19"/>
  <c r="DW30" i="19"/>
  <c r="AQ29" i="19"/>
  <c r="DV32" i="19"/>
  <c r="AP31" i="19"/>
  <c r="DU30" i="19"/>
  <c r="AO29" i="19"/>
  <c r="EB31" i="19"/>
  <c r="BF30" i="19"/>
  <c r="ED35" i="19"/>
  <c r="BH34" i="19"/>
  <c r="EJ31" i="19"/>
  <c r="BO30" i="19"/>
  <c r="DX37" i="19"/>
  <c r="DQ30" i="19"/>
  <c r="AK29" i="19"/>
  <c r="BK31" i="19"/>
  <c r="EG32" i="19"/>
  <c r="EI38" i="19"/>
  <c r="EC32" i="19"/>
  <c r="BG31" i="19"/>
  <c r="BD30" i="19"/>
  <c r="DZ31" i="19"/>
  <c r="BC30" i="19"/>
  <c r="DY31" i="19"/>
  <c r="DN30" i="1"/>
  <c r="AH30" i="1" s="1"/>
  <c r="M19" i="25" l="1"/>
  <c r="F19" i="23"/>
  <c r="BR27" i="21"/>
  <c r="D28" i="14"/>
  <c r="I28" i="15" s="1"/>
  <c r="BO31" i="21"/>
  <c r="EJ32" i="21"/>
  <c r="DT31" i="21"/>
  <c r="AN30" i="21"/>
  <c r="AM30" i="21"/>
  <c r="DS31" i="21"/>
  <c r="DY31" i="21"/>
  <c r="BC30" i="21"/>
  <c r="H27" i="15"/>
  <c r="F27" i="14"/>
  <c r="BR27" i="19"/>
  <c r="C28" i="14"/>
  <c r="DN31" i="21"/>
  <c r="AH30" i="21"/>
  <c r="DP31" i="19"/>
  <c r="AJ30" i="19"/>
  <c r="BM29" i="21"/>
  <c r="EI30" i="21"/>
  <c r="BG32" i="21"/>
  <c r="EC33" i="21"/>
  <c r="BH31" i="21"/>
  <c r="ED32" i="21"/>
  <c r="AM30" i="19"/>
  <c r="DS31" i="19"/>
  <c r="DZ34" i="21"/>
  <c r="BD33" i="21"/>
  <c r="DU31" i="21"/>
  <c r="AO30" i="21"/>
  <c r="DR32" i="21"/>
  <c r="AL31" i="21"/>
  <c r="BF30" i="21"/>
  <c r="EB31" i="21"/>
  <c r="AM30" i="1"/>
  <c r="DS31" i="1"/>
  <c r="DV31" i="21"/>
  <c r="AP30" i="21"/>
  <c r="AQ33" i="21"/>
  <c r="DW34" i="21"/>
  <c r="BI30" i="21"/>
  <c r="EE31" i="21"/>
  <c r="AH31" i="19"/>
  <c r="DN32" i="19"/>
  <c r="DP31" i="21"/>
  <c r="AJ30" i="21"/>
  <c r="BF30" i="1"/>
  <c r="EB31" i="1"/>
  <c r="AK30" i="21"/>
  <c r="DQ31" i="21"/>
  <c r="DT33" i="19"/>
  <c r="AN32" i="19"/>
  <c r="EF34" i="21"/>
  <c r="BJ33" i="21"/>
  <c r="AI30" i="19"/>
  <c r="DO31" i="19"/>
  <c r="AR29" i="1"/>
  <c r="BI31" i="19"/>
  <c r="EE32" i="19"/>
  <c r="BM30" i="1"/>
  <c r="BE30" i="19"/>
  <c r="EA31" i="19"/>
  <c r="BL30" i="21"/>
  <c r="EH31" i="21"/>
  <c r="DX30" i="21"/>
  <c r="AR29" i="21"/>
  <c r="BQ29" i="21" s="1"/>
  <c r="AJ30" i="1"/>
  <c r="DP31" i="1"/>
  <c r="BQ28" i="19"/>
  <c r="EA31" i="21"/>
  <c r="BE30" i="21"/>
  <c r="AI30" i="21"/>
  <c r="DO31" i="21"/>
  <c r="BQ28" i="21"/>
  <c r="EG31" i="21"/>
  <c r="BK30" i="21"/>
  <c r="DU31" i="1"/>
  <c r="AO31" i="1" s="1"/>
  <c r="DT31" i="1"/>
  <c r="AN31" i="1" s="1"/>
  <c r="EF33" i="1"/>
  <c r="BJ33" i="1" s="1"/>
  <c r="ED31" i="1"/>
  <c r="BH31" i="1" s="1"/>
  <c r="DQ32" i="1"/>
  <c r="AK32" i="1" s="1"/>
  <c r="DR31" i="1"/>
  <c r="AL31" i="1" s="1"/>
  <c r="DW31" i="1"/>
  <c r="AQ31" i="1" s="1"/>
  <c r="EE31" i="1"/>
  <c r="BI31" i="1" s="1"/>
  <c r="EI31" i="1"/>
  <c r="EC31" i="1"/>
  <c r="BG31" i="1" s="1"/>
  <c r="DX30" i="1"/>
  <c r="AR30" i="1" s="1"/>
  <c r="EG32" i="1"/>
  <c r="BK32" i="1" s="1"/>
  <c r="DO31" i="1"/>
  <c r="AI31" i="1" s="1"/>
  <c r="DZ31" i="1"/>
  <c r="BD31" i="1" s="1"/>
  <c r="DV31" i="1"/>
  <c r="AP31" i="1" s="1"/>
  <c r="EA31" i="1"/>
  <c r="BE31" i="1" s="1"/>
  <c r="EH31" i="1"/>
  <c r="BL31" i="1" s="1"/>
  <c r="BR28" i="1"/>
  <c r="C20" i="25"/>
  <c r="D20" i="23"/>
  <c r="BQ29" i="1"/>
  <c r="EJ31" i="1"/>
  <c r="BO31" i="1" s="1"/>
  <c r="DY31" i="1"/>
  <c r="BC31" i="1" s="1"/>
  <c r="DR32" i="19"/>
  <c r="AL31" i="19"/>
  <c r="DV33" i="19"/>
  <c r="AP32" i="19"/>
  <c r="BL31" i="19"/>
  <c r="EH32" i="19"/>
  <c r="AQ30" i="19"/>
  <c r="DW31" i="19"/>
  <c r="EF31" i="19"/>
  <c r="BJ30" i="19"/>
  <c r="BM30" i="19" s="1"/>
  <c r="AK30" i="19"/>
  <c r="DQ31" i="19"/>
  <c r="EG33" i="19"/>
  <c r="BK32" i="19"/>
  <c r="ED36" i="19"/>
  <c r="BH35" i="19"/>
  <c r="BG32" i="19"/>
  <c r="EC33" i="19"/>
  <c r="EI39" i="19"/>
  <c r="DX38" i="19"/>
  <c r="AR29" i="19"/>
  <c r="BD31" i="19"/>
  <c r="DZ32" i="19"/>
  <c r="BC31" i="19"/>
  <c r="DY32" i="19"/>
  <c r="BO31" i="19"/>
  <c r="EJ32" i="19"/>
  <c r="BF31" i="19"/>
  <c r="EB32" i="19"/>
  <c r="AO30" i="19"/>
  <c r="DU31" i="19"/>
  <c r="DN31" i="1"/>
  <c r="AH31" i="1" s="1"/>
  <c r="BR28" i="21" l="1"/>
  <c r="D29" i="14"/>
  <c r="I29" i="15" s="1"/>
  <c r="BR29" i="21"/>
  <c r="D30" i="14"/>
  <c r="I30" i="15" s="1"/>
  <c r="M20" i="25"/>
  <c r="F20" i="23"/>
  <c r="BO32" i="21"/>
  <c r="EJ33" i="21"/>
  <c r="DT32" i="21"/>
  <c r="AN31" i="21"/>
  <c r="AM31" i="21"/>
  <c r="DS32" i="21"/>
  <c r="BC31" i="21"/>
  <c r="DY32" i="21"/>
  <c r="H27" i="14"/>
  <c r="H19" i="25"/>
  <c r="E19" i="23"/>
  <c r="BR28" i="19"/>
  <c r="C29" i="14"/>
  <c r="H28" i="15"/>
  <c r="F28" i="14"/>
  <c r="AI31" i="19"/>
  <c r="DO32" i="19"/>
  <c r="DN33" i="19"/>
  <c r="AH32" i="19"/>
  <c r="BH32" i="21"/>
  <c r="ED33" i="21"/>
  <c r="EG32" i="21"/>
  <c r="BK31" i="21"/>
  <c r="BI31" i="21"/>
  <c r="EE32" i="21"/>
  <c r="BG33" i="21"/>
  <c r="EC34" i="21"/>
  <c r="AR30" i="21"/>
  <c r="DX31" i="21"/>
  <c r="EF35" i="21"/>
  <c r="BJ34" i="21"/>
  <c r="AO31" i="21"/>
  <c r="DU32" i="21"/>
  <c r="EH32" i="21"/>
  <c r="BL31" i="21"/>
  <c r="AQ34" i="21"/>
  <c r="DW35" i="21"/>
  <c r="BM30" i="21"/>
  <c r="EI31" i="21"/>
  <c r="AN33" i="19"/>
  <c r="DT34" i="19"/>
  <c r="BE31" i="19"/>
  <c r="BM31" i="19" s="1"/>
  <c r="EA32" i="19"/>
  <c r="DQ32" i="21"/>
  <c r="AK31" i="21"/>
  <c r="DO32" i="21"/>
  <c r="AI31" i="21"/>
  <c r="BE31" i="21"/>
  <c r="EA32" i="21"/>
  <c r="BF31" i="1"/>
  <c r="EB32" i="1"/>
  <c r="AM31" i="1"/>
  <c r="DS32" i="1"/>
  <c r="BM31" i="1"/>
  <c r="BI32" i="19"/>
  <c r="EE33" i="19"/>
  <c r="DZ35" i="21"/>
  <c r="BD34" i="21"/>
  <c r="AJ31" i="19"/>
  <c r="DP32" i="19"/>
  <c r="DR33" i="21"/>
  <c r="AL32" i="21"/>
  <c r="DV32" i="21"/>
  <c r="AP31" i="21"/>
  <c r="AJ31" i="1"/>
  <c r="DP32" i="1"/>
  <c r="EB32" i="21"/>
  <c r="BF31" i="21"/>
  <c r="AM31" i="19"/>
  <c r="DS32" i="19"/>
  <c r="BQ29" i="19"/>
  <c r="DP32" i="21"/>
  <c r="AJ31" i="21"/>
  <c r="DN32" i="21"/>
  <c r="AH31" i="21"/>
  <c r="DV32" i="1"/>
  <c r="AP32" i="1" s="1"/>
  <c r="DX31" i="1"/>
  <c r="EI32" i="1"/>
  <c r="DQ33" i="1"/>
  <c r="AK33" i="1" s="1"/>
  <c r="EF34" i="1"/>
  <c r="BJ34" i="1" s="1"/>
  <c r="EH32" i="1"/>
  <c r="BL32" i="1" s="1"/>
  <c r="DZ32" i="1"/>
  <c r="BD32" i="1" s="1"/>
  <c r="EG33" i="1"/>
  <c r="BK33" i="1" s="1"/>
  <c r="EC32" i="1"/>
  <c r="BG32" i="1" s="1"/>
  <c r="EE32" i="1"/>
  <c r="BI32" i="1" s="1"/>
  <c r="DR32" i="1"/>
  <c r="AL32" i="1" s="1"/>
  <c r="ED32" i="1"/>
  <c r="BH32" i="1" s="1"/>
  <c r="DT32" i="1"/>
  <c r="AN32" i="1" s="1"/>
  <c r="DU32" i="1"/>
  <c r="AO32" i="1" s="1"/>
  <c r="EA32" i="1"/>
  <c r="BE32" i="1" s="1"/>
  <c r="DO32" i="1"/>
  <c r="AI32" i="1" s="1"/>
  <c r="DW32" i="1"/>
  <c r="AQ32" i="1" s="1"/>
  <c r="C21" i="25"/>
  <c r="D21" i="23"/>
  <c r="BR29" i="1"/>
  <c r="BQ30" i="1"/>
  <c r="EJ32" i="1"/>
  <c r="BO32" i="1" s="1"/>
  <c r="DY32" i="1"/>
  <c r="BC32" i="1" s="1"/>
  <c r="AR30" i="19"/>
  <c r="DR33" i="19"/>
  <c r="AL32" i="19"/>
  <c r="DW32" i="19"/>
  <c r="AQ31" i="19"/>
  <c r="BL32" i="19"/>
  <c r="EH33" i="19"/>
  <c r="EF32" i="19"/>
  <c r="BJ31" i="19"/>
  <c r="DV34" i="19"/>
  <c r="AP33" i="19"/>
  <c r="DU32" i="19"/>
  <c r="AO31" i="19"/>
  <c r="EJ33" i="19"/>
  <c r="BO32" i="19"/>
  <c r="BC32" i="19"/>
  <c r="DY33" i="19"/>
  <c r="EB33" i="19"/>
  <c r="BF32" i="19"/>
  <c r="DZ33" i="19"/>
  <c r="BD32" i="19"/>
  <c r="DX39" i="19"/>
  <c r="EG34" i="19"/>
  <c r="BK33" i="19"/>
  <c r="BG33" i="19"/>
  <c r="EC34" i="19"/>
  <c r="BH36" i="19"/>
  <c r="ED37" i="19"/>
  <c r="DQ32" i="19"/>
  <c r="AK31" i="19"/>
  <c r="EI40" i="19"/>
  <c r="DN32" i="1"/>
  <c r="AH32" i="1" s="1"/>
  <c r="M21" i="25" l="1"/>
  <c r="F21" i="23"/>
  <c r="M22" i="25"/>
  <c r="F22" i="23"/>
  <c r="EJ34" i="21"/>
  <c r="BO33" i="21"/>
  <c r="DT33" i="21"/>
  <c r="AN32" i="21"/>
  <c r="DS33" i="21"/>
  <c r="AM32" i="21"/>
  <c r="BC32" i="21"/>
  <c r="DY33" i="21"/>
  <c r="BR29" i="19"/>
  <c r="C30" i="14"/>
  <c r="H29" i="15"/>
  <c r="F29" i="14"/>
  <c r="H28" i="14"/>
  <c r="H20" i="25"/>
  <c r="E20" i="23"/>
  <c r="AR31" i="1"/>
  <c r="BF32" i="21"/>
  <c r="EB33" i="21"/>
  <c r="AQ35" i="21"/>
  <c r="DW36" i="21"/>
  <c r="EC35" i="21"/>
  <c r="BG34" i="21"/>
  <c r="DQ33" i="21"/>
  <c r="AK32" i="21"/>
  <c r="EH33" i="21"/>
  <c r="BL32" i="21"/>
  <c r="AH32" i="21"/>
  <c r="DN33" i="21"/>
  <c r="AP32" i="21"/>
  <c r="DV33" i="21"/>
  <c r="BF32" i="1"/>
  <c r="BM32" i="1" s="1"/>
  <c r="EB33" i="1"/>
  <c r="BE32" i="19"/>
  <c r="BM32" i="19" s="1"/>
  <c r="EA33" i="19"/>
  <c r="AO32" i="21"/>
  <c r="DU33" i="21"/>
  <c r="EG33" i="21"/>
  <c r="BK32" i="21"/>
  <c r="DT35" i="19"/>
  <c r="AN34" i="19"/>
  <c r="ED34" i="21"/>
  <c r="BH33" i="21"/>
  <c r="EE33" i="21"/>
  <c r="BI32" i="21"/>
  <c r="DP33" i="21"/>
  <c r="AJ32" i="21"/>
  <c r="EF36" i="21"/>
  <c r="BJ35" i="21"/>
  <c r="DO33" i="21"/>
  <c r="AI32" i="21"/>
  <c r="AH33" i="19"/>
  <c r="DN34" i="19"/>
  <c r="AJ32" i="1"/>
  <c r="DP33" i="1"/>
  <c r="EA33" i="21"/>
  <c r="BE32" i="21"/>
  <c r="BQ30" i="19"/>
  <c r="DP33" i="19"/>
  <c r="AJ32" i="19"/>
  <c r="BD35" i="21"/>
  <c r="DZ36" i="21"/>
  <c r="AR31" i="21"/>
  <c r="DX32" i="21"/>
  <c r="DO33" i="19"/>
  <c r="AI32" i="19"/>
  <c r="AM32" i="1"/>
  <c r="DS33" i="1"/>
  <c r="DR34" i="21"/>
  <c r="AL33" i="21"/>
  <c r="EI32" i="21"/>
  <c r="BM31" i="21"/>
  <c r="AM32" i="19"/>
  <c r="DS33" i="19"/>
  <c r="BI33" i="19"/>
  <c r="EE34" i="19"/>
  <c r="BQ30" i="21"/>
  <c r="DU33" i="1"/>
  <c r="AO33" i="1" s="1"/>
  <c r="EE33" i="1"/>
  <c r="BI33" i="1" s="1"/>
  <c r="EG34" i="1"/>
  <c r="BK34" i="1" s="1"/>
  <c r="EF35" i="1"/>
  <c r="BJ35" i="1" s="1"/>
  <c r="EI33" i="1"/>
  <c r="DV33" i="1"/>
  <c r="AP33" i="1" s="1"/>
  <c r="DW33" i="1"/>
  <c r="AQ33" i="1" s="1"/>
  <c r="EA33" i="1"/>
  <c r="BE33" i="1" s="1"/>
  <c r="DT33" i="1"/>
  <c r="AN33" i="1" s="1"/>
  <c r="DR33" i="1"/>
  <c r="AL33" i="1" s="1"/>
  <c r="EC33" i="1"/>
  <c r="BG33" i="1" s="1"/>
  <c r="DZ33" i="1"/>
  <c r="BD33" i="1" s="1"/>
  <c r="EH33" i="1"/>
  <c r="BL33" i="1" s="1"/>
  <c r="DQ34" i="1"/>
  <c r="AK34" i="1" s="1"/>
  <c r="DX32" i="1"/>
  <c r="DO33" i="1"/>
  <c r="AI33" i="1" s="1"/>
  <c r="ED33" i="1"/>
  <c r="BH33" i="1" s="1"/>
  <c r="BR30" i="1"/>
  <c r="C22" i="25"/>
  <c r="D22" i="23"/>
  <c r="BQ31" i="1"/>
  <c r="EJ33" i="1"/>
  <c r="BO33" i="1" s="1"/>
  <c r="DY33" i="1"/>
  <c r="BC33" i="1" s="1"/>
  <c r="AL33" i="19"/>
  <c r="DR34" i="19"/>
  <c r="BL33" i="19"/>
  <c r="EH34" i="19"/>
  <c r="AQ32" i="19"/>
  <c r="DW33" i="19"/>
  <c r="DV35" i="19"/>
  <c r="AP34" i="19"/>
  <c r="BJ32" i="19"/>
  <c r="EF33" i="19"/>
  <c r="AK32" i="19"/>
  <c r="DQ33" i="19"/>
  <c r="EC35" i="19"/>
  <c r="BG34" i="19"/>
  <c r="BD33" i="19"/>
  <c r="DZ34" i="19"/>
  <c r="EB34" i="19"/>
  <c r="BF33" i="19"/>
  <c r="EJ34" i="19"/>
  <c r="BO33" i="19"/>
  <c r="EG35" i="19"/>
  <c r="BK34" i="19"/>
  <c r="DX40" i="19"/>
  <c r="BC33" i="19"/>
  <c r="DY34" i="19"/>
  <c r="AR31" i="19"/>
  <c r="EI41" i="19"/>
  <c r="BH37" i="19"/>
  <c r="ED38" i="19"/>
  <c r="AO32" i="19"/>
  <c r="DU33" i="19"/>
  <c r="DN33" i="1"/>
  <c r="AH33" i="1" s="1"/>
  <c r="BR30" i="21" l="1"/>
  <c r="D31" i="14"/>
  <c r="I31" i="15" s="1"/>
  <c r="EJ35" i="21"/>
  <c r="BO34" i="21"/>
  <c r="DT34" i="21"/>
  <c r="AN33" i="21"/>
  <c r="AM33" i="21"/>
  <c r="DS34" i="21"/>
  <c r="BQ31" i="21"/>
  <c r="BC33" i="21"/>
  <c r="DY34" i="21"/>
  <c r="H30" i="15"/>
  <c r="F30" i="14"/>
  <c r="BR30" i="19"/>
  <c r="C31" i="14"/>
  <c r="H29" i="14"/>
  <c r="E21" i="23"/>
  <c r="H21" i="25"/>
  <c r="AO33" i="21"/>
  <c r="DU34" i="21"/>
  <c r="AI33" i="21"/>
  <c r="DO34" i="21"/>
  <c r="AR32" i="21"/>
  <c r="DX33" i="21"/>
  <c r="EF37" i="21"/>
  <c r="BJ36" i="21"/>
  <c r="DQ34" i="21"/>
  <c r="AK33" i="21"/>
  <c r="DP34" i="19"/>
  <c r="AJ33" i="19"/>
  <c r="EA34" i="19"/>
  <c r="BE33" i="19"/>
  <c r="EC36" i="21"/>
  <c r="BG35" i="21"/>
  <c r="AM33" i="19"/>
  <c r="DS34" i="19"/>
  <c r="AJ33" i="1"/>
  <c r="DP34" i="1"/>
  <c r="BF33" i="1"/>
  <c r="BM33" i="1" s="1"/>
  <c r="EB34" i="1"/>
  <c r="DW37" i="21"/>
  <c r="AQ36" i="21"/>
  <c r="EH34" i="21"/>
  <c r="BL33" i="21"/>
  <c r="DO34" i="19"/>
  <c r="AI33" i="19"/>
  <c r="BI34" i="19"/>
  <c r="EE35" i="19"/>
  <c r="BI33" i="21"/>
  <c r="EE34" i="21"/>
  <c r="AJ33" i="21"/>
  <c r="DP34" i="21"/>
  <c r="EI33" i="21"/>
  <c r="BM32" i="21"/>
  <c r="AH34" i="19"/>
  <c r="DN35" i="19"/>
  <c r="AP33" i="21"/>
  <c r="DV34" i="21"/>
  <c r="EG34" i="21"/>
  <c r="BK33" i="21"/>
  <c r="BD36" i="21"/>
  <c r="DZ37" i="21"/>
  <c r="BH34" i="21"/>
  <c r="ED35" i="21"/>
  <c r="BQ31" i="19"/>
  <c r="AR32" i="1"/>
  <c r="BQ32" i="1" s="1"/>
  <c r="AL34" i="21"/>
  <c r="DR35" i="21"/>
  <c r="DN34" i="21"/>
  <c r="AH33" i="21"/>
  <c r="EB34" i="21"/>
  <c r="BF33" i="21"/>
  <c r="BE33" i="21"/>
  <c r="EA34" i="21"/>
  <c r="AR32" i="19"/>
  <c r="AM33" i="1"/>
  <c r="DS34" i="1"/>
  <c r="DT36" i="19"/>
  <c r="AN35" i="19"/>
  <c r="DO34" i="1"/>
  <c r="AI34" i="1" s="1"/>
  <c r="EH34" i="1"/>
  <c r="BL34" i="1" s="1"/>
  <c r="DT34" i="1"/>
  <c r="AN34" i="1" s="1"/>
  <c r="DW34" i="1"/>
  <c r="AQ34" i="1" s="1"/>
  <c r="EG35" i="1"/>
  <c r="BK35" i="1" s="1"/>
  <c r="DU34" i="1"/>
  <c r="AO34" i="1" s="1"/>
  <c r="ED34" i="1"/>
  <c r="BH34" i="1" s="1"/>
  <c r="DQ35" i="1"/>
  <c r="AK35" i="1" s="1"/>
  <c r="DZ34" i="1"/>
  <c r="BD34" i="1" s="1"/>
  <c r="DR34" i="1"/>
  <c r="AL34" i="1" s="1"/>
  <c r="EA34" i="1"/>
  <c r="BE34" i="1" s="1"/>
  <c r="DV34" i="1"/>
  <c r="AP34" i="1" s="1"/>
  <c r="EF36" i="1"/>
  <c r="BJ36" i="1" s="1"/>
  <c r="EE34" i="1"/>
  <c r="BI34" i="1" s="1"/>
  <c r="DX33" i="1"/>
  <c r="EC34" i="1"/>
  <c r="BG34" i="1" s="1"/>
  <c r="EI34" i="1"/>
  <c r="BR31" i="1"/>
  <c r="C23" i="25"/>
  <c r="D23" i="23"/>
  <c r="EJ34" i="1"/>
  <c r="BO34" i="1" s="1"/>
  <c r="DY34" i="1"/>
  <c r="BC34" i="1" s="1"/>
  <c r="DR35" i="19"/>
  <c r="AL34" i="19"/>
  <c r="AQ33" i="19"/>
  <c r="DW34" i="19"/>
  <c r="BJ33" i="19"/>
  <c r="BM33" i="19" s="1"/>
  <c r="EF34" i="19"/>
  <c r="BL34" i="19"/>
  <c r="EH35" i="19"/>
  <c r="DV36" i="19"/>
  <c r="AP35" i="19"/>
  <c r="BH38" i="19"/>
  <c r="ED39" i="19"/>
  <c r="BK35" i="19"/>
  <c r="EG36" i="19"/>
  <c r="EB35" i="19"/>
  <c r="BF34" i="19"/>
  <c r="EI42" i="19"/>
  <c r="DX41" i="19"/>
  <c r="DZ35" i="19"/>
  <c r="BD34" i="19"/>
  <c r="BO34" i="19"/>
  <c r="EJ35" i="19"/>
  <c r="EC36" i="19"/>
  <c r="BG35" i="19"/>
  <c r="DU34" i="19"/>
  <c r="AO33" i="19"/>
  <c r="DY35" i="19"/>
  <c r="BC34" i="19"/>
  <c r="AK33" i="19"/>
  <c r="DQ34" i="19"/>
  <c r="DN34" i="1"/>
  <c r="AH34" i="1" s="1"/>
  <c r="M23" i="25" l="1"/>
  <c r="F23" i="23"/>
  <c r="BR31" i="21"/>
  <c r="D32" i="14"/>
  <c r="I32" i="15" s="1"/>
  <c r="BO35" i="21"/>
  <c r="EJ36" i="21"/>
  <c r="DT35" i="21"/>
  <c r="AN34" i="21"/>
  <c r="AM34" i="21"/>
  <c r="DS35" i="21"/>
  <c r="DY35" i="21"/>
  <c r="BC34" i="21"/>
  <c r="H30" i="14"/>
  <c r="E22" i="23"/>
  <c r="H22" i="25"/>
  <c r="H31" i="15"/>
  <c r="F31" i="14"/>
  <c r="BR31" i="19"/>
  <c r="C32" i="14"/>
  <c r="BI34" i="21"/>
  <c r="EE35" i="21"/>
  <c r="BF34" i="1"/>
  <c r="EB35" i="1"/>
  <c r="AQ37" i="21"/>
  <c r="DW38" i="21"/>
  <c r="DQ35" i="21"/>
  <c r="AK34" i="21"/>
  <c r="EG35" i="21"/>
  <c r="BK34" i="21"/>
  <c r="AJ34" i="1"/>
  <c r="DP35" i="1"/>
  <c r="BQ32" i="19"/>
  <c r="AH35" i="19"/>
  <c r="DN36" i="19"/>
  <c r="EF38" i="21"/>
  <c r="BJ37" i="21"/>
  <c r="EA35" i="21"/>
  <c r="BE34" i="21"/>
  <c r="BI35" i="19"/>
  <c r="EE36" i="19"/>
  <c r="AM34" i="19"/>
  <c r="DS35" i="19"/>
  <c r="DX34" i="21"/>
  <c r="AR33" i="21"/>
  <c r="AM34" i="1"/>
  <c r="DS35" i="1"/>
  <c r="BQ32" i="21"/>
  <c r="AL35" i="21"/>
  <c r="DR36" i="21"/>
  <c r="DV35" i="21"/>
  <c r="AP34" i="21"/>
  <c r="AR33" i="1"/>
  <c r="BQ33" i="1" s="1"/>
  <c r="BM33" i="21"/>
  <c r="EI34" i="21"/>
  <c r="DO35" i="21"/>
  <c r="AI34" i="21"/>
  <c r="BF34" i="21"/>
  <c r="EB35" i="21"/>
  <c r="ED36" i="21"/>
  <c r="BH35" i="21"/>
  <c r="DO35" i="19"/>
  <c r="AI34" i="19"/>
  <c r="EC37" i="21"/>
  <c r="BG36" i="21"/>
  <c r="BM34" i="1"/>
  <c r="AJ34" i="21"/>
  <c r="DP35" i="21"/>
  <c r="DU35" i="21"/>
  <c r="AO34" i="21"/>
  <c r="AJ34" i="19"/>
  <c r="DP35" i="19"/>
  <c r="DT37" i="19"/>
  <c r="AN36" i="19"/>
  <c r="AH34" i="21"/>
  <c r="DN35" i="21"/>
  <c r="DZ38" i="21"/>
  <c r="BD37" i="21"/>
  <c r="BL34" i="21"/>
  <c r="EH35" i="21"/>
  <c r="BE34" i="19"/>
  <c r="EA35" i="19"/>
  <c r="EI35" i="1"/>
  <c r="DX34" i="1"/>
  <c r="EF37" i="1"/>
  <c r="BJ37" i="1" s="1"/>
  <c r="EA35" i="1"/>
  <c r="BE35" i="1" s="1"/>
  <c r="DZ35" i="1"/>
  <c r="BD35" i="1" s="1"/>
  <c r="DU35" i="1"/>
  <c r="AO35" i="1" s="1"/>
  <c r="DW35" i="1"/>
  <c r="AQ35" i="1" s="1"/>
  <c r="EH35" i="1"/>
  <c r="BL35" i="1" s="1"/>
  <c r="EC35" i="1"/>
  <c r="BG35" i="1" s="1"/>
  <c r="EE35" i="1"/>
  <c r="BI35" i="1" s="1"/>
  <c r="DV35" i="1"/>
  <c r="AP35" i="1" s="1"/>
  <c r="DR35" i="1"/>
  <c r="AL35" i="1" s="1"/>
  <c r="DQ36" i="1"/>
  <c r="AK36" i="1" s="1"/>
  <c r="ED35" i="1"/>
  <c r="BH35" i="1" s="1"/>
  <c r="EG36" i="1"/>
  <c r="BK36" i="1" s="1"/>
  <c r="DT35" i="1"/>
  <c r="AN35" i="1" s="1"/>
  <c r="DO35" i="1"/>
  <c r="AI35" i="1" s="1"/>
  <c r="BR32" i="1"/>
  <c r="C24" i="25"/>
  <c r="D24" i="23"/>
  <c r="EJ35" i="1"/>
  <c r="BO35" i="1" s="1"/>
  <c r="DY35" i="1"/>
  <c r="BC35" i="1" s="1"/>
  <c r="AL35" i="19"/>
  <c r="DR36" i="19"/>
  <c r="BJ34" i="19"/>
  <c r="EF35" i="19"/>
  <c r="AP36" i="19"/>
  <c r="DV37" i="19"/>
  <c r="DW35" i="19"/>
  <c r="AQ34" i="19"/>
  <c r="BL35" i="19"/>
  <c r="EH36" i="19"/>
  <c r="AK34" i="19"/>
  <c r="DQ35" i="19"/>
  <c r="AR33" i="19"/>
  <c r="BO35" i="19"/>
  <c r="EJ36" i="19"/>
  <c r="EI43" i="19"/>
  <c r="EG37" i="19"/>
  <c r="BK36" i="19"/>
  <c r="BD35" i="19"/>
  <c r="DZ36" i="19"/>
  <c r="ED40" i="19"/>
  <c r="BH39" i="19"/>
  <c r="AO34" i="19"/>
  <c r="DU35" i="19"/>
  <c r="BC35" i="19"/>
  <c r="DY36" i="19"/>
  <c r="BG36" i="19"/>
  <c r="EC37" i="19"/>
  <c r="DX42" i="19"/>
  <c r="EB36" i="19"/>
  <c r="BF35" i="19"/>
  <c r="DN35" i="1"/>
  <c r="AH35" i="1" s="1"/>
  <c r="BR32" i="21" l="1"/>
  <c r="D33" i="14"/>
  <c r="I33" i="15" s="1"/>
  <c r="F24" i="23"/>
  <c r="M24" i="25"/>
  <c r="EJ37" i="21"/>
  <c r="BO36" i="21"/>
  <c r="DT36" i="21"/>
  <c r="AN35" i="21"/>
  <c r="AM35" i="21"/>
  <c r="DS36" i="21"/>
  <c r="BC35" i="21"/>
  <c r="DY36" i="21"/>
  <c r="H31" i="14"/>
  <c r="H23" i="25"/>
  <c r="E23" i="23"/>
  <c r="BR32" i="19"/>
  <c r="C33" i="14"/>
  <c r="F32" i="14"/>
  <c r="H32" i="15"/>
  <c r="BM34" i="19"/>
  <c r="EB36" i="21"/>
  <c r="BF35" i="21"/>
  <c r="AM35" i="1"/>
  <c r="DS36" i="1"/>
  <c r="AH36" i="19"/>
  <c r="DN37" i="19"/>
  <c r="DW39" i="21"/>
  <c r="AQ38" i="21"/>
  <c r="BE35" i="19"/>
  <c r="BM35" i="19" s="1"/>
  <c r="EA36" i="19"/>
  <c r="AI35" i="21"/>
  <c r="DO36" i="21"/>
  <c r="BM34" i="21"/>
  <c r="EI35" i="21"/>
  <c r="BQ33" i="21"/>
  <c r="BQ33" i="19"/>
  <c r="BL35" i="21"/>
  <c r="EH36" i="21"/>
  <c r="AR34" i="21"/>
  <c r="DX35" i="21"/>
  <c r="DS36" i="19"/>
  <c r="AM35" i="19"/>
  <c r="AJ35" i="1"/>
  <c r="DP36" i="1"/>
  <c r="BF35" i="1"/>
  <c r="EB36" i="1"/>
  <c r="DQ36" i="21"/>
  <c r="AK35" i="21"/>
  <c r="BM35" i="1"/>
  <c r="EE37" i="19"/>
  <c r="BI36" i="19"/>
  <c r="AO35" i="21"/>
  <c r="DU36" i="21"/>
  <c r="DZ39" i="21"/>
  <c r="BD38" i="21"/>
  <c r="AH35" i="21"/>
  <c r="DN36" i="21"/>
  <c r="BJ38" i="21"/>
  <c r="EF39" i="21"/>
  <c r="DO36" i="19"/>
  <c r="AI35" i="19"/>
  <c r="AN37" i="19"/>
  <c r="DT38" i="19"/>
  <c r="AP35" i="21"/>
  <c r="DV36" i="21"/>
  <c r="EE36" i="21"/>
  <c r="BI35" i="21"/>
  <c r="DP36" i="21"/>
  <c r="AJ35" i="21"/>
  <c r="BG37" i="21"/>
  <c r="EC38" i="21"/>
  <c r="AR34" i="1"/>
  <c r="BQ34" i="1" s="1"/>
  <c r="AJ35" i="19"/>
  <c r="DP36" i="19"/>
  <c r="ED37" i="21"/>
  <c r="BH36" i="21"/>
  <c r="AL36" i="21"/>
  <c r="DR37" i="21"/>
  <c r="BE35" i="21"/>
  <c r="EA36" i="21"/>
  <c r="EG36" i="21"/>
  <c r="BK35" i="21"/>
  <c r="DR36" i="1"/>
  <c r="AL36" i="1" s="1"/>
  <c r="DW36" i="1"/>
  <c r="AQ36" i="1" s="1"/>
  <c r="DX35" i="1"/>
  <c r="EE36" i="1"/>
  <c r="BI36" i="1" s="1"/>
  <c r="DO36" i="1"/>
  <c r="AI36" i="1" s="1"/>
  <c r="EG37" i="1"/>
  <c r="BK37" i="1" s="1"/>
  <c r="DQ37" i="1"/>
  <c r="AK37" i="1" s="1"/>
  <c r="DV36" i="1"/>
  <c r="AP36" i="1" s="1"/>
  <c r="EH36" i="1"/>
  <c r="BL36" i="1" s="1"/>
  <c r="DU36" i="1"/>
  <c r="AO36" i="1" s="1"/>
  <c r="DZ36" i="1"/>
  <c r="BD36" i="1" s="1"/>
  <c r="EF38" i="1"/>
  <c r="BJ38" i="1" s="1"/>
  <c r="EI36" i="1"/>
  <c r="DT36" i="1"/>
  <c r="AN36" i="1" s="1"/>
  <c r="ED36" i="1"/>
  <c r="BH36" i="1" s="1"/>
  <c r="EC36" i="1"/>
  <c r="BG36" i="1" s="1"/>
  <c r="EA36" i="1"/>
  <c r="BE36" i="1" s="1"/>
  <c r="BR33" i="1"/>
  <c r="EJ36" i="1"/>
  <c r="BO36" i="1" s="1"/>
  <c r="DY36" i="1"/>
  <c r="BC36" i="1" s="1"/>
  <c r="AL36" i="19"/>
  <c r="DR37" i="19"/>
  <c r="AR34" i="19"/>
  <c r="EH37" i="19"/>
  <c r="BL36" i="19"/>
  <c r="DW36" i="19"/>
  <c r="AQ35" i="19"/>
  <c r="DV38" i="19"/>
  <c r="AP37" i="19"/>
  <c r="EF36" i="19"/>
  <c r="BJ35" i="19"/>
  <c r="EI44" i="19"/>
  <c r="EJ37" i="19"/>
  <c r="BO36" i="19"/>
  <c r="EB37" i="19"/>
  <c r="BF36" i="19"/>
  <c r="DX43" i="19"/>
  <c r="DZ37" i="19"/>
  <c r="BD36" i="19"/>
  <c r="BC36" i="19"/>
  <c r="DY37" i="19"/>
  <c r="BH40" i="19"/>
  <c r="ED41" i="19"/>
  <c r="AK35" i="19"/>
  <c r="DQ36" i="19"/>
  <c r="EC38" i="19"/>
  <c r="BG37" i="19"/>
  <c r="AO35" i="19"/>
  <c r="DU36" i="19"/>
  <c r="BK37" i="19"/>
  <c r="EG38" i="19"/>
  <c r="DN36" i="1"/>
  <c r="AH36" i="1" s="1"/>
  <c r="F25" i="23" l="1"/>
  <c r="M25" i="25"/>
  <c r="BR33" i="21"/>
  <c r="D34" i="14"/>
  <c r="I34" i="15" s="1"/>
  <c r="EJ38" i="21"/>
  <c r="BO37" i="21"/>
  <c r="AN36" i="21"/>
  <c r="DT37" i="21"/>
  <c r="DS37" i="21"/>
  <c r="AM36" i="21"/>
  <c r="BC36" i="21"/>
  <c r="DY37" i="21"/>
  <c r="BQ34" i="21"/>
  <c r="H33" i="15"/>
  <c r="F33" i="14"/>
  <c r="BR33" i="19"/>
  <c r="C34" i="14"/>
  <c r="H24" i="25"/>
  <c r="E24" i="23"/>
  <c r="H32" i="14"/>
  <c r="AR35" i="1"/>
  <c r="BG38" i="21"/>
  <c r="EC39" i="21"/>
  <c r="EF40" i="21"/>
  <c r="BJ39" i="21"/>
  <c r="DO37" i="21"/>
  <c r="AI36" i="21"/>
  <c r="BE36" i="19"/>
  <c r="BM36" i="19" s="1"/>
  <c r="EA37" i="19"/>
  <c r="DX36" i="21"/>
  <c r="AR35" i="21"/>
  <c r="BE36" i="21"/>
  <c r="EA37" i="21"/>
  <c r="AJ36" i="21"/>
  <c r="DP37" i="21"/>
  <c r="EH37" i="21"/>
  <c r="BL36" i="21"/>
  <c r="AH36" i="21"/>
  <c r="DN37" i="21"/>
  <c r="DQ37" i="21"/>
  <c r="AK36" i="21"/>
  <c r="AL37" i="21"/>
  <c r="DR38" i="21"/>
  <c r="BI36" i="21"/>
  <c r="EE37" i="21"/>
  <c r="BF36" i="1"/>
  <c r="BM36" i="1" s="1"/>
  <c r="EB37" i="1"/>
  <c r="AQ39" i="21"/>
  <c r="DW40" i="21"/>
  <c r="EE38" i="19"/>
  <c r="BI37" i="19"/>
  <c r="AP36" i="21"/>
  <c r="DV37" i="21"/>
  <c r="DN38" i="19"/>
  <c r="AH37" i="19"/>
  <c r="AJ36" i="1"/>
  <c r="DP37" i="1"/>
  <c r="ED38" i="21"/>
  <c r="BH37" i="21"/>
  <c r="DT39" i="19"/>
  <c r="AN38" i="19"/>
  <c r="DU37" i="21"/>
  <c r="AO36" i="21"/>
  <c r="AM36" i="1"/>
  <c r="DS37" i="1"/>
  <c r="BQ34" i="19"/>
  <c r="AJ36" i="19"/>
  <c r="DP37" i="19"/>
  <c r="DS37" i="19"/>
  <c r="AM36" i="19"/>
  <c r="BM35" i="21"/>
  <c r="EI36" i="21"/>
  <c r="BK36" i="21"/>
  <c r="EG37" i="21"/>
  <c r="DZ40" i="21"/>
  <c r="BD39" i="21"/>
  <c r="AI36" i="19"/>
  <c r="DO37" i="19"/>
  <c r="BF36" i="21"/>
  <c r="EB37" i="21"/>
  <c r="EA37" i="1"/>
  <c r="BE37" i="1" s="1"/>
  <c r="ED37" i="1"/>
  <c r="BH37" i="1" s="1"/>
  <c r="EI37" i="1"/>
  <c r="DZ37" i="1"/>
  <c r="BD37" i="1" s="1"/>
  <c r="EH37" i="1"/>
  <c r="BL37" i="1" s="1"/>
  <c r="DV37" i="1"/>
  <c r="AP37" i="1" s="1"/>
  <c r="EG38" i="1"/>
  <c r="BK38" i="1" s="1"/>
  <c r="EE37" i="1"/>
  <c r="BI37" i="1" s="1"/>
  <c r="DR37" i="1"/>
  <c r="AL37" i="1" s="1"/>
  <c r="EC37" i="1"/>
  <c r="BG37" i="1" s="1"/>
  <c r="DT37" i="1"/>
  <c r="AN37" i="1" s="1"/>
  <c r="EF39" i="1"/>
  <c r="BJ39" i="1" s="1"/>
  <c r="DU37" i="1"/>
  <c r="AO37" i="1" s="1"/>
  <c r="DQ38" i="1"/>
  <c r="AK38" i="1" s="1"/>
  <c r="DO37" i="1"/>
  <c r="AI37" i="1" s="1"/>
  <c r="DX36" i="1"/>
  <c r="DW37" i="1"/>
  <c r="AQ37" i="1" s="1"/>
  <c r="BR34" i="1"/>
  <c r="C25" i="25"/>
  <c r="D25" i="23"/>
  <c r="C26" i="25"/>
  <c r="D26" i="23"/>
  <c r="BQ35" i="1"/>
  <c r="EJ37" i="1"/>
  <c r="BO37" i="1" s="1"/>
  <c r="DY37" i="1"/>
  <c r="BC37" i="1" s="1"/>
  <c r="DR38" i="19"/>
  <c r="AL37" i="19"/>
  <c r="AR35" i="19"/>
  <c r="BQ35" i="19" s="1"/>
  <c r="BJ36" i="19"/>
  <c r="EF37" i="19"/>
  <c r="DW37" i="19"/>
  <c r="AQ36" i="19"/>
  <c r="AP38" i="19"/>
  <c r="DV39" i="19"/>
  <c r="EH38" i="19"/>
  <c r="BL37" i="19"/>
  <c r="BH41" i="19"/>
  <c r="ED42" i="19"/>
  <c r="EC39" i="19"/>
  <c r="BG38" i="19"/>
  <c r="BF37" i="19"/>
  <c r="EB38" i="19"/>
  <c r="BO37" i="19"/>
  <c r="EJ38" i="19"/>
  <c r="DX44" i="19"/>
  <c r="EG39" i="19"/>
  <c r="BK38" i="19"/>
  <c r="AO36" i="19"/>
  <c r="DU37" i="19"/>
  <c r="AK36" i="19"/>
  <c r="DQ37" i="19"/>
  <c r="DY38" i="19"/>
  <c r="BC37" i="19"/>
  <c r="DZ38" i="19"/>
  <c r="BD37" i="19"/>
  <c r="EI45" i="19"/>
  <c r="DN37" i="1"/>
  <c r="AH37" i="1" s="1"/>
  <c r="M26" i="25" l="1"/>
  <c r="F26" i="23"/>
  <c r="BR34" i="21"/>
  <c r="D35" i="14"/>
  <c r="I35" i="15" s="1"/>
  <c r="EJ39" i="21"/>
  <c r="BO38" i="21"/>
  <c r="DT38" i="21"/>
  <c r="AN37" i="21"/>
  <c r="DS38" i="21"/>
  <c r="AM37" i="21"/>
  <c r="DY38" i="21"/>
  <c r="BC37" i="21"/>
  <c r="BR35" i="19"/>
  <c r="C36" i="14"/>
  <c r="BR34" i="19"/>
  <c r="C35" i="14"/>
  <c r="H33" i="14"/>
  <c r="H25" i="25"/>
  <c r="E25" i="23"/>
  <c r="H34" i="15"/>
  <c r="F34" i="14"/>
  <c r="AR36" i="1"/>
  <c r="DV38" i="21"/>
  <c r="AP37" i="21"/>
  <c r="BE37" i="19"/>
  <c r="BM37" i="19" s="1"/>
  <c r="EA38" i="19"/>
  <c r="AH37" i="21"/>
  <c r="DN38" i="21"/>
  <c r="AK37" i="21"/>
  <c r="DQ38" i="21"/>
  <c r="AO37" i="21"/>
  <c r="DU38" i="21"/>
  <c r="EE39" i="19"/>
  <c r="BI38" i="19"/>
  <c r="AM37" i="19"/>
  <c r="DS38" i="19"/>
  <c r="AQ40" i="21"/>
  <c r="DW41" i="21"/>
  <c r="DP38" i="19"/>
  <c r="AJ37" i="19"/>
  <c r="AN39" i="19"/>
  <c r="DT40" i="19"/>
  <c r="BL37" i="21"/>
  <c r="EH38" i="21"/>
  <c r="DO38" i="21"/>
  <c r="AI37" i="21"/>
  <c r="BF37" i="1"/>
  <c r="BM37" i="1" s="1"/>
  <c r="EB38" i="1"/>
  <c r="DP38" i="21"/>
  <c r="AJ37" i="21"/>
  <c r="EB38" i="21"/>
  <c r="BF37" i="21"/>
  <c r="ED39" i="21"/>
  <c r="BH38" i="21"/>
  <c r="EA38" i="21"/>
  <c r="BE37" i="21"/>
  <c r="EI37" i="21"/>
  <c r="BM36" i="21"/>
  <c r="AI37" i="19"/>
  <c r="DO38" i="19"/>
  <c r="BJ40" i="21"/>
  <c r="EF41" i="21"/>
  <c r="BI37" i="21"/>
  <c r="EE38" i="21"/>
  <c r="BD40" i="21"/>
  <c r="DZ41" i="21"/>
  <c r="AM37" i="1"/>
  <c r="DS38" i="1"/>
  <c r="DR39" i="21"/>
  <c r="AL38" i="21"/>
  <c r="BQ35" i="21"/>
  <c r="BG39" i="21"/>
  <c r="EC40" i="21"/>
  <c r="AJ37" i="1"/>
  <c r="DP38" i="1"/>
  <c r="BK37" i="21"/>
  <c r="EG38" i="21"/>
  <c r="DN39" i="19"/>
  <c r="AH38" i="19"/>
  <c r="AR36" i="21"/>
  <c r="DX37" i="21"/>
  <c r="DX37" i="1"/>
  <c r="AR37" i="1" s="1"/>
  <c r="DU38" i="1"/>
  <c r="AO38" i="1" s="1"/>
  <c r="DR38" i="1"/>
  <c r="AL38" i="1" s="1"/>
  <c r="DZ38" i="1"/>
  <c r="BD38" i="1" s="1"/>
  <c r="DV38" i="1"/>
  <c r="AP38" i="1" s="1"/>
  <c r="DW38" i="1"/>
  <c r="AQ38" i="1" s="1"/>
  <c r="DO38" i="1"/>
  <c r="AI38" i="1" s="1"/>
  <c r="EF40" i="1"/>
  <c r="BJ40" i="1" s="1"/>
  <c r="EC38" i="1"/>
  <c r="BG38" i="1" s="1"/>
  <c r="EG39" i="1"/>
  <c r="BK39" i="1" s="1"/>
  <c r="EH38" i="1"/>
  <c r="BL38" i="1" s="1"/>
  <c r="EI38" i="1"/>
  <c r="EA38" i="1"/>
  <c r="BE38" i="1" s="1"/>
  <c r="DQ39" i="1"/>
  <c r="AK39" i="1" s="1"/>
  <c r="DT38" i="1"/>
  <c r="AN38" i="1" s="1"/>
  <c r="EE38" i="1"/>
  <c r="BI38" i="1" s="1"/>
  <c r="ED38" i="1"/>
  <c r="BH38" i="1" s="1"/>
  <c r="BR35" i="1"/>
  <c r="BQ36" i="1"/>
  <c r="EJ38" i="1"/>
  <c r="BO38" i="1" s="1"/>
  <c r="DY38" i="1"/>
  <c r="BC38" i="1" s="1"/>
  <c r="AL38" i="19"/>
  <c r="DR39" i="19"/>
  <c r="DV40" i="19"/>
  <c r="AP39" i="19"/>
  <c r="EH39" i="19"/>
  <c r="BL38" i="19"/>
  <c r="AQ37" i="19"/>
  <c r="DW38" i="19"/>
  <c r="BJ37" i="19"/>
  <c r="EF38" i="19"/>
  <c r="AK37" i="19"/>
  <c r="DQ38" i="19"/>
  <c r="EB39" i="19"/>
  <c r="BF38" i="19"/>
  <c r="EI46" i="19"/>
  <c r="DY39" i="19"/>
  <c r="BC38" i="19"/>
  <c r="BK39" i="19"/>
  <c r="EG40" i="19"/>
  <c r="BG39" i="19"/>
  <c r="EC40" i="19"/>
  <c r="AO37" i="19"/>
  <c r="DU38" i="19"/>
  <c r="DX45" i="19"/>
  <c r="EJ39" i="19"/>
  <c r="BO38" i="19"/>
  <c r="BD38" i="19"/>
  <c r="DZ39" i="19"/>
  <c r="AR36" i="19"/>
  <c r="BH42" i="19"/>
  <c r="ED43" i="19"/>
  <c r="DN38" i="1"/>
  <c r="AH38" i="1" s="1"/>
  <c r="BR35" i="21" l="1"/>
  <c r="D36" i="14"/>
  <c r="I36" i="15" s="1"/>
  <c r="F27" i="23"/>
  <c r="M27" i="25"/>
  <c r="BO39" i="21"/>
  <c r="EJ40" i="21"/>
  <c r="AN38" i="21"/>
  <c r="DT39" i="21"/>
  <c r="AM38" i="21"/>
  <c r="DS39" i="21"/>
  <c r="DY39" i="21"/>
  <c r="BC38" i="21"/>
  <c r="H36" i="15"/>
  <c r="F36" i="14"/>
  <c r="H35" i="15"/>
  <c r="F35" i="14"/>
  <c r="H34" i="14"/>
  <c r="H26" i="25"/>
  <c r="E26" i="23"/>
  <c r="BQ36" i="21"/>
  <c r="EC41" i="21"/>
  <c r="BG40" i="21"/>
  <c r="BJ41" i="21"/>
  <c r="EF42" i="21"/>
  <c r="DT41" i="19"/>
  <c r="AN40" i="19"/>
  <c r="DQ39" i="21"/>
  <c r="AK38" i="21"/>
  <c r="EB39" i="21"/>
  <c r="BF38" i="21"/>
  <c r="AJ38" i="19"/>
  <c r="DP39" i="19"/>
  <c r="AR37" i="21"/>
  <c r="DX38" i="21"/>
  <c r="DR40" i="21"/>
  <c r="AL39" i="21"/>
  <c r="DW42" i="21"/>
  <c r="AQ41" i="21"/>
  <c r="DN39" i="21"/>
  <c r="AH38" i="21"/>
  <c r="AM38" i="1"/>
  <c r="DS39" i="1"/>
  <c r="EI38" i="21"/>
  <c r="BM37" i="21"/>
  <c r="DP39" i="21"/>
  <c r="AJ38" i="21"/>
  <c r="BF38" i="1"/>
  <c r="EB39" i="1"/>
  <c r="DS39" i="19"/>
  <c r="AM38" i="19"/>
  <c r="EA39" i="19"/>
  <c r="BE38" i="19"/>
  <c r="BM38" i="19" s="1"/>
  <c r="AH39" i="19"/>
  <c r="DN40" i="19"/>
  <c r="BE38" i="21"/>
  <c r="EA39" i="21"/>
  <c r="EG39" i="21"/>
  <c r="BK38" i="21"/>
  <c r="AI38" i="19"/>
  <c r="DO39" i="19"/>
  <c r="BQ36" i="19"/>
  <c r="DZ42" i="21"/>
  <c r="BD41" i="21"/>
  <c r="BI38" i="21"/>
  <c r="EE39" i="21"/>
  <c r="DO39" i="21"/>
  <c r="AI38" i="21"/>
  <c r="EE40" i="19"/>
  <c r="BI39" i="19"/>
  <c r="AP38" i="21"/>
  <c r="DV39" i="21"/>
  <c r="AJ38" i="1"/>
  <c r="DP39" i="1"/>
  <c r="BL38" i="21"/>
  <c r="EH39" i="21"/>
  <c r="DU39" i="21"/>
  <c r="AO38" i="21"/>
  <c r="BH39" i="21"/>
  <c r="ED40" i="21"/>
  <c r="BM38" i="1"/>
  <c r="ED39" i="1"/>
  <c r="BH39" i="1" s="1"/>
  <c r="EC39" i="1"/>
  <c r="BG39" i="1" s="1"/>
  <c r="DZ39" i="1"/>
  <c r="BD39" i="1" s="1"/>
  <c r="EG40" i="1"/>
  <c r="BK40" i="1" s="1"/>
  <c r="DU39" i="1"/>
  <c r="AO39" i="1" s="1"/>
  <c r="EE39" i="1"/>
  <c r="BI39" i="1" s="1"/>
  <c r="DQ40" i="1"/>
  <c r="AK40" i="1" s="1"/>
  <c r="EA39" i="1"/>
  <c r="BE39" i="1" s="1"/>
  <c r="EH39" i="1"/>
  <c r="BL39" i="1" s="1"/>
  <c r="EF41" i="1"/>
  <c r="BJ41" i="1" s="1"/>
  <c r="DO39" i="1"/>
  <c r="AI39" i="1" s="1"/>
  <c r="DV39" i="1"/>
  <c r="AP39" i="1" s="1"/>
  <c r="DR39" i="1"/>
  <c r="AL39" i="1" s="1"/>
  <c r="DX38" i="1"/>
  <c r="DT39" i="1"/>
  <c r="AN39" i="1" s="1"/>
  <c r="EI39" i="1"/>
  <c r="DW39" i="1"/>
  <c r="AQ39" i="1" s="1"/>
  <c r="BR36" i="1"/>
  <c r="C27" i="25"/>
  <c r="D27" i="23"/>
  <c r="C28" i="25"/>
  <c r="D28" i="23"/>
  <c r="BQ37" i="1"/>
  <c r="EJ39" i="1"/>
  <c r="BO39" i="1" s="1"/>
  <c r="DY39" i="1"/>
  <c r="BC39" i="1" s="1"/>
  <c r="AL39" i="19"/>
  <c r="DR40" i="19"/>
  <c r="AR37" i="19"/>
  <c r="EF39" i="19"/>
  <c r="BJ38" i="19"/>
  <c r="BL39" i="19"/>
  <c r="EH40" i="19"/>
  <c r="AP40" i="19"/>
  <c r="DV41" i="19"/>
  <c r="AQ38" i="19"/>
  <c r="DW39" i="19"/>
  <c r="DY40" i="19"/>
  <c r="BC39" i="19"/>
  <c r="BF39" i="19"/>
  <c r="EB40" i="19"/>
  <c r="DX46" i="19"/>
  <c r="EC41" i="19"/>
  <c r="BG40" i="19"/>
  <c r="EG41" i="19"/>
  <c r="BK40" i="19"/>
  <c r="DZ40" i="19"/>
  <c r="BD39" i="19"/>
  <c r="BO39" i="19"/>
  <c r="EJ40" i="19"/>
  <c r="EI47" i="19"/>
  <c r="AK38" i="19"/>
  <c r="DQ39" i="19"/>
  <c r="BH43" i="19"/>
  <c r="ED44" i="19"/>
  <c r="AO38" i="19"/>
  <c r="DU39" i="19"/>
  <c r="DN39" i="1"/>
  <c r="AH39" i="1" s="1"/>
  <c r="F28" i="23" l="1"/>
  <c r="M28" i="25"/>
  <c r="BR36" i="21"/>
  <c r="D37" i="14"/>
  <c r="I37" i="15" s="1"/>
  <c r="EJ41" i="21"/>
  <c r="BO40" i="21"/>
  <c r="DT40" i="21"/>
  <c r="AN39" i="21"/>
  <c r="DS40" i="21"/>
  <c r="AM39" i="21"/>
  <c r="BC39" i="21"/>
  <c r="DY40" i="21"/>
  <c r="H36" i="14"/>
  <c r="H28" i="25"/>
  <c r="E28" i="23"/>
  <c r="H35" i="14"/>
  <c r="E27" i="23"/>
  <c r="H27" i="25"/>
  <c r="BR36" i="19"/>
  <c r="C37" i="14"/>
  <c r="EH40" i="21"/>
  <c r="BL39" i="21"/>
  <c r="BE39" i="21"/>
  <c r="EA40" i="21"/>
  <c r="AJ39" i="19"/>
  <c r="DP40" i="19"/>
  <c r="EB40" i="21"/>
  <c r="BF39" i="21"/>
  <c r="EI39" i="21"/>
  <c r="BM38" i="21"/>
  <c r="BI39" i="21"/>
  <c r="EE40" i="21"/>
  <c r="BD42" i="21"/>
  <c r="DZ43" i="21"/>
  <c r="BE39" i="19"/>
  <c r="EA40" i="19"/>
  <c r="AH39" i="21"/>
  <c r="DN40" i="21"/>
  <c r="AK39" i="21"/>
  <c r="DQ40" i="21"/>
  <c r="AM39" i="19"/>
  <c r="DS40" i="19"/>
  <c r="DW43" i="21"/>
  <c r="AQ42" i="21"/>
  <c r="AN41" i="19"/>
  <c r="DT42" i="19"/>
  <c r="BQ37" i="19"/>
  <c r="BH40" i="21"/>
  <c r="ED41" i="21"/>
  <c r="BJ42" i="21"/>
  <c r="EF43" i="21"/>
  <c r="AJ39" i="1"/>
  <c r="DP40" i="1"/>
  <c r="BI40" i="19"/>
  <c r="EE41" i="19"/>
  <c r="DR41" i="21"/>
  <c r="AL40" i="21"/>
  <c r="AH40" i="19"/>
  <c r="DN41" i="19"/>
  <c r="AI39" i="19"/>
  <c r="DO40" i="19"/>
  <c r="AR38" i="1"/>
  <c r="DX39" i="21"/>
  <c r="AR38" i="21"/>
  <c r="AM39" i="1"/>
  <c r="DS40" i="1"/>
  <c r="AP39" i="21"/>
  <c r="DV40" i="21"/>
  <c r="BF39" i="1"/>
  <c r="BM39" i="1" s="1"/>
  <c r="EB40" i="1"/>
  <c r="AO39" i="21"/>
  <c r="DU40" i="21"/>
  <c r="DO40" i="21"/>
  <c r="AI39" i="21"/>
  <c r="BK39" i="21"/>
  <c r="EG40" i="21"/>
  <c r="DP40" i="21"/>
  <c r="AJ39" i="21"/>
  <c r="BQ37" i="21"/>
  <c r="BG41" i="21"/>
  <c r="EC42" i="21"/>
  <c r="DW40" i="1"/>
  <c r="AQ40" i="1" s="1"/>
  <c r="DR40" i="1"/>
  <c r="AL40" i="1" s="1"/>
  <c r="DO40" i="1"/>
  <c r="AI40" i="1" s="1"/>
  <c r="EA40" i="1"/>
  <c r="BE40" i="1" s="1"/>
  <c r="EE40" i="1"/>
  <c r="BI40" i="1" s="1"/>
  <c r="EG41" i="1"/>
  <c r="BK41" i="1" s="1"/>
  <c r="EI40" i="1"/>
  <c r="DX39" i="1"/>
  <c r="DV40" i="1"/>
  <c r="AP40" i="1" s="1"/>
  <c r="EF42" i="1"/>
  <c r="BJ42" i="1" s="1"/>
  <c r="EH40" i="1"/>
  <c r="BL40" i="1" s="1"/>
  <c r="DQ41" i="1"/>
  <c r="AK41" i="1" s="1"/>
  <c r="DU40" i="1"/>
  <c r="AO40" i="1" s="1"/>
  <c r="DZ40" i="1"/>
  <c r="BD40" i="1" s="1"/>
  <c r="EC40" i="1"/>
  <c r="BG40" i="1" s="1"/>
  <c r="ED40" i="1"/>
  <c r="BH40" i="1" s="1"/>
  <c r="DT40" i="1"/>
  <c r="AN40" i="1" s="1"/>
  <c r="C29" i="25"/>
  <c r="D29" i="23"/>
  <c r="BR37" i="1"/>
  <c r="BQ38" i="1"/>
  <c r="EJ40" i="1"/>
  <c r="BO40" i="1" s="1"/>
  <c r="DY40" i="1"/>
  <c r="BC40" i="1" s="1"/>
  <c r="DR41" i="19"/>
  <c r="AL40" i="19"/>
  <c r="BJ39" i="19"/>
  <c r="BM39" i="19" s="1"/>
  <c r="EF40" i="19"/>
  <c r="AQ39" i="19"/>
  <c r="DW40" i="19"/>
  <c r="BL40" i="19"/>
  <c r="EH41" i="19"/>
  <c r="DV42" i="19"/>
  <c r="AP41" i="19"/>
  <c r="AR38" i="19"/>
  <c r="EG42" i="19"/>
  <c r="BK41" i="19"/>
  <c r="DX47" i="19"/>
  <c r="ED45" i="19"/>
  <c r="BH44" i="19"/>
  <c r="EI48" i="19"/>
  <c r="EC42" i="19"/>
  <c r="BG41" i="19"/>
  <c r="BD40" i="19"/>
  <c r="DZ41" i="19"/>
  <c r="DU40" i="19"/>
  <c r="AO39" i="19"/>
  <c r="DQ40" i="19"/>
  <c r="AK39" i="19"/>
  <c r="EJ41" i="19"/>
  <c r="BO40" i="19"/>
  <c r="DY41" i="19"/>
  <c r="BC40" i="19"/>
  <c r="EB41" i="19"/>
  <c r="BF40" i="19"/>
  <c r="DN40" i="1"/>
  <c r="AH40" i="1" s="1"/>
  <c r="BR37" i="21" l="1"/>
  <c r="D38" i="14"/>
  <c r="I38" i="15" s="1"/>
  <c r="M29" i="25"/>
  <c r="F29" i="23"/>
  <c r="EJ42" i="21"/>
  <c r="BO41" i="21"/>
  <c r="BQ38" i="21"/>
  <c r="DT41" i="21"/>
  <c r="AN40" i="21"/>
  <c r="AM40" i="21"/>
  <c r="DS41" i="21"/>
  <c r="BC40" i="21"/>
  <c r="DY41" i="21"/>
  <c r="BR37" i="19"/>
  <c r="C38" i="14"/>
  <c r="H37" i="15"/>
  <c r="F37" i="14"/>
  <c r="AR39" i="1"/>
  <c r="BF40" i="1"/>
  <c r="EB41" i="1"/>
  <c r="DN42" i="19"/>
  <c r="AH41" i="19"/>
  <c r="DQ41" i="21"/>
  <c r="AK40" i="21"/>
  <c r="BF40" i="21"/>
  <c r="EB41" i="21"/>
  <c r="BQ38" i="19"/>
  <c r="DV41" i="21"/>
  <c r="AP40" i="21"/>
  <c r="AH40" i="21"/>
  <c r="DN41" i="21"/>
  <c r="DR42" i="21"/>
  <c r="AL41" i="21"/>
  <c r="DP41" i="21"/>
  <c r="AJ40" i="21"/>
  <c r="BM40" i="1"/>
  <c r="EG41" i="21"/>
  <c r="BK40" i="21"/>
  <c r="AJ40" i="1"/>
  <c r="DP41" i="1"/>
  <c r="AN42" i="19"/>
  <c r="DT43" i="19"/>
  <c r="BD43" i="21"/>
  <c r="DZ44" i="21"/>
  <c r="AJ40" i="19"/>
  <c r="DP41" i="19"/>
  <c r="DX40" i="21"/>
  <c r="AR39" i="21"/>
  <c r="BE40" i="19"/>
  <c r="EA41" i="19"/>
  <c r="BJ43" i="21"/>
  <c r="EF44" i="21"/>
  <c r="EE41" i="21"/>
  <c r="BI40" i="21"/>
  <c r="BE40" i="21"/>
  <c r="EA41" i="21"/>
  <c r="AM40" i="1"/>
  <c r="DS41" i="1"/>
  <c r="EE42" i="19"/>
  <c r="BI41" i="19"/>
  <c r="AI40" i="19"/>
  <c r="DO41" i="19"/>
  <c r="AQ43" i="21"/>
  <c r="DW44" i="21"/>
  <c r="ED42" i="21"/>
  <c r="BH41" i="21"/>
  <c r="DS41" i="19"/>
  <c r="AM40" i="19"/>
  <c r="BG42" i="21"/>
  <c r="EC43" i="21"/>
  <c r="DO41" i="21"/>
  <c r="AI40" i="21"/>
  <c r="AO40" i="21"/>
  <c r="DU41" i="21"/>
  <c r="EI40" i="21"/>
  <c r="BM39" i="21"/>
  <c r="BL40" i="21"/>
  <c r="EH41" i="21"/>
  <c r="EC41" i="1"/>
  <c r="BG41" i="1" s="1"/>
  <c r="EH41" i="1"/>
  <c r="BL41" i="1" s="1"/>
  <c r="DT41" i="1"/>
  <c r="AN41" i="1" s="1"/>
  <c r="EE41" i="1"/>
  <c r="BI41" i="1" s="1"/>
  <c r="ED41" i="1"/>
  <c r="BH41" i="1" s="1"/>
  <c r="DZ41" i="1"/>
  <c r="BD41" i="1" s="1"/>
  <c r="DQ42" i="1"/>
  <c r="AK42" i="1" s="1"/>
  <c r="EF43" i="1"/>
  <c r="BJ43" i="1" s="1"/>
  <c r="DX40" i="1"/>
  <c r="EG42" i="1"/>
  <c r="BK42" i="1" s="1"/>
  <c r="EA41" i="1"/>
  <c r="BE41" i="1" s="1"/>
  <c r="DO41" i="1"/>
  <c r="AI41" i="1" s="1"/>
  <c r="DW41" i="1"/>
  <c r="AQ41" i="1" s="1"/>
  <c r="DU41" i="1"/>
  <c r="AO41" i="1" s="1"/>
  <c r="DV41" i="1"/>
  <c r="AP41" i="1" s="1"/>
  <c r="EI41" i="1"/>
  <c r="DR41" i="1"/>
  <c r="AL41" i="1" s="1"/>
  <c r="C30" i="25"/>
  <c r="D30" i="23"/>
  <c r="BR38" i="1"/>
  <c r="BQ39" i="1"/>
  <c r="EJ41" i="1"/>
  <c r="BO41" i="1" s="1"/>
  <c r="DY41" i="1"/>
  <c r="BC41" i="1" s="1"/>
  <c r="AL41" i="19"/>
  <c r="DR42" i="19"/>
  <c r="AR39" i="19"/>
  <c r="EH42" i="19"/>
  <c r="BL41" i="19"/>
  <c r="AP42" i="19"/>
  <c r="DV43" i="19"/>
  <c r="DW41" i="19"/>
  <c r="AQ40" i="19"/>
  <c r="EF41" i="19"/>
  <c r="BJ40" i="19"/>
  <c r="BG42" i="19"/>
  <c r="EC43" i="19"/>
  <c r="BF41" i="19"/>
  <c r="EB42" i="19"/>
  <c r="BO41" i="19"/>
  <c r="EJ42" i="19"/>
  <c r="AK40" i="19"/>
  <c r="DQ41" i="19"/>
  <c r="BH45" i="19"/>
  <c r="ED46" i="19"/>
  <c r="EG43" i="19"/>
  <c r="BK42" i="19"/>
  <c r="EI49" i="19"/>
  <c r="DZ42" i="19"/>
  <c r="BD41" i="19"/>
  <c r="BC41" i="19"/>
  <c r="DY42" i="19"/>
  <c r="AO40" i="19"/>
  <c r="DU41" i="19"/>
  <c r="DX48" i="19"/>
  <c r="DN41" i="1"/>
  <c r="AH41" i="1" s="1"/>
  <c r="BR38" i="21" l="1"/>
  <c r="D39" i="14"/>
  <c r="I39" i="15" s="1"/>
  <c r="M30" i="25"/>
  <c r="F30" i="23"/>
  <c r="EJ43" i="21"/>
  <c r="BO42" i="21"/>
  <c r="DT42" i="21"/>
  <c r="AN41" i="21"/>
  <c r="DS42" i="21"/>
  <c r="AM41" i="21"/>
  <c r="BC41" i="21"/>
  <c r="DY42" i="21"/>
  <c r="H38" i="15"/>
  <c r="F38" i="14"/>
  <c r="BR38" i="19"/>
  <c r="C39" i="14"/>
  <c r="H37" i="14"/>
  <c r="H29" i="25"/>
  <c r="E29" i="23"/>
  <c r="BM40" i="19"/>
  <c r="BD44" i="21"/>
  <c r="DZ45" i="21"/>
  <c r="AN43" i="19"/>
  <c r="DT44" i="19"/>
  <c r="AL42" i="21"/>
  <c r="DR43" i="21"/>
  <c r="BI41" i="21"/>
  <c r="EE42" i="21"/>
  <c r="DW45" i="21"/>
  <c r="AQ44" i="21"/>
  <c r="BJ44" i="21"/>
  <c r="EF45" i="21"/>
  <c r="AJ41" i="1"/>
  <c r="DP42" i="1"/>
  <c r="DS42" i="19"/>
  <c r="AM41" i="19"/>
  <c r="AR40" i="1"/>
  <c r="BQ40" i="1" s="1"/>
  <c r="EA42" i="21"/>
  <c r="BE41" i="21"/>
  <c r="AO41" i="21"/>
  <c r="DU42" i="21"/>
  <c r="DO42" i="19"/>
  <c r="AI41" i="19"/>
  <c r="BE41" i="19"/>
  <c r="EA42" i="19"/>
  <c r="DQ42" i="21"/>
  <c r="AK41" i="21"/>
  <c r="EB42" i="21"/>
  <c r="BF41" i="21"/>
  <c r="EG42" i="21"/>
  <c r="BK41" i="21"/>
  <c r="AH41" i="21"/>
  <c r="DN42" i="21"/>
  <c r="BH42" i="21"/>
  <c r="ED43" i="21"/>
  <c r="BQ39" i="19"/>
  <c r="BQ39" i="21"/>
  <c r="DN43" i="19"/>
  <c r="AH42" i="19"/>
  <c r="EI41" i="21"/>
  <c r="BM40" i="21"/>
  <c r="BI42" i="19"/>
  <c r="EE43" i="19"/>
  <c r="AR40" i="21"/>
  <c r="DX41" i="21"/>
  <c r="BF41" i="1"/>
  <c r="EB42" i="1"/>
  <c r="EH42" i="21"/>
  <c r="BL41" i="21"/>
  <c r="DO42" i="21"/>
  <c r="AI41" i="21"/>
  <c r="BG43" i="21"/>
  <c r="EC44" i="21"/>
  <c r="AM41" i="1"/>
  <c r="DS42" i="1"/>
  <c r="DP42" i="19"/>
  <c r="AJ41" i="19"/>
  <c r="DP42" i="21"/>
  <c r="AJ41" i="21"/>
  <c r="DV42" i="21"/>
  <c r="AP41" i="21"/>
  <c r="BM41" i="1"/>
  <c r="DW42" i="1"/>
  <c r="AQ42" i="1" s="1"/>
  <c r="EF44" i="1"/>
  <c r="BJ44" i="1" s="1"/>
  <c r="DR42" i="1"/>
  <c r="AL42" i="1" s="1"/>
  <c r="EA42" i="1"/>
  <c r="BE42" i="1" s="1"/>
  <c r="EH42" i="1"/>
  <c r="BL42" i="1" s="1"/>
  <c r="EI42" i="1"/>
  <c r="DU42" i="1"/>
  <c r="AO42" i="1" s="1"/>
  <c r="DO42" i="1"/>
  <c r="AI42" i="1" s="1"/>
  <c r="EG43" i="1"/>
  <c r="BK43" i="1" s="1"/>
  <c r="DX41" i="1"/>
  <c r="AR41" i="1" s="1"/>
  <c r="DQ43" i="1"/>
  <c r="AK43" i="1" s="1"/>
  <c r="ED42" i="1"/>
  <c r="BH42" i="1" s="1"/>
  <c r="DT42" i="1"/>
  <c r="AN42" i="1" s="1"/>
  <c r="EC42" i="1"/>
  <c r="BG42" i="1" s="1"/>
  <c r="DV42" i="1"/>
  <c r="AP42" i="1" s="1"/>
  <c r="DZ42" i="1"/>
  <c r="BD42" i="1" s="1"/>
  <c r="EE42" i="1"/>
  <c r="BI42" i="1" s="1"/>
  <c r="BR39" i="1"/>
  <c r="C31" i="25"/>
  <c r="D31" i="23"/>
  <c r="EJ42" i="1"/>
  <c r="BO42" i="1" s="1"/>
  <c r="DY42" i="1"/>
  <c r="BC42" i="1" s="1"/>
  <c r="DR43" i="19"/>
  <c r="AL42" i="19"/>
  <c r="DW42" i="19"/>
  <c r="AQ41" i="19"/>
  <c r="AP43" i="19"/>
  <c r="DV44" i="19"/>
  <c r="BJ41" i="19"/>
  <c r="EF42" i="19"/>
  <c r="EH43" i="19"/>
  <c r="BL42" i="19"/>
  <c r="DZ43" i="19"/>
  <c r="BD42" i="19"/>
  <c r="EI50" i="19"/>
  <c r="ED47" i="19"/>
  <c r="BH46" i="19"/>
  <c r="DQ42" i="19"/>
  <c r="AK41" i="19"/>
  <c r="EC44" i="19"/>
  <c r="BG43" i="19"/>
  <c r="BC42" i="19"/>
  <c r="DY43" i="19"/>
  <c r="DX49" i="19"/>
  <c r="DU42" i="19"/>
  <c r="AO41" i="19"/>
  <c r="AR40" i="19"/>
  <c r="EG44" i="19"/>
  <c r="BK43" i="19"/>
  <c r="EJ43" i="19"/>
  <c r="BO42" i="19"/>
  <c r="EB43" i="19"/>
  <c r="BF42" i="19"/>
  <c r="DN42" i="1"/>
  <c r="AH42" i="1" s="1"/>
  <c r="M31" i="25" l="1"/>
  <c r="F31" i="23"/>
  <c r="BR39" i="21"/>
  <c r="D40" i="14"/>
  <c r="I40" i="15" s="1"/>
  <c r="EJ44" i="21"/>
  <c r="BO43" i="21"/>
  <c r="DT43" i="21"/>
  <c r="AN42" i="21"/>
  <c r="AM42" i="21"/>
  <c r="DS43" i="21"/>
  <c r="BQ40" i="21"/>
  <c r="DY43" i="21"/>
  <c r="BC42" i="21"/>
  <c r="H38" i="14"/>
  <c r="E30" i="23"/>
  <c r="H30" i="25"/>
  <c r="H39" i="15"/>
  <c r="F39" i="14"/>
  <c r="G39" i="14" s="1"/>
  <c r="BR39" i="19"/>
  <c r="C40" i="14"/>
  <c r="BM41" i="19"/>
  <c r="DO43" i="21"/>
  <c r="AI42" i="21"/>
  <c r="AH43" i="19"/>
  <c r="DN44" i="19"/>
  <c r="EA43" i="21"/>
  <c r="BE42" i="21"/>
  <c r="DQ43" i="21"/>
  <c r="AK42" i="21"/>
  <c r="EE43" i="21"/>
  <c r="BI42" i="21"/>
  <c r="AP42" i="21"/>
  <c r="DV43" i="21"/>
  <c r="BL42" i="21"/>
  <c r="EH43" i="21"/>
  <c r="DS43" i="19"/>
  <c r="AM42" i="19"/>
  <c r="AJ42" i="1"/>
  <c r="DP43" i="1"/>
  <c r="DR44" i="21"/>
  <c r="AL43" i="21"/>
  <c r="BF42" i="21"/>
  <c r="EB43" i="21"/>
  <c r="BQ40" i="19"/>
  <c r="AJ42" i="21"/>
  <c r="DP43" i="21"/>
  <c r="ED44" i="21"/>
  <c r="BH43" i="21"/>
  <c r="BE42" i="19"/>
  <c r="EA43" i="19"/>
  <c r="BM42" i="1"/>
  <c r="DX42" i="21"/>
  <c r="AR41" i="21"/>
  <c r="EF46" i="21"/>
  <c r="BJ45" i="21"/>
  <c r="DT45" i="19"/>
  <c r="AN44" i="19"/>
  <c r="DN43" i="21"/>
  <c r="AH42" i="21"/>
  <c r="AM42" i="1"/>
  <c r="DS43" i="1"/>
  <c r="BI43" i="19"/>
  <c r="EE44" i="19"/>
  <c r="AI42" i="19"/>
  <c r="DO43" i="19"/>
  <c r="BD45" i="21"/>
  <c r="DZ46" i="21"/>
  <c r="AJ42" i="19"/>
  <c r="DP43" i="19"/>
  <c r="AO42" i="21"/>
  <c r="DU43" i="21"/>
  <c r="DW46" i="21"/>
  <c r="AQ45" i="21"/>
  <c r="BF42" i="1"/>
  <c r="EB43" i="1"/>
  <c r="EC45" i="21"/>
  <c r="BG44" i="21"/>
  <c r="BK42" i="21"/>
  <c r="EG43" i="21"/>
  <c r="BM41" i="21"/>
  <c r="EI42" i="21"/>
  <c r="DZ43" i="1"/>
  <c r="BD43" i="1" s="1"/>
  <c r="DX42" i="1"/>
  <c r="EA43" i="1"/>
  <c r="BE43" i="1" s="1"/>
  <c r="DO43" i="1"/>
  <c r="AI43" i="1" s="1"/>
  <c r="EE43" i="1"/>
  <c r="BI43" i="1" s="1"/>
  <c r="EC43" i="1"/>
  <c r="BG43" i="1" s="1"/>
  <c r="DT43" i="1"/>
  <c r="AN43" i="1" s="1"/>
  <c r="DQ44" i="1"/>
  <c r="AK44" i="1" s="1"/>
  <c r="EG44" i="1"/>
  <c r="BK44" i="1" s="1"/>
  <c r="DU43" i="1"/>
  <c r="AO43" i="1" s="1"/>
  <c r="EH43" i="1"/>
  <c r="BL43" i="1" s="1"/>
  <c r="DR43" i="1"/>
  <c r="AL43" i="1" s="1"/>
  <c r="DW43" i="1"/>
  <c r="AQ43" i="1" s="1"/>
  <c r="DV43" i="1"/>
  <c r="AP43" i="1" s="1"/>
  <c r="ED43" i="1"/>
  <c r="BH43" i="1" s="1"/>
  <c r="EI43" i="1"/>
  <c r="EF45" i="1"/>
  <c r="BJ45" i="1" s="1"/>
  <c r="BR40" i="1"/>
  <c r="C32" i="25"/>
  <c r="D32" i="23"/>
  <c r="BQ41" i="1"/>
  <c r="EJ43" i="1"/>
  <c r="BO43" i="1" s="1"/>
  <c r="DY43" i="1"/>
  <c r="BC43" i="1" s="1"/>
  <c r="AL43" i="19"/>
  <c r="DR44" i="19"/>
  <c r="DV45" i="19"/>
  <c r="AP44" i="19"/>
  <c r="BL43" i="19"/>
  <c r="EH44" i="19"/>
  <c r="DW43" i="19"/>
  <c r="AQ42" i="19"/>
  <c r="AR41" i="19"/>
  <c r="BJ42" i="19"/>
  <c r="EF43" i="19"/>
  <c r="BH47" i="19"/>
  <c r="ED48" i="19"/>
  <c r="AO42" i="19"/>
  <c r="DU43" i="19"/>
  <c r="BG44" i="19"/>
  <c r="EC45" i="19"/>
  <c r="EJ44" i="19"/>
  <c r="BO43" i="19"/>
  <c r="BD43" i="19"/>
  <c r="DZ44" i="19"/>
  <c r="EB44" i="19"/>
  <c r="BF43" i="19"/>
  <c r="EG45" i="19"/>
  <c r="BK44" i="19"/>
  <c r="DX50" i="19"/>
  <c r="DY44" i="19"/>
  <c r="BC43" i="19"/>
  <c r="AK42" i="19"/>
  <c r="DQ43" i="19"/>
  <c r="EI51" i="19"/>
  <c r="DN43" i="1"/>
  <c r="AH43" i="1" s="1"/>
  <c r="M32" i="25" l="1"/>
  <c r="F32" i="23"/>
  <c r="BR40" i="21"/>
  <c r="D41" i="14"/>
  <c r="I41" i="15" s="1"/>
  <c r="EJ45" i="21"/>
  <c r="BO44" i="21"/>
  <c r="AN43" i="21"/>
  <c r="DT44" i="21"/>
  <c r="AM43" i="21"/>
  <c r="DS44" i="21"/>
  <c r="DY44" i="21"/>
  <c r="BC43" i="21"/>
  <c r="H39" i="14"/>
  <c r="H31" i="25"/>
  <c r="E31" i="23"/>
  <c r="H40" i="15"/>
  <c r="F40" i="14"/>
  <c r="BR40" i="19"/>
  <c r="C41" i="14"/>
  <c r="AR42" i="19"/>
  <c r="AR42" i="1"/>
  <c r="EC46" i="21"/>
  <c r="BG45" i="21"/>
  <c r="AR42" i="21"/>
  <c r="DX43" i="21"/>
  <c r="BF43" i="1"/>
  <c r="BM43" i="1" s="1"/>
  <c r="EB44" i="1"/>
  <c r="BE43" i="19"/>
  <c r="BM43" i="19" s="1"/>
  <c r="EA44" i="19"/>
  <c r="AJ43" i="1"/>
  <c r="DP44" i="1"/>
  <c r="DQ44" i="21"/>
  <c r="AK43" i="21"/>
  <c r="EI43" i="21"/>
  <c r="BM42" i="21"/>
  <c r="ED45" i="21"/>
  <c r="BH44" i="21"/>
  <c r="DS44" i="19"/>
  <c r="AM43" i="19"/>
  <c r="EA44" i="21"/>
  <c r="BE43" i="21"/>
  <c r="EE45" i="19"/>
  <c r="BI44" i="19"/>
  <c r="BI43" i="21"/>
  <c r="EE44" i="21"/>
  <c r="AQ46" i="21"/>
  <c r="DW47" i="21"/>
  <c r="AH43" i="21"/>
  <c r="DN44" i="21"/>
  <c r="DP44" i="21"/>
  <c r="AJ43" i="21"/>
  <c r="AJ43" i="19"/>
  <c r="DP44" i="19"/>
  <c r="AM43" i="1"/>
  <c r="DS44" i="1"/>
  <c r="AN45" i="19"/>
  <c r="DT46" i="19"/>
  <c r="EH44" i="21"/>
  <c r="BL43" i="21"/>
  <c r="AH44" i="19"/>
  <c r="DN45" i="19"/>
  <c r="AL44" i="21"/>
  <c r="DR45" i="21"/>
  <c r="BQ41" i="19"/>
  <c r="BK43" i="21"/>
  <c r="EG44" i="21"/>
  <c r="DZ47" i="21"/>
  <c r="BD46" i="21"/>
  <c r="AO43" i="21"/>
  <c r="DU44" i="21"/>
  <c r="EF47" i="21"/>
  <c r="BJ46" i="21"/>
  <c r="EB44" i="21"/>
  <c r="BF43" i="21"/>
  <c r="AP43" i="21"/>
  <c r="DV44" i="21"/>
  <c r="BM42" i="19"/>
  <c r="BQ42" i="19" s="1"/>
  <c r="AI43" i="19"/>
  <c r="DO44" i="19"/>
  <c r="BQ41" i="21"/>
  <c r="DO44" i="21"/>
  <c r="AI43" i="21"/>
  <c r="EF46" i="1"/>
  <c r="BJ46" i="1" s="1"/>
  <c r="DU44" i="1"/>
  <c r="AO44" i="1" s="1"/>
  <c r="EC44" i="1"/>
  <c r="BG44" i="1" s="1"/>
  <c r="EE44" i="1"/>
  <c r="BI44" i="1" s="1"/>
  <c r="EI44" i="1"/>
  <c r="DV44" i="1"/>
  <c r="AP44" i="1" s="1"/>
  <c r="DW44" i="1"/>
  <c r="AQ44" i="1" s="1"/>
  <c r="EH44" i="1"/>
  <c r="BL44" i="1" s="1"/>
  <c r="EG45" i="1"/>
  <c r="BK45" i="1" s="1"/>
  <c r="DT44" i="1"/>
  <c r="AN44" i="1" s="1"/>
  <c r="DO44" i="1"/>
  <c r="AI44" i="1" s="1"/>
  <c r="DX43" i="1"/>
  <c r="AR43" i="1" s="1"/>
  <c r="DZ44" i="1"/>
  <c r="BD44" i="1" s="1"/>
  <c r="ED44" i="1"/>
  <c r="BH44" i="1" s="1"/>
  <c r="DR44" i="1"/>
  <c r="AL44" i="1" s="1"/>
  <c r="DQ45" i="1"/>
  <c r="AK45" i="1" s="1"/>
  <c r="EA44" i="1"/>
  <c r="BE44" i="1" s="1"/>
  <c r="BR41" i="1"/>
  <c r="C33" i="25"/>
  <c r="D33" i="23"/>
  <c r="BQ42" i="1"/>
  <c r="EJ44" i="1"/>
  <c r="BO44" i="1" s="1"/>
  <c r="DY44" i="1"/>
  <c r="BC44" i="1" s="1"/>
  <c r="AL44" i="19"/>
  <c r="DR45" i="19"/>
  <c r="EF44" i="19"/>
  <c r="BJ43" i="19"/>
  <c r="AQ43" i="19"/>
  <c r="DW44" i="19"/>
  <c r="DV46" i="19"/>
  <c r="AP45" i="19"/>
  <c r="BL44" i="19"/>
  <c r="EH45" i="19"/>
  <c r="EI52" i="19"/>
  <c r="DY45" i="19"/>
  <c r="BC44" i="19"/>
  <c r="EG46" i="19"/>
  <c r="BK45" i="19"/>
  <c r="BO44" i="19"/>
  <c r="EJ45" i="19"/>
  <c r="DU44" i="19"/>
  <c r="AO43" i="19"/>
  <c r="DQ44" i="19"/>
  <c r="AK43" i="19"/>
  <c r="DZ45" i="19"/>
  <c r="BD44" i="19"/>
  <c r="BG45" i="19"/>
  <c r="EC46" i="19"/>
  <c r="DX51" i="19"/>
  <c r="BF44" i="19"/>
  <c r="EB45" i="19"/>
  <c r="ED49" i="19"/>
  <c r="BH48" i="19"/>
  <c r="DN44" i="1"/>
  <c r="AH44" i="1" s="1"/>
  <c r="BR41" i="21" l="1"/>
  <c r="D42" i="14"/>
  <c r="I42" i="15" s="1"/>
  <c r="M33" i="25"/>
  <c r="F33" i="23"/>
  <c r="BO45" i="21"/>
  <c r="EJ46" i="21"/>
  <c r="BQ42" i="21"/>
  <c r="AN44" i="21"/>
  <c r="DT45" i="21"/>
  <c r="DS45" i="21"/>
  <c r="AM44" i="21"/>
  <c r="DY45" i="21"/>
  <c r="BC44" i="21"/>
  <c r="BR42" i="19"/>
  <c r="C43" i="14"/>
  <c r="H40" i="14"/>
  <c r="E32" i="23"/>
  <c r="H32" i="25"/>
  <c r="H41" i="15"/>
  <c r="F41" i="14"/>
  <c r="BR41" i="19"/>
  <c r="C42" i="14"/>
  <c r="AI44" i="21"/>
  <c r="DO45" i="21"/>
  <c r="BJ47" i="21"/>
  <c r="EF48" i="21"/>
  <c r="AH45" i="19"/>
  <c r="DN46" i="19"/>
  <c r="AK44" i="21"/>
  <c r="DQ45" i="21"/>
  <c r="AI44" i="19"/>
  <c r="DO45" i="19"/>
  <c r="EE46" i="19"/>
  <c r="BI45" i="19"/>
  <c r="AJ44" i="19"/>
  <c r="DP45" i="19"/>
  <c r="BE44" i="19"/>
  <c r="EA45" i="19"/>
  <c r="BD47" i="21"/>
  <c r="DZ48" i="21"/>
  <c r="DT47" i="19"/>
  <c r="AN46" i="19"/>
  <c r="EA45" i="21"/>
  <c r="BE44" i="21"/>
  <c r="DU45" i="21"/>
  <c r="AO44" i="21"/>
  <c r="BK44" i="21"/>
  <c r="EG45" i="21"/>
  <c r="BF44" i="1"/>
  <c r="EB45" i="1"/>
  <c r="DP45" i="21"/>
  <c r="AJ44" i="21"/>
  <c r="AM44" i="19"/>
  <c r="DS45" i="19"/>
  <c r="EH45" i="21"/>
  <c r="BL44" i="21"/>
  <c r="AP44" i="21"/>
  <c r="DV45" i="21"/>
  <c r="AH44" i="21"/>
  <c r="DN45" i="21"/>
  <c r="DX44" i="21"/>
  <c r="AR43" i="21"/>
  <c r="BH45" i="21"/>
  <c r="ED46" i="21"/>
  <c r="DR46" i="21"/>
  <c r="AL45" i="21"/>
  <c r="AM44" i="1"/>
  <c r="DS45" i="1"/>
  <c r="AQ47" i="21"/>
  <c r="DW48" i="21"/>
  <c r="AJ44" i="1"/>
  <c r="DP45" i="1"/>
  <c r="BF44" i="21"/>
  <c r="EB45" i="21"/>
  <c r="EI44" i="21"/>
  <c r="BM43" i="21"/>
  <c r="BG46" i="21"/>
  <c r="EC47" i="21"/>
  <c r="BI44" i="21"/>
  <c r="EE45" i="21"/>
  <c r="BM44" i="1"/>
  <c r="DZ45" i="1"/>
  <c r="BD45" i="1" s="1"/>
  <c r="DO45" i="1"/>
  <c r="AI45" i="1" s="1"/>
  <c r="DV45" i="1"/>
  <c r="AP45" i="1" s="1"/>
  <c r="EC45" i="1"/>
  <c r="BG45" i="1" s="1"/>
  <c r="EH45" i="1"/>
  <c r="BL45" i="1" s="1"/>
  <c r="DQ46" i="1"/>
  <c r="AK46" i="1" s="1"/>
  <c r="ED45" i="1"/>
  <c r="BH45" i="1" s="1"/>
  <c r="DX44" i="1"/>
  <c r="EG46" i="1"/>
  <c r="BK46" i="1" s="1"/>
  <c r="DW45" i="1"/>
  <c r="AQ45" i="1" s="1"/>
  <c r="EI45" i="1"/>
  <c r="DU45" i="1"/>
  <c r="AO45" i="1" s="1"/>
  <c r="EF47" i="1"/>
  <c r="EA45" i="1"/>
  <c r="BE45" i="1" s="1"/>
  <c r="DR45" i="1"/>
  <c r="AL45" i="1" s="1"/>
  <c r="DT45" i="1"/>
  <c r="AN45" i="1" s="1"/>
  <c r="EE45" i="1"/>
  <c r="BI45" i="1" s="1"/>
  <c r="BR42" i="1"/>
  <c r="BQ43" i="1"/>
  <c r="EJ45" i="1"/>
  <c r="BO45" i="1" s="1"/>
  <c r="DY45" i="1"/>
  <c r="BC45" i="1" s="1"/>
  <c r="DR46" i="19"/>
  <c r="AL45" i="19"/>
  <c r="EH46" i="19"/>
  <c r="BL45" i="19"/>
  <c r="AQ44" i="19"/>
  <c r="DW45" i="19"/>
  <c r="DV47" i="19"/>
  <c r="AP46" i="19"/>
  <c r="BJ44" i="19"/>
  <c r="EF45" i="19"/>
  <c r="BK46" i="19"/>
  <c r="EG47" i="19"/>
  <c r="AR43" i="19"/>
  <c r="AO44" i="19"/>
  <c r="DU45" i="19"/>
  <c r="BC45" i="19"/>
  <c r="DY46" i="19"/>
  <c r="BH49" i="19"/>
  <c r="ED50" i="19"/>
  <c r="BD45" i="19"/>
  <c r="DZ46" i="19"/>
  <c r="BF45" i="19"/>
  <c r="EB46" i="19"/>
  <c r="DX52" i="19"/>
  <c r="EC47" i="19"/>
  <c r="BG46" i="19"/>
  <c r="EJ46" i="19"/>
  <c r="BO45" i="19"/>
  <c r="AK44" i="19"/>
  <c r="DQ45" i="19"/>
  <c r="EI53" i="19"/>
  <c r="DN45" i="1"/>
  <c r="AH45" i="1" s="1"/>
  <c r="F34" i="23" l="1"/>
  <c r="M34" i="25"/>
  <c r="BR42" i="21"/>
  <c r="D43" i="14"/>
  <c r="I43" i="15" s="1"/>
  <c r="BO46" i="21"/>
  <c r="EJ47" i="21"/>
  <c r="AN45" i="21"/>
  <c r="DT46" i="21"/>
  <c r="AM45" i="21"/>
  <c r="DS46" i="21"/>
  <c r="DY46" i="21"/>
  <c r="BC45" i="21"/>
  <c r="H43" i="15"/>
  <c r="F43" i="14"/>
  <c r="H41" i="14"/>
  <c r="E33" i="23"/>
  <c r="H33" i="25"/>
  <c r="H42" i="15"/>
  <c r="F42" i="14"/>
  <c r="BQ43" i="21"/>
  <c r="BH46" i="21"/>
  <c r="ED47" i="21"/>
  <c r="AM45" i="19"/>
  <c r="DS46" i="19"/>
  <c r="DO46" i="19"/>
  <c r="AI45" i="19"/>
  <c r="AR44" i="21"/>
  <c r="DX45" i="21"/>
  <c r="DT48" i="19"/>
  <c r="AN47" i="19"/>
  <c r="BQ43" i="19"/>
  <c r="AJ45" i="1"/>
  <c r="DP46" i="1"/>
  <c r="AH45" i="21"/>
  <c r="DN46" i="21"/>
  <c r="DZ49" i="21"/>
  <c r="BD48" i="21"/>
  <c r="AK45" i="21"/>
  <c r="DQ46" i="21"/>
  <c r="DP46" i="21"/>
  <c r="AJ45" i="21"/>
  <c r="EI45" i="21"/>
  <c r="BM44" i="21"/>
  <c r="BF45" i="21"/>
  <c r="EB46" i="21"/>
  <c r="BI45" i="21"/>
  <c r="EE46" i="21"/>
  <c r="BF45" i="1"/>
  <c r="BM45" i="1" s="1"/>
  <c r="EB46" i="1"/>
  <c r="EA46" i="19"/>
  <c r="BE45" i="19"/>
  <c r="BM45" i="19" s="1"/>
  <c r="DN47" i="19"/>
  <c r="AH46" i="19"/>
  <c r="AR44" i="1"/>
  <c r="BE45" i="21"/>
  <c r="EA46" i="21"/>
  <c r="AM45" i="1"/>
  <c r="DS46" i="1"/>
  <c r="AP45" i="21"/>
  <c r="DV46" i="21"/>
  <c r="BK45" i="21"/>
  <c r="EG46" i="21"/>
  <c r="AJ45" i="19"/>
  <c r="DP46" i="19"/>
  <c r="EF49" i="21"/>
  <c r="BJ48" i="21"/>
  <c r="EH46" i="21"/>
  <c r="BL45" i="21"/>
  <c r="BM44" i="19"/>
  <c r="BG47" i="21"/>
  <c r="EC48" i="21"/>
  <c r="AI45" i="21"/>
  <c r="DO46" i="21"/>
  <c r="AQ48" i="21"/>
  <c r="DW49" i="21"/>
  <c r="AL46" i="21"/>
  <c r="DR47" i="21"/>
  <c r="AO45" i="21"/>
  <c r="DU46" i="21"/>
  <c r="BI46" i="19"/>
  <c r="EE47" i="19"/>
  <c r="BJ47" i="1"/>
  <c r="EF48" i="1"/>
  <c r="EC46" i="1"/>
  <c r="BG46" i="1" s="1"/>
  <c r="DR46" i="1"/>
  <c r="AL46" i="1" s="1"/>
  <c r="DW46" i="1"/>
  <c r="AQ46" i="1" s="1"/>
  <c r="DO46" i="1"/>
  <c r="AI46" i="1" s="1"/>
  <c r="DT46" i="1"/>
  <c r="AN46" i="1" s="1"/>
  <c r="EA46" i="1"/>
  <c r="BE46" i="1" s="1"/>
  <c r="DU46" i="1"/>
  <c r="AO46" i="1" s="1"/>
  <c r="EI46" i="1"/>
  <c r="EG47" i="1"/>
  <c r="DX45" i="1"/>
  <c r="DQ47" i="1"/>
  <c r="DV46" i="1"/>
  <c r="AP46" i="1" s="1"/>
  <c r="DZ46" i="1"/>
  <c r="BD46" i="1" s="1"/>
  <c r="EE46" i="1"/>
  <c r="BI46" i="1" s="1"/>
  <c r="ED46" i="1"/>
  <c r="BH46" i="1" s="1"/>
  <c r="EH46" i="1"/>
  <c r="BL46" i="1" s="1"/>
  <c r="C34" i="25"/>
  <c r="D34" i="23"/>
  <c r="BR43" i="1"/>
  <c r="BQ44" i="1"/>
  <c r="EJ46" i="1"/>
  <c r="BO46" i="1" s="1"/>
  <c r="DY46" i="1"/>
  <c r="BC46" i="1" s="1"/>
  <c r="DR47" i="19"/>
  <c r="AL46" i="19"/>
  <c r="DV48" i="19"/>
  <c r="AP47" i="19"/>
  <c r="BL46" i="19"/>
  <c r="EH47" i="19"/>
  <c r="EF46" i="19"/>
  <c r="BJ45" i="19"/>
  <c r="DW46" i="19"/>
  <c r="AQ45" i="19"/>
  <c r="EI54" i="19"/>
  <c r="EC48" i="19"/>
  <c r="BG47" i="19"/>
  <c r="DX53" i="19"/>
  <c r="DZ47" i="19"/>
  <c r="BD46" i="19"/>
  <c r="ED51" i="19"/>
  <c r="BH50" i="19"/>
  <c r="AO45" i="19"/>
  <c r="DU46" i="19"/>
  <c r="AK45" i="19"/>
  <c r="DQ46" i="19"/>
  <c r="EB47" i="19"/>
  <c r="BF46" i="19"/>
  <c r="AR44" i="19"/>
  <c r="BK47" i="19"/>
  <c r="EG48" i="19"/>
  <c r="BC46" i="19"/>
  <c r="DY47" i="19"/>
  <c r="BO46" i="19"/>
  <c r="EJ47" i="19"/>
  <c r="DN46" i="1"/>
  <c r="AH46" i="1" s="1"/>
  <c r="F35" i="23" l="1"/>
  <c r="M35" i="25"/>
  <c r="BR43" i="21"/>
  <c r="D44" i="14"/>
  <c r="I44" i="15" s="1"/>
  <c r="BO47" i="21"/>
  <c r="EJ48" i="21"/>
  <c r="DT47" i="21"/>
  <c r="AN46" i="21"/>
  <c r="AM46" i="21"/>
  <c r="DS47" i="21"/>
  <c r="BQ44" i="21"/>
  <c r="DY47" i="21"/>
  <c r="BC46" i="21"/>
  <c r="H43" i="14"/>
  <c r="E35" i="23"/>
  <c r="H35" i="25"/>
  <c r="BR43" i="19"/>
  <c r="C44" i="14"/>
  <c r="H42" i="14"/>
  <c r="E34" i="23"/>
  <c r="H34" i="25"/>
  <c r="BF46" i="1"/>
  <c r="EB47" i="1"/>
  <c r="DQ47" i="21"/>
  <c r="AK46" i="21"/>
  <c r="AR45" i="21"/>
  <c r="DX46" i="21"/>
  <c r="BK46" i="21"/>
  <c r="EG47" i="21"/>
  <c r="AP46" i="21"/>
  <c r="DV47" i="21"/>
  <c r="BE46" i="19"/>
  <c r="EA47" i="19"/>
  <c r="AL47" i="21"/>
  <c r="DR48" i="21"/>
  <c r="AM46" i="1"/>
  <c r="DS47" i="1"/>
  <c r="DZ50" i="21"/>
  <c r="BD49" i="21"/>
  <c r="AI46" i="19"/>
  <c r="DO47" i="19"/>
  <c r="BI47" i="19"/>
  <c r="EE48" i="19"/>
  <c r="DT49" i="19"/>
  <c r="AN48" i="19"/>
  <c r="AO46" i="21"/>
  <c r="DU47" i="21"/>
  <c r="BL46" i="21"/>
  <c r="EH47" i="21"/>
  <c r="BI46" i="21"/>
  <c r="EE47" i="21"/>
  <c r="DN47" i="21"/>
  <c r="AH46" i="21"/>
  <c r="AM46" i="19"/>
  <c r="DS47" i="19"/>
  <c r="BE46" i="21"/>
  <c r="EA47" i="21"/>
  <c r="AQ49" i="21"/>
  <c r="DW50" i="21"/>
  <c r="BF46" i="21"/>
  <c r="EB47" i="21"/>
  <c r="AJ46" i="1"/>
  <c r="DP47" i="1"/>
  <c r="BG48" i="21"/>
  <c r="EC49" i="21"/>
  <c r="BQ44" i="19"/>
  <c r="DO47" i="21"/>
  <c r="AI46" i="21"/>
  <c r="BJ49" i="21"/>
  <c r="EF50" i="21"/>
  <c r="BH47" i="21"/>
  <c r="ED48" i="21"/>
  <c r="AJ46" i="21"/>
  <c r="DP47" i="21"/>
  <c r="AR45" i="1"/>
  <c r="AJ46" i="19"/>
  <c r="DP47" i="19"/>
  <c r="DN48" i="19"/>
  <c r="AH47" i="19"/>
  <c r="BM45" i="21"/>
  <c r="EI46" i="21"/>
  <c r="BM46" i="1"/>
  <c r="EA47" i="1"/>
  <c r="EI47" i="1"/>
  <c r="EI48" i="1" s="1"/>
  <c r="EI49" i="1" s="1"/>
  <c r="EI50" i="1" s="1"/>
  <c r="EI51" i="1" s="1"/>
  <c r="EI52" i="1" s="1"/>
  <c r="EI53" i="1" s="1"/>
  <c r="EI54" i="1" s="1"/>
  <c r="EI55" i="1" s="1"/>
  <c r="EI56" i="1" s="1"/>
  <c r="ED47" i="1"/>
  <c r="EE47" i="1"/>
  <c r="DV47" i="1"/>
  <c r="AK47" i="1"/>
  <c r="DQ48" i="1"/>
  <c r="BK47" i="1"/>
  <c r="EG48" i="1"/>
  <c r="DU47" i="1"/>
  <c r="DT47" i="1"/>
  <c r="DW47" i="1"/>
  <c r="EC47" i="1"/>
  <c r="BJ48" i="1"/>
  <c r="EF49" i="1"/>
  <c r="EH47" i="1"/>
  <c r="DZ47" i="1"/>
  <c r="BQ45" i="1"/>
  <c r="DX46" i="1"/>
  <c r="DO47" i="1"/>
  <c r="DR47" i="1"/>
  <c r="BR44" i="1"/>
  <c r="C35" i="25"/>
  <c r="D35" i="23"/>
  <c r="EJ47" i="1"/>
  <c r="BO47" i="1" s="1"/>
  <c r="DY47" i="1"/>
  <c r="BC47" i="1" s="1"/>
  <c r="DR48" i="19"/>
  <c r="AL47" i="19"/>
  <c r="AQ46" i="19"/>
  <c r="DW47" i="19"/>
  <c r="BJ46" i="19"/>
  <c r="BM46" i="19" s="1"/>
  <c r="EF47" i="19"/>
  <c r="EH48" i="19"/>
  <c r="BL47" i="19"/>
  <c r="DV49" i="19"/>
  <c r="AP48" i="19"/>
  <c r="BO47" i="19"/>
  <c r="EJ48" i="19"/>
  <c r="DU47" i="19"/>
  <c r="AO46" i="19"/>
  <c r="EI55" i="19"/>
  <c r="BC47" i="19"/>
  <c r="DY48" i="19"/>
  <c r="AR45" i="19"/>
  <c r="BD47" i="19"/>
  <c r="DZ48" i="19"/>
  <c r="BG48" i="19"/>
  <c r="EC49" i="19"/>
  <c r="DQ47" i="19"/>
  <c r="AK46" i="19"/>
  <c r="DX54" i="19"/>
  <c r="EG49" i="19"/>
  <c r="BK48" i="19"/>
  <c r="EB48" i="19"/>
  <c r="BF47" i="19"/>
  <c r="ED52" i="19"/>
  <c r="BH51" i="19"/>
  <c r="DN47" i="1"/>
  <c r="AH47" i="1" s="1"/>
  <c r="BR44" i="21" l="1"/>
  <c r="D45" i="14"/>
  <c r="I45" i="15" s="1"/>
  <c r="M36" i="25"/>
  <c r="F36" i="23"/>
  <c r="BO48" i="21"/>
  <c r="EJ49" i="21"/>
  <c r="AN47" i="21"/>
  <c r="DT48" i="21"/>
  <c r="AM47" i="21"/>
  <c r="DS48" i="21"/>
  <c r="BC47" i="21"/>
  <c r="DY48" i="21"/>
  <c r="H44" i="15"/>
  <c r="F44" i="14"/>
  <c r="BR44" i="19"/>
  <c r="C45" i="14"/>
  <c r="AR46" i="1"/>
  <c r="DP48" i="21"/>
  <c r="AJ47" i="21"/>
  <c r="AI47" i="19"/>
  <c r="DO48" i="19"/>
  <c r="DV48" i="21"/>
  <c r="AP47" i="21"/>
  <c r="ED49" i="21"/>
  <c r="BH48" i="21"/>
  <c r="AJ47" i="1"/>
  <c r="DP48" i="1"/>
  <c r="BI47" i="21"/>
  <c r="EE48" i="21"/>
  <c r="EG48" i="21"/>
  <c r="BK47" i="21"/>
  <c r="BD50" i="21"/>
  <c r="DZ51" i="21"/>
  <c r="AH47" i="21"/>
  <c r="DN48" i="21"/>
  <c r="BJ50" i="21"/>
  <c r="EF51" i="21"/>
  <c r="EB48" i="21"/>
  <c r="BF47" i="21"/>
  <c r="BL47" i="21"/>
  <c r="EH48" i="21"/>
  <c r="DS48" i="1"/>
  <c r="AM47" i="1"/>
  <c r="AR46" i="21"/>
  <c r="DX47" i="21"/>
  <c r="BQ45" i="21"/>
  <c r="EI47" i="21"/>
  <c r="BM46" i="21"/>
  <c r="DN49" i="19"/>
  <c r="AH48" i="19"/>
  <c r="DW51" i="21"/>
  <c r="AQ50" i="21"/>
  <c r="DU48" i="21"/>
  <c r="AO47" i="21"/>
  <c r="AL48" i="21"/>
  <c r="DR49" i="21"/>
  <c r="DP48" i="19"/>
  <c r="AJ47" i="19"/>
  <c r="AI47" i="21"/>
  <c r="DO48" i="21"/>
  <c r="AK47" i="21"/>
  <c r="DQ48" i="21"/>
  <c r="EA48" i="21"/>
  <c r="BE47" i="21"/>
  <c r="EA48" i="19"/>
  <c r="BE47" i="19"/>
  <c r="BM47" i="19" s="1"/>
  <c r="BF47" i="1"/>
  <c r="EB48" i="1"/>
  <c r="AN49" i="19"/>
  <c r="DT50" i="19"/>
  <c r="BG49" i="21"/>
  <c r="EC50" i="21"/>
  <c r="AM47" i="19"/>
  <c r="DS48" i="19"/>
  <c r="EE49" i="19"/>
  <c r="BI48" i="19"/>
  <c r="BQ45" i="19"/>
  <c r="AI47" i="1"/>
  <c r="DO48" i="1"/>
  <c r="BD47" i="1"/>
  <c r="DZ48" i="1"/>
  <c r="BJ49" i="1"/>
  <c r="EF50" i="1"/>
  <c r="AQ47" i="1"/>
  <c r="DW48" i="1"/>
  <c r="AO47" i="1"/>
  <c r="DU48" i="1"/>
  <c r="AK48" i="1"/>
  <c r="DQ49" i="1"/>
  <c r="BI47" i="1"/>
  <c r="EE48" i="1"/>
  <c r="BE47" i="1"/>
  <c r="EA48" i="1"/>
  <c r="AL47" i="1"/>
  <c r="DR48" i="1"/>
  <c r="DX47" i="1"/>
  <c r="DX48" i="1" s="1"/>
  <c r="DX49" i="1" s="1"/>
  <c r="DX50" i="1" s="1"/>
  <c r="DX51" i="1" s="1"/>
  <c r="DX52" i="1" s="1"/>
  <c r="DX53" i="1" s="1"/>
  <c r="DX54" i="1" s="1"/>
  <c r="DX55" i="1" s="1"/>
  <c r="BL47" i="1"/>
  <c r="EH48" i="1"/>
  <c r="BG47" i="1"/>
  <c r="EC48" i="1"/>
  <c r="AN47" i="1"/>
  <c r="DT48" i="1"/>
  <c r="BK48" i="1"/>
  <c r="EG49" i="1"/>
  <c r="AP47" i="1"/>
  <c r="DV48" i="1"/>
  <c r="BH47" i="1"/>
  <c r="ED48" i="1"/>
  <c r="BR45" i="1"/>
  <c r="C37" i="25"/>
  <c r="D37" i="23"/>
  <c r="C36" i="25"/>
  <c r="D36" i="23"/>
  <c r="BQ46" i="1"/>
  <c r="EJ48" i="1"/>
  <c r="BO48" i="1" s="1"/>
  <c r="DY48" i="1"/>
  <c r="BC48" i="1" s="1"/>
  <c r="EI57" i="1"/>
  <c r="AL48" i="19"/>
  <c r="DR49" i="19"/>
  <c r="BJ47" i="19"/>
  <c r="EF48" i="19"/>
  <c r="DV50" i="19"/>
  <c r="AP49" i="19"/>
  <c r="BL48" i="19"/>
  <c r="EH49" i="19"/>
  <c r="AQ47" i="19"/>
  <c r="DW48" i="19"/>
  <c r="BC48" i="19"/>
  <c r="DY49" i="19"/>
  <c r="AR46" i="19"/>
  <c r="ED53" i="19"/>
  <c r="BH52" i="19"/>
  <c r="DX55" i="19"/>
  <c r="DQ48" i="19"/>
  <c r="AK47" i="19"/>
  <c r="BG49" i="19"/>
  <c r="EC50" i="19"/>
  <c r="EB49" i="19"/>
  <c r="BF48" i="19"/>
  <c r="EG50" i="19"/>
  <c r="BK49" i="19"/>
  <c r="DZ49" i="19"/>
  <c r="BD48" i="19"/>
  <c r="DU48" i="19"/>
  <c r="AO47" i="19"/>
  <c r="BO48" i="19"/>
  <c r="EJ49" i="19"/>
  <c r="EI56" i="19"/>
  <c r="DN48" i="1"/>
  <c r="AH48" i="1" s="1"/>
  <c r="M37" i="25" l="1"/>
  <c r="F37" i="23"/>
  <c r="BR45" i="21"/>
  <c r="D46" i="14"/>
  <c r="I46" i="15" s="1"/>
  <c r="BO49" i="21"/>
  <c r="EJ50" i="21"/>
  <c r="DT49" i="21"/>
  <c r="AN48" i="21"/>
  <c r="DS49" i="21"/>
  <c r="AM48" i="21"/>
  <c r="BC48" i="21"/>
  <c r="DY49" i="21"/>
  <c r="BR45" i="19"/>
  <c r="C46" i="14"/>
  <c r="H44" i="14"/>
  <c r="E36" i="23"/>
  <c r="H36" i="25"/>
  <c r="H45" i="15"/>
  <c r="F45" i="14"/>
  <c r="G45" i="14" s="1"/>
  <c r="EE50" i="19"/>
  <c r="BI49" i="19"/>
  <c r="BE48" i="21"/>
  <c r="EA49" i="21"/>
  <c r="DW52" i="21"/>
  <c r="AQ51" i="21"/>
  <c r="DP49" i="1"/>
  <c r="AJ48" i="1"/>
  <c r="AH49" i="19"/>
  <c r="DN50" i="19"/>
  <c r="BJ51" i="21"/>
  <c r="EF52" i="21"/>
  <c r="AM48" i="19"/>
  <c r="DS49" i="19"/>
  <c r="BM47" i="21"/>
  <c r="EI48" i="21"/>
  <c r="DN49" i="21"/>
  <c r="AH48" i="21"/>
  <c r="AK48" i="21"/>
  <c r="DQ49" i="21"/>
  <c r="EC51" i="21"/>
  <c r="BG50" i="21"/>
  <c r="DT51" i="19"/>
  <c r="AN50" i="19"/>
  <c r="DP49" i="19"/>
  <c r="AJ48" i="19"/>
  <c r="DX48" i="21"/>
  <c r="AR47" i="21"/>
  <c r="BQ47" i="21" s="1"/>
  <c r="BR47" i="21" s="1"/>
  <c r="BD51" i="21"/>
  <c r="DZ52" i="21"/>
  <c r="BQ46" i="19"/>
  <c r="BF48" i="1"/>
  <c r="EB49" i="1"/>
  <c r="AL49" i="21"/>
  <c r="DR50" i="21"/>
  <c r="BQ46" i="21"/>
  <c r="AP48" i="21"/>
  <c r="DV49" i="21"/>
  <c r="ED50" i="21"/>
  <c r="BH49" i="21"/>
  <c r="AR47" i="1"/>
  <c r="DO49" i="19"/>
  <c r="AI48" i="19"/>
  <c r="BF48" i="21"/>
  <c r="EB49" i="21"/>
  <c r="AI48" i="21"/>
  <c r="DO49" i="21"/>
  <c r="AM48" i="1"/>
  <c r="DS49" i="1"/>
  <c r="BK48" i="21"/>
  <c r="EG49" i="21"/>
  <c r="BM47" i="1"/>
  <c r="BE48" i="19"/>
  <c r="EA49" i="19"/>
  <c r="DU49" i="21"/>
  <c r="AO48" i="21"/>
  <c r="EH49" i="21"/>
  <c r="BL48" i="21"/>
  <c r="EE49" i="21"/>
  <c r="BI48" i="21"/>
  <c r="AJ48" i="21"/>
  <c r="DP49" i="21"/>
  <c r="AN48" i="1"/>
  <c r="DT49" i="1"/>
  <c r="AO48" i="1"/>
  <c r="DU49" i="1"/>
  <c r="AI48" i="1"/>
  <c r="DO49" i="1"/>
  <c r="AP48" i="1"/>
  <c r="DV49" i="1"/>
  <c r="BL48" i="1"/>
  <c r="EH49" i="1"/>
  <c r="AL48" i="1"/>
  <c r="DR49" i="1"/>
  <c r="BI48" i="1"/>
  <c r="EE49" i="1"/>
  <c r="BJ50" i="1"/>
  <c r="EF51" i="1"/>
  <c r="BH48" i="1"/>
  <c r="ED49" i="1"/>
  <c r="BK49" i="1"/>
  <c r="EG50" i="1"/>
  <c r="BG48" i="1"/>
  <c r="EC49" i="1"/>
  <c r="BE48" i="1"/>
  <c r="BM48" i="1" s="1"/>
  <c r="EA49" i="1"/>
  <c r="AK49" i="1"/>
  <c r="DQ50" i="1"/>
  <c r="AQ48" i="1"/>
  <c r="DW49" i="1"/>
  <c r="BD48" i="1"/>
  <c r="DZ49" i="1"/>
  <c r="BR46" i="1"/>
  <c r="EJ49" i="1"/>
  <c r="BO49" i="1" s="1"/>
  <c r="EI58" i="1"/>
  <c r="DY49" i="1"/>
  <c r="BC49" i="1" s="1"/>
  <c r="DR50" i="19"/>
  <c r="AL49" i="19"/>
  <c r="AR47" i="19"/>
  <c r="DW49" i="19"/>
  <c r="AQ48" i="19"/>
  <c r="AP50" i="19"/>
  <c r="DV51" i="19"/>
  <c r="EH50" i="19"/>
  <c r="BL49" i="19"/>
  <c r="EF49" i="19"/>
  <c r="BJ48" i="19"/>
  <c r="BM48" i="19" s="1"/>
  <c r="DU49" i="19"/>
  <c r="AO48" i="19"/>
  <c r="EB50" i="19"/>
  <c r="BF49" i="19"/>
  <c r="DQ49" i="19"/>
  <c r="AK48" i="19"/>
  <c r="BH53" i="19"/>
  <c r="ED54" i="19"/>
  <c r="EI57" i="19"/>
  <c r="BO49" i="19"/>
  <c r="EJ50" i="19"/>
  <c r="EC51" i="19"/>
  <c r="BG50" i="19"/>
  <c r="DX56" i="19"/>
  <c r="BD49" i="19"/>
  <c r="DZ50" i="19"/>
  <c r="EG51" i="19"/>
  <c r="BK50" i="19"/>
  <c r="BC49" i="19"/>
  <c r="DY50" i="19"/>
  <c r="DN49" i="1"/>
  <c r="AH49" i="1" s="1"/>
  <c r="DX56" i="1"/>
  <c r="BR46" i="21" l="1"/>
  <c r="D47" i="14"/>
  <c r="I47" i="15" s="1"/>
  <c r="M38" i="25"/>
  <c r="F38" i="23"/>
  <c r="BO50" i="21"/>
  <c r="EJ51" i="21"/>
  <c r="DT50" i="21"/>
  <c r="AN49" i="21"/>
  <c r="AM49" i="21"/>
  <c r="DS50" i="21"/>
  <c r="BC49" i="21"/>
  <c r="DY50" i="21"/>
  <c r="H46" i="15"/>
  <c r="F46" i="14"/>
  <c r="BR46" i="19"/>
  <c r="C47" i="14"/>
  <c r="H45" i="14"/>
  <c r="H37" i="25"/>
  <c r="E37" i="23"/>
  <c r="BQ47" i="1"/>
  <c r="EF53" i="21"/>
  <c r="BJ52" i="21"/>
  <c r="AH50" i="19"/>
  <c r="DN51" i="19"/>
  <c r="DX49" i="21"/>
  <c r="AR48" i="21"/>
  <c r="DP50" i="1"/>
  <c r="AJ49" i="1"/>
  <c r="BQ47" i="19"/>
  <c r="BR47" i="19" s="1"/>
  <c r="EC52" i="21"/>
  <c r="BG51" i="21"/>
  <c r="DZ53" i="21"/>
  <c r="BD52" i="21"/>
  <c r="EE50" i="21"/>
  <c r="BI49" i="21"/>
  <c r="DV50" i="21"/>
  <c r="AP49" i="21"/>
  <c r="AR48" i="1"/>
  <c r="BQ48" i="1" s="1"/>
  <c r="BL49" i="21"/>
  <c r="EH50" i="21"/>
  <c r="AI49" i="21"/>
  <c r="DO50" i="21"/>
  <c r="DP50" i="19"/>
  <c r="AJ49" i="19"/>
  <c r="AH49" i="21"/>
  <c r="DN50" i="21"/>
  <c r="DW53" i="21"/>
  <c r="AQ52" i="21"/>
  <c r="AJ49" i="21"/>
  <c r="DP50" i="21"/>
  <c r="DU50" i="21"/>
  <c r="AO49" i="21"/>
  <c r="EB50" i="21"/>
  <c r="BF49" i="21"/>
  <c r="DR51" i="21"/>
  <c r="AL50" i="21"/>
  <c r="BM48" i="21"/>
  <c r="EI49" i="21"/>
  <c r="EA50" i="21"/>
  <c r="BE49" i="21"/>
  <c r="EG50" i="21"/>
  <c r="BK49" i="21"/>
  <c r="ED51" i="21"/>
  <c r="BH50" i="21"/>
  <c r="EB50" i="1"/>
  <c r="BF49" i="1"/>
  <c r="DS50" i="19"/>
  <c r="AM49" i="19"/>
  <c r="DQ50" i="21"/>
  <c r="AK49" i="21"/>
  <c r="AM49" i="1"/>
  <c r="DS50" i="1"/>
  <c r="BE49" i="19"/>
  <c r="EA50" i="19"/>
  <c r="AI49" i="19"/>
  <c r="DO50" i="19"/>
  <c r="AN51" i="19"/>
  <c r="DT52" i="19"/>
  <c r="EE51" i="19"/>
  <c r="BI50" i="19"/>
  <c r="AP49" i="1"/>
  <c r="DV50" i="1"/>
  <c r="BE49" i="1"/>
  <c r="EA50" i="1"/>
  <c r="BK50" i="1"/>
  <c r="EG51" i="1"/>
  <c r="AL49" i="1"/>
  <c r="DR50" i="1"/>
  <c r="BD49" i="1"/>
  <c r="DZ50" i="1"/>
  <c r="AK50" i="1"/>
  <c r="DQ51" i="1"/>
  <c r="BG49" i="1"/>
  <c r="EC50" i="1"/>
  <c r="BH49" i="1"/>
  <c r="ED50" i="1"/>
  <c r="BI49" i="1"/>
  <c r="EE50" i="1"/>
  <c r="BL49" i="1"/>
  <c r="EH50" i="1"/>
  <c r="AO49" i="1"/>
  <c r="DU50" i="1"/>
  <c r="AN49" i="1"/>
  <c r="DT50" i="1"/>
  <c r="AQ49" i="1"/>
  <c r="DW50" i="1"/>
  <c r="BJ51" i="1"/>
  <c r="EF52" i="1"/>
  <c r="AI49" i="1"/>
  <c r="DO50" i="1"/>
  <c r="C38" i="25"/>
  <c r="D38" i="23"/>
  <c r="BR47" i="1"/>
  <c r="C39" i="25"/>
  <c r="D39" i="23"/>
  <c r="EJ50" i="1"/>
  <c r="BO50" i="1" s="1"/>
  <c r="DY50" i="1"/>
  <c r="BC50" i="1" s="1"/>
  <c r="EI59" i="1"/>
  <c r="DR51" i="19"/>
  <c r="AL50" i="19"/>
  <c r="DW50" i="19"/>
  <c r="AQ49" i="19"/>
  <c r="BJ49" i="19"/>
  <c r="BM49" i="19" s="1"/>
  <c r="EF50" i="19"/>
  <c r="BL50" i="19"/>
  <c r="EH51" i="19"/>
  <c r="DV52" i="19"/>
  <c r="AP51" i="19"/>
  <c r="EJ51" i="19"/>
  <c r="BO50" i="19"/>
  <c r="BH54" i="19"/>
  <c r="ED55" i="19"/>
  <c r="DZ51" i="19"/>
  <c r="BD50" i="19"/>
  <c r="BG51" i="19"/>
  <c r="EC52" i="19"/>
  <c r="EI58" i="19"/>
  <c r="BF50" i="19"/>
  <c r="EB51" i="19"/>
  <c r="EG52" i="19"/>
  <c r="BK51" i="19"/>
  <c r="DX57" i="19"/>
  <c r="AR48" i="19"/>
  <c r="BC50" i="19"/>
  <c r="DY51" i="19"/>
  <c r="AK49" i="19"/>
  <c r="DQ50" i="19"/>
  <c r="AO49" i="19"/>
  <c r="DU50" i="19"/>
  <c r="DX57" i="1"/>
  <c r="DN50" i="1"/>
  <c r="AH50" i="1" s="1"/>
  <c r="M39" i="25" l="1"/>
  <c r="F39" i="23"/>
  <c r="M14" i="24"/>
  <c r="L14" i="24" s="1"/>
  <c r="M6" i="24"/>
  <c r="L6" i="24" s="1"/>
  <c r="M12" i="24"/>
  <c r="L12" i="24" s="1"/>
  <c r="M13" i="24"/>
  <c r="L13" i="24" s="1"/>
  <c r="M15" i="24"/>
  <c r="L15" i="24" s="1"/>
  <c r="M7" i="24"/>
  <c r="L7" i="24" s="1"/>
  <c r="M8" i="24"/>
  <c r="L8" i="24" s="1"/>
  <c r="M10" i="24"/>
  <c r="L10" i="24" s="1"/>
  <c r="M9" i="24"/>
  <c r="L9" i="24" s="1"/>
  <c r="M11" i="24"/>
  <c r="L11" i="24" s="1"/>
  <c r="BO51" i="21"/>
  <c r="EJ52" i="21"/>
  <c r="DT51" i="21"/>
  <c r="AN50" i="21"/>
  <c r="DS51" i="21"/>
  <c r="AM50" i="21"/>
  <c r="DY51" i="21"/>
  <c r="BC50" i="21"/>
  <c r="H46" i="14"/>
  <c r="E38" i="23"/>
  <c r="H38" i="25"/>
  <c r="H47" i="15"/>
  <c r="F47" i="14"/>
  <c r="BK50" i="21"/>
  <c r="EG51" i="21"/>
  <c r="AJ50" i="1"/>
  <c r="DP51" i="1"/>
  <c r="EE52" i="19"/>
  <c r="BI51" i="19"/>
  <c r="BQ48" i="21"/>
  <c r="BR48" i="21" s="1"/>
  <c r="EH51" i="21"/>
  <c r="BL50" i="21"/>
  <c r="DT53" i="19"/>
  <c r="AN52" i="19"/>
  <c r="DN51" i="21"/>
  <c r="AH50" i="21"/>
  <c r="AP50" i="21"/>
  <c r="DV51" i="21"/>
  <c r="AR49" i="21"/>
  <c r="DX50" i="21"/>
  <c r="BE50" i="21"/>
  <c r="EA51" i="21"/>
  <c r="AR49" i="1"/>
  <c r="BF50" i="1"/>
  <c r="EB51" i="1"/>
  <c r="AL51" i="21"/>
  <c r="DR52" i="21"/>
  <c r="AH51" i="19"/>
  <c r="DN52" i="19"/>
  <c r="BM49" i="21"/>
  <c r="EI50" i="21"/>
  <c r="AI50" i="19"/>
  <c r="DO51" i="19"/>
  <c r="BI50" i="21"/>
  <c r="EE51" i="21"/>
  <c r="EB51" i="21"/>
  <c r="BF50" i="21"/>
  <c r="AJ50" i="19"/>
  <c r="DP51" i="19"/>
  <c r="BE50" i="19"/>
  <c r="EA51" i="19"/>
  <c r="BD53" i="21"/>
  <c r="DZ54" i="21"/>
  <c r="DQ51" i="21"/>
  <c r="AK50" i="21"/>
  <c r="DW54" i="21"/>
  <c r="AQ53" i="21"/>
  <c r="ED52" i="21"/>
  <c r="BH51" i="21"/>
  <c r="AO50" i="21"/>
  <c r="DU51" i="21"/>
  <c r="DS51" i="19"/>
  <c r="AM50" i="19"/>
  <c r="BQ48" i="19"/>
  <c r="BR48" i="19" s="1"/>
  <c r="DS51" i="1"/>
  <c r="AM50" i="1"/>
  <c r="DP51" i="21"/>
  <c r="AJ50" i="21"/>
  <c r="AI50" i="21"/>
  <c r="DO51" i="21"/>
  <c r="EC53" i="21"/>
  <c r="BG52" i="21"/>
  <c r="BJ53" i="21"/>
  <c r="EF54" i="21"/>
  <c r="BM49" i="1"/>
  <c r="BG50" i="1"/>
  <c r="EC51" i="1"/>
  <c r="AQ50" i="1"/>
  <c r="DW51" i="1"/>
  <c r="BI50" i="1"/>
  <c r="EE51" i="1"/>
  <c r="BD50" i="1"/>
  <c r="DZ51" i="1"/>
  <c r="BJ52" i="1"/>
  <c r="EF53" i="1"/>
  <c r="AN50" i="1"/>
  <c r="DT51" i="1"/>
  <c r="BL50" i="1"/>
  <c r="EH51" i="1"/>
  <c r="BH50" i="1"/>
  <c r="ED51" i="1"/>
  <c r="AK51" i="1"/>
  <c r="DQ52" i="1"/>
  <c r="AL50" i="1"/>
  <c r="DR51" i="1"/>
  <c r="BE50" i="1"/>
  <c r="EA51" i="1"/>
  <c r="AP50" i="1"/>
  <c r="DV51" i="1"/>
  <c r="AI50" i="1"/>
  <c r="DO51" i="1"/>
  <c r="AO50" i="1"/>
  <c r="DU51" i="1"/>
  <c r="EG52" i="1"/>
  <c r="BK51" i="1"/>
  <c r="BR48" i="1"/>
  <c r="EJ51" i="1"/>
  <c r="DY51" i="1"/>
  <c r="DR52" i="19"/>
  <c r="AL51" i="19"/>
  <c r="AP52" i="19"/>
  <c r="DV53" i="19"/>
  <c r="BL51" i="19"/>
  <c r="EH52" i="19"/>
  <c r="BJ50" i="19"/>
  <c r="EF51" i="19"/>
  <c r="DW51" i="19"/>
  <c r="AQ50" i="19"/>
  <c r="AR49" i="19"/>
  <c r="EC53" i="19"/>
  <c r="BG52" i="19"/>
  <c r="DQ51" i="19"/>
  <c r="AK50" i="19"/>
  <c r="DX58" i="19"/>
  <c r="EI59" i="19"/>
  <c r="EJ52" i="19"/>
  <c r="BO51" i="19"/>
  <c r="BC51" i="19"/>
  <c r="DY52" i="19"/>
  <c r="BF51" i="19"/>
  <c r="EB52" i="19"/>
  <c r="BH55" i="19"/>
  <c r="ED56" i="19"/>
  <c r="DU51" i="19"/>
  <c r="AO50" i="19"/>
  <c r="BK52" i="19"/>
  <c r="EG53" i="19"/>
  <c r="DZ52" i="19"/>
  <c r="BD51" i="19"/>
  <c r="DN51" i="1"/>
  <c r="DX58" i="1"/>
  <c r="EJ53" i="21" l="1"/>
  <c r="BO52" i="21"/>
  <c r="BQ49" i="21"/>
  <c r="BR49" i="21" s="1"/>
  <c r="AN51" i="21"/>
  <c r="DT52" i="21"/>
  <c r="DS52" i="21"/>
  <c r="AM51" i="21"/>
  <c r="BC51" i="21"/>
  <c r="DY52" i="21"/>
  <c r="H47" i="14"/>
  <c r="H39" i="25"/>
  <c r="E39" i="23"/>
  <c r="BQ49" i="1"/>
  <c r="DZ55" i="21"/>
  <c r="BD54" i="21"/>
  <c r="EE52" i="21"/>
  <c r="BI51" i="21"/>
  <c r="EB52" i="1"/>
  <c r="BF51" i="1"/>
  <c r="DT54" i="19"/>
  <c r="AN53" i="19"/>
  <c r="DO52" i="19"/>
  <c r="AI51" i="19"/>
  <c r="EC54" i="21"/>
  <c r="BG53" i="21"/>
  <c r="EE53" i="19"/>
  <c r="BI52" i="19"/>
  <c r="BE51" i="19"/>
  <c r="EA52" i="19"/>
  <c r="BM50" i="19"/>
  <c r="ED53" i="21"/>
  <c r="BH52" i="21"/>
  <c r="AP51" i="21"/>
  <c r="DV52" i="21"/>
  <c r="BE51" i="21"/>
  <c r="EA52" i="21"/>
  <c r="DX51" i="21"/>
  <c r="AR50" i="21"/>
  <c r="BM50" i="21"/>
  <c r="EI51" i="21"/>
  <c r="DP52" i="19"/>
  <c r="AJ51" i="19"/>
  <c r="AH52" i="19"/>
  <c r="DN53" i="19"/>
  <c r="EF55" i="21"/>
  <c r="BJ54" i="21"/>
  <c r="DS52" i="19"/>
  <c r="AM51" i="19"/>
  <c r="AI51" i="21"/>
  <c r="DO52" i="21"/>
  <c r="DP52" i="1"/>
  <c r="AJ51" i="1"/>
  <c r="DP52" i="21"/>
  <c r="AJ51" i="21"/>
  <c r="AQ54" i="21"/>
  <c r="DW55" i="21"/>
  <c r="BQ49" i="19"/>
  <c r="BR49" i="19" s="1"/>
  <c r="BL51" i="21"/>
  <c r="EH52" i="21"/>
  <c r="AO51" i="21"/>
  <c r="DU52" i="21"/>
  <c r="AL52" i="21"/>
  <c r="DR53" i="21"/>
  <c r="DN52" i="21"/>
  <c r="AH51" i="21"/>
  <c r="EG52" i="21"/>
  <c r="BK51" i="21"/>
  <c r="DS52" i="1"/>
  <c r="AM51" i="1"/>
  <c r="DQ52" i="21"/>
  <c r="AK51" i="21"/>
  <c r="BF51" i="21"/>
  <c r="EB52" i="21"/>
  <c r="AR50" i="1"/>
  <c r="BQ50" i="1" s="1"/>
  <c r="AP51" i="1"/>
  <c r="DV52" i="1"/>
  <c r="EG53" i="1"/>
  <c r="BK52" i="1"/>
  <c r="BM50" i="1"/>
  <c r="AL51" i="1"/>
  <c r="DR52" i="1"/>
  <c r="BH51" i="1"/>
  <c r="ED52" i="1"/>
  <c r="AN51" i="1"/>
  <c r="DT52" i="1"/>
  <c r="EE52" i="1"/>
  <c r="BI51" i="1"/>
  <c r="AI51" i="1"/>
  <c r="DO52" i="1"/>
  <c r="EA52" i="1"/>
  <c r="BE51" i="1"/>
  <c r="AK52" i="1"/>
  <c r="DQ53" i="1"/>
  <c r="BL51" i="1"/>
  <c r="EH52" i="1"/>
  <c r="BJ53" i="1"/>
  <c r="EF54" i="1"/>
  <c r="BD51" i="1"/>
  <c r="DZ52" i="1"/>
  <c r="DW52" i="1"/>
  <c r="AQ51" i="1"/>
  <c r="EC52" i="1"/>
  <c r="BG51" i="1"/>
  <c r="DU52" i="1"/>
  <c r="AO51" i="1"/>
  <c r="C40" i="25"/>
  <c r="D40" i="23"/>
  <c r="BR49" i="1"/>
  <c r="C41" i="25"/>
  <c r="D41" i="23"/>
  <c r="EJ52" i="1"/>
  <c r="BO51" i="1"/>
  <c r="DY52" i="1"/>
  <c r="BC51" i="1"/>
  <c r="AL52" i="19"/>
  <c r="DR53" i="19"/>
  <c r="BL52" i="19"/>
  <c r="EH53" i="19"/>
  <c r="AQ51" i="19"/>
  <c r="DW52" i="19"/>
  <c r="BJ51" i="19"/>
  <c r="BM51" i="19" s="1"/>
  <c r="EF52" i="19"/>
  <c r="AR50" i="19"/>
  <c r="AP53" i="19"/>
  <c r="DV54" i="19"/>
  <c r="BD52" i="19"/>
  <c r="DZ53" i="19"/>
  <c r="DU52" i="19"/>
  <c r="AO51" i="19"/>
  <c r="EB53" i="19"/>
  <c r="BF52" i="19"/>
  <c r="BG53" i="19"/>
  <c r="EC54" i="19"/>
  <c r="DX59" i="19"/>
  <c r="EG54" i="19"/>
  <c r="BK53" i="19"/>
  <c r="BH56" i="19"/>
  <c r="ED57" i="19"/>
  <c r="BO52" i="19"/>
  <c r="EJ53" i="19"/>
  <c r="DQ52" i="19"/>
  <c r="AK51" i="19"/>
  <c r="BC52" i="19"/>
  <c r="DY53" i="19"/>
  <c r="DX59" i="1"/>
  <c r="DN52" i="1"/>
  <c r="AH51" i="1"/>
  <c r="BO53" i="21" l="1"/>
  <c r="EJ54" i="21"/>
  <c r="AN52" i="21"/>
  <c r="DT53" i="21"/>
  <c r="AM52" i="21"/>
  <c r="DS53" i="21"/>
  <c r="DY53" i="21"/>
  <c r="BC52" i="21"/>
  <c r="H11" i="24"/>
  <c r="G11" i="24" s="1"/>
  <c r="H8" i="24"/>
  <c r="G8" i="24" s="1"/>
  <c r="H9" i="24"/>
  <c r="G9" i="24" s="1"/>
  <c r="H15" i="24"/>
  <c r="G15" i="24" s="1"/>
  <c r="H13" i="24"/>
  <c r="G13" i="24" s="1"/>
  <c r="H6" i="24"/>
  <c r="G6" i="24" s="1"/>
  <c r="H10" i="24"/>
  <c r="G10" i="24" s="1"/>
  <c r="H14" i="24"/>
  <c r="G14" i="24" s="1"/>
  <c r="H7" i="24"/>
  <c r="G7" i="24" s="1"/>
  <c r="H12" i="24"/>
  <c r="G12" i="24" s="1"/>
  <c r="BQ50" i="21"/>
  <c r="BR50" i="21" s="1"/>
  <c r="AH53" i="19"/>
  <c r="DN54" i="19"/>
  <c r="BG54" i="21"/>
  <c r="EC55" i="21"/>
  <c r="AJ52" i="21"/>
  <c r="DP53" i="21"/>
  <c r="AL53" i="21"/>
  <c r="DR54" i="21"/>
  <c r="DO53" i="19"/>
  <c r="AI52" i="19"/>
  <c r="AJ52" i="1"/>
  <c r="DP53" i="1"/>
  <c r="DP53" i="19"/>
  <c r="AJ52" i="19"/>
  <c r="BH53" i="21"/>
  <c r="ED54" i="21"/>
  <c r="EB53" i="21"/>
  <c r="BF52" i="21"/>
  <c r="AO52" i="21"/>
  <c r="DU53" i="21"/>
  <c r="AI52" i="21"/>
  <c r="DO53" i="21"/>
  <c r="EI52" i="21"/>
  <c r="BM51" i="21"/>
  <c r="DT55" i="19"/>
  <c r="AN54" i="19"/>
  <c r="DQ53" i="21"/>
  <c r="AK52" i="21"/>
  <c r="BE52" i="19"/>
  <c r="EA53" i="19"/>
  <c r="BK52" i="21"/>
  <c r="EG53" i="21"/>
  <c r="DN53" i="21"/>
  <c r="AH52" i="21"/>
  <c r="EH53" i="21"/>
  <c r="BL52" i="21"/>
  <c r="BF52" i="1"/>
  <c r="EB53" i="1"/>
  <c r="AM52" i="1"/>
  <c r="DS53" i="1"/>
  <c r="DS53" i="19"/>
  <c r="AM52" i="19"/>
  <c r="AR51" i="21"/>
  <c r="BQ51" i="21" s="1"/>
  <c r="BR51" i="21" s="1"/>
  <c r="DX52" i="21"/>
  <c r="BE52" i="21"/>
  <c r="EA53" i="21"/>
  <c r="EE53" i="21"/>
  <c r="BI52" i="21"/>
  <c r="BM51" i="1"/>
  <c r="EF56" i="21"/>
  <c r="BJ55" i="21"/>
  <c r="BQ50" i="19"/>
  <c r="BR50" i="19" s="1"/>
  <c r="DW56" i="21"/>
  <c r="AQ55" i="21"/>
  <c r="DV53" i="21"/>
  <c r="AP52" i="21"/>
  <c r="EE54" i="19"/>
  <c r="BI53" i="19"/>
  <c r="DZ56" i="21"/>
  <c r="BD55" i="21"/>
  <c r="AR51" i="1"/>
  <c r="BQ51" i="1" s="1"/>
  <c r="BR51" i="1" s="1"/>
  <c r="BD52" i="1"/>
  <c r="DZ53" i="1"/>
  <c r="BL52" i="1"/>
  <c r="EH53" i="1"/>
  <c r="AN52" i="1"/>
  <c r="DT53" i="1"/>
  <c r="AL52" i="1"/>
  <c r="DR53" i="1"/>
  <c r="DW53" i="1"/>
  <c r="AQ52" i="1"/>
  <c r="EC53" i="1"/>
  <c r="BG52" i="1"/>
  <c r="EA53" i="1"/>
  <c r="BE52" i="1"/>
  <c r="AP52" i="1"/>
  <c r="DV53" i="1"/>
  <c r="DU53" i="1"/>
  <c r="AO52" i="1"/>
  <c r="EE53" i="1"/>
  <c r="BI52" i="1"/>
  <c r="BJ54" i="1"/>
  <c r="EF55" i="1"/>
  <c r="DQ54" i="1"/>
  <c r="AK53" i="1"/>
  <c r="DO53" i="1"/>
  <c r="AI52" i="1"/>
  <c r="BH52" i="1"/>
  <c r="ED53" i="1"/>
  <c r="EG54" i="1"/>
  <c r="BK53" i="1"/>
  <c r="BR50" i="1"/>
  <c r="EJ53" i="1"/>
  <c r="BO52" i="1"/>
  <c r="BC52" i="1"/>
  <c r="DY53" i="1"/>
  <c r="DR54" i="19"/>
  <c r="AL53" i="19"/>
  <c r="AP54" i="19"/>
  <c r="DV55" i="19"/>
  <c r="BJ52" i="19"/>
  <c r="BM52" i="19" s="1"/>
  <c r="EF53" i="19"/>
  <c r="AQ52" i="19"/>
  <c r="DW53" i="19"/>
  <c r="BL53" i="19"/>
  <c r="EH54" i="19"/>
  <c r="ED58" i="19"/>
  <c r="BH57" i="19"/>
  <c r="AO52" i="19"/>
  <c r="DU53" i="19"/>
  <c r="DZ54" i="19"/>
  <c r="BD53" i="19"/>
  <c r="BF53" i="19"/>
  <c r="EB54" i="19"/>
  <c r="BC53" i="19"/>
  <c r="DY54" i="19"/>
  <c r="EJ54" i="19"/>
  <c r="BO53" i="19"/>
  <c r="AK52" i="19"/>
  <c r="DQ53" i="19"/>
  <c r="BK54" i="19"/>
  <c r="EG55" i="19"/>
  <c r="BG54" i="19"/>
  <c r="EC55" i="19"/>
  <c r="AR51" i="19"/>
  <c r="AH52" i="1"/>
  <c r="DN53" i="1"/>
  <c r="EJ55" i="21" l="1"/>
  <c r="BO54" i="21"/>
  <c r="AN53" i="21"/>
  <c r="DT54" i="21"/>
  <c r="DS54" i="21"/>
  <c r="AM53" i="21"/>
  <c r="BC53" i="21"/>
  <c r="DY54" i="21"/>
  <c r="BE53" i="21"/>
  <c r="EA54" i="21"/>
  <c r="DO54" i="21"/>
  <c r="AI53" i="21"/>
  <c r="AQ56" i="21"/>
  <c r="DW57" i="21"/>
  <c r="AR52" i="21"/>
  <c r="DX53" i="21"/>
  <c r="BK53" i="21"/>
  <c r="EG54" i="21"/>
  <c r="DU54" i="21"/>
  <c r="AO53" i="21"/>
  <c r="DR55" i="21"/>
  <c r="AL54" i="21"/>
  <c r="DO54" i="19"/>
  <c r="AI53" i="19"/>
  <c r="EA54" i="19"/>
  <c r="BE53" i="19"/>
  <c r="BQ51" i="19"/>
  <c r="BR51" i="19" s="1"/>
  <c r="BF53" i="21"/>
  <c r="EB54" i="21"/>
  <c r="DS54" i="1"/>
  <c r="AM53" i="1"/>
  <c r="ED55" i="21"/>
  <c r="BH54" i="21"/>
  <c r="AJ53" i="21"/>
  <c r="DP54" i="21"/>
  <c r="AH53" i="21"/>
  <c r="DN54" i="21"/>
  <c r="AK53" i="21"/>
  <c r="DQ54" i="21"/>
  <c r="DZ57" i="21"/>
  <c r="BD56" i="21"/>
  <c r="BI54" i="19"/>
  <c r="EE55" i="19"/>
  <c r="EB54" i="1"/>
  <c r="BF53" i="1"/>
  <c r="BG55" i="21"/>
  <c r="EC56" i="21"/>
  <c r="BJ56" i="21"/>
  <c r="EF57" i="21"/>
  <c r="AN55" i="19"/>
  <c r="DT56" i="19"/>
  <c r="DP54" i="19"/>
  <c r="AJ53" i="19"/>
  <c r="AP53" i="21"/>
  <c r="DV54" i="21"/>
  <c r="AJ53" i="1"/>
  <c r="DP54" i="1"/>
  <c r="AH54" i="19"/>
  <c r="DN55" i="19"/>
  <c r="DS54" i="19"/>
  <c r="AM53" i="19"/>
  <c r="BI53" i="21"/>
  <c r="EE54" i="21"/>
  <c r="BL53" i="21"/>
  <c r="EH54" i="21"/>
  <c r="BM52" i="21"/>
  <c r="EI53" i="21"/>
  <c r="DO54" i="1"/>
  <c r="AI53" i="1"/>
  <c r="AR52" i="1"/>
  <c r="BQ52" i="1" s="1"/>
  <c r="BR52" i="1" s="1"/>
  <c r="BH53" i="1"/>
  <c r="ED54" i="1"/>
  <c r="AN53" i="1"/>
  <c r="DT54" i="1"/>
  <c r="BL53" i="1"/>
  <c r="EH54" i="1"/>
  <c r="EG55" i="1"/>
  <c r="BK54" i="1"/>
  <c r="EC54" i="1"/>
  <c r="BG53" i="1"/>
  <c r="AK54" i="1"/>
  <c r="DQ55" i="1"/>
  <c r="DU54" i="1"/>
  <c r="AO53" i="1"/>
  <c r="EA54" i="1"/>
  <c r="BE53" i="1"/>
  <c r="DW54" i="1"/>
  <c r="AQ53" i="1"/>
  <c r="EE54" i="1"/>
  <c r="BI53" i="1"/>
  <c r="BM52" i="1"/>
  <c r="BJ55" i="1"/>
  <c r="EF56" i="1"/>
  <c r="AP53" i="1"/>
  <c r="DV54" i="1"/>
  <c r="AL53" i="1"/>
  <c r="DR54" i="1"/>
  <c r="BD53" i="1"/>
  <c r="DZ54" i="1"/>
  <c r="C42" i="25"/>
  <c r="D42" i="23"/>
  <c r="BO53" i="1"/>
  <c r="EJ54" i="1"/>
  <c r="DY54" i="1"/>
  <c r="BC53" i="1"/>
  <c r="AL54" i="19"/>
  <c r="DR55" i="19"/>
  <c r="BL54" i="19"/>
  <c r="EH55" i="19"/>
  <c r="EF54" i="19"/>
  <c r="BJ53" i="19"/>
  <c r="DW54" i="19"/>
  <c r="AQ53" i="19"/>
  <c r="DV56" i="19"/>
  <c r="AP55" i="19"/>
  <c r="AR52" i="19"/>
  <c r="BK55" i="19"/>
  <c r="EG56" i="19"/>
  <c r="BH58" i="19"/>
  <c r="ED59" i="19"/>
  <c r="BH59" i="19" s="1"/>
  <c r="BG55" i="19"/>
  <c r="EC56" i="19"/>
  <c r="EJ55" i="19"/>
  <c r="BO54" i="19"/>
  <c r="AK53" i="19"/>
  <c r="DQ54" i="19"/>
  <c r="DY55" i="19"/>
  <c r="BC54" i="19"/>
  <c r="BF54" i="19"/>
  <c r="EB55" i="19"/>
  <c r="DZ55" i="19"/>
  <c r="BD54" i="19"/>
  <c r="AO53" i="19"/>
  <c r="DU54" i="19"/>
  <c r="DN54" i="1"/>
  <c r="AH53" i="1"/>
  <c r="EJ56" i="21" l="1"/>
  <c r="BO55" i="21"/>
  <c r="BQ52" i="21"/>
  <c r="BR52" i="21" s="1"/>
  <c r="AN54" i="21"/>
  <c r="DT55" i="21"/>
  <c r="AM54" i="21"/>
  <c r="DS55" i="21"/>
  <c r="BC54" i="21"/>
  <c r="DY55" i="21"/>
  <c r="BM53" i="19"/>
  <c r="BJ57" i="21"/>
  <c r="EF58" i="21"/>
  <c r="EG55" i="21"/>
  <c r="BK54" i="21"/>
  <c r="DS55" i="19"/>
  <c r="AM54" i="19"/>
  <c r="DN56" i="19"/>
  <c r="AH55" i="19"/>
  <c r="EC57" i="21"/>
  <c r="BG56" i="21"/>
  <c r="AH54" i="21"/>
  <c r="DN55" i="21"/>
  <c r="AR53" i="21"/>
  <c r="DX54" i="21"/>
  <c r="AJ54" i="21"/>
  <c r="DP55" i="21"/>
  <c r="AQ57" i="21"/>
  <c r="DW58" i="21"/>
  <c r="EB55" i="1"/>
  <c r="BF54" i="1"/>
  <c r="BE54" i="19"/>
  <c r="EA55" i="19"/>
  <c r="AR53" i="1"/>
  <c r="BH55" i="21"/>
  <c r="ED56" i="21"/>
  <c r="DO55" i="19"/>
  <c r="AI54" i="19"/>
  <c r="DO55" i="21"/>
  <c r="AI54" i="21"/>
  <c r="BQ52" i="19"/>
  <c r="BR52" i="19" s="1"/>
  <c r="DP55" i="1"/>
  <c r="AJ54" i="1"/>
  <c r="BL54" i="21"/>
  <c r="EH55" i="21"/>
  <c r="EA55" i="21"/>
  <c r="BE54" i="21"/>
  <c r="DV55" i="21"/>
  <c r="AP54" i="21"/>
  <c r="AJ54" i="19"/>
  <c r="DP55" i="19"/>
  <c r="BD57" i="21"/>
  <c r="DZ58" i="21"/>
  <c r="DS55" i="1"/>
  <c r="AM54" i="1"/>
  <c r="DR56" i="21"/>
  <c r="AL55" i="21"/>
  <c r="EI54" i="21"/>
  <c r="BM53" i="21"/>
  <c r="BI55" i="19"/>
  <c r="EE56" i="19"/>
  <c r="AR53" i="19"/>
  <c r="BQ53" i="19" s="1"/>
  <c r="BR53" i="19" s="1"/>
  <c r="BI54" i="21"/>
  <c r="EE55" i="21"/>
  <c r="DT57" i="19"/>
  <c r="AN56" i="19"/>
  <c r="DQ55" i="21"/>
  <c r="AK54" i="21"/>
  <c r="EB55" i="21"/>
  <c r="BF54" i="21"/>
  <c r="AO54" i="21"/>
  <c r="DU55" i="21"/>
  <c r="AL54" i="1"/>
  <c r="DR55" i="1"/>
  <c r="EE55" i="1"/>
  <c r="BI54" i="1"/>
  <c r="EC55" i="1"/>
  <c r="BG54" i="1"/>
  <c r="DQ56" i="1"/>
  <c r="AK55" i="1"/>
  <c r="AN54" i="1"/>
  <c r="DT55" i="1"/>
  <c r="BD54" i="1"/>
  <c r="DZ55" i="1"/>
  <c r="EA55" i="1"/>
  <c r="BE54" i="1"/>
  <c r="BM53" i="1"/>
  <c r="BQ53" i="1" s="1"/>
  <c r="BR53" i="1" s="1"/>
  <c r="AP54" i="1"/>
  <c r="DV55" i="1"/>
  <c r="DW55" i="1"/>
  <c r="AQ54" i="1"/>
  <c r="DU55" i="1"/>
  <c r="AO54" i="1"/>
  <c r="EG56" i="1"/>
  <c r="BK55" i="1"/>
  <c r="BJ56" i="1"/>
  <c r="EF57" i="1"/>
  <c r="BL54" i="1"/>
  <c r="EH55" i="1"/>
  <c r="BH54" i="1"/>
  <c r="ED55" i="1"/>
  <c r="DO55" i="1"/>
  <c r="AI54" i="1"/>
  <c r="C43" i="25"/>
  <c r="D43" i="23"/>
  <c r="BO54" i="1"/>
  <c r="EJ55" i="1"/>
  <c r="BC54" i="1"/>
  <c r="DY55" i="1"/>
  <c r="DR56" i="19"/>
  <c r="AL55" i="19"/>
  <c r="AQ54" i="19"/>
  <c r="DW55" i="19"/>
  <c r="BJ54" i="19"/>
  <c r="BM54" i="19" s="1"/>
  <c r="EF55" i="19"/>
  <c r="DV57" i="19"/>
  <c r="AP56" i="19"/>
  <c r="BL55" i="19"/>
  <c r="EH56" i="19"/>
  <c r="DZ56" i="19"/>
  <c r="BD55" i="19"/>
  <c r="BC55" i="19"/>
  <c r="DY56" i="19"/>
  <c r="AO54" i="19"/>
  <c r="DU55" i="19"/>
  <c r="BF55" i="19"/>
  <c r="EB56" i="19"/>
  <c r="AK54" i="19"/>
  <c r="DQ55" i="19"/>
  <c r="EJ56" i="19"/>
  <c r="BO55" i="19"/>
  <c r="BG56" i="19"/>
  <c r="EC57" i="19"/>
  <c r="EG57" i="19"/>
  <c r="BK56" i="19"/>
  <c r="AH54" i="1"/>
  <c r="DN55" i="1"/>
  <c r="BO56" i="21" l="1"/>
  <c r="EJ57" i="21"/>
  <c r="AN55" i="21"/>
  <c r="DT56" i="21"/>
  <c r="AM55" i="21"/>
  <c r="DS56" i="21"/>
  <c r="BC55" i="21"/>
  <c r="DY56" i="21"/>
  <c r="DS56" i="1"/>
  <c r="AM55" i="1"/>
  <c r="AJ55" i="1"/>
  <c r="DP56" i="1"/>
  <c r="AQ58" i="21"/>
  <c r="DW59" i="21"/>
  <c r="AQ59" i="21" s="1"/>
  <c r="AJ55" i="19"/>
  <c r="DP56" i="19"/>
  <c r="AH56" i="19"/>
  <c r="DN57" i="19"/>
  <c r="BG57" i="21"/>
  <c r="EC58" i="21"/>
  <c r="DO56" i="21"/>
  <c r="AI55" i="21"/>
  <c r="EE57" i="19"/>
  <c r="BI56" i="19"/>
  <c r="AM55" i="19"/>
  <c r="DS56" i="19"/>
  <c r="AN57" i="19"/>
  <c r="DT58" i="19"/>
  <c r="BF55" i="1"/>
  <c r="EB56" i="1"/>
  <c r="AI55" i="19"/>
  <c r="DO56" i="19"/>
  <c r="AR54" i="21"/>
  <c r="DX55" i="21"/>
  <c r="AJ55" i="21"/>
  <c r="DP56" i="21"/>
  <c r="BQ53" i="21"/>
  <c r="BR53" i="21" s="1"/>
  <c r="EG56" i="21"/>
  <c r="BK55" i="21"/>
  <c r="BM54" i="21"/>
  <c r="EI55" i="21"/>
  <c r="EA56" i="21"/>
  <c r="BE55" i="21"/>
  <c r="EE56" i="21"/>
  <c r="BI55" i="21"/>
  <c r="AO55" i="21"/>
  <c r="DU56" i="21"/>
  <c r="DV56" i="21"/>
  <c r="AP55" i="21"/>
  <c r="BF55" i="21"/>
  <c r="EB56" i="21"/>
  <c r="EH56" i="21"/>
  <c r="BL55" i="21"/>
  <c r="BH56" i="21"/>
  <c r="ED57" i="21"/>
  <c r="DR57" i="21"/>
  <c r="AL56" i="21"/>
  <c r="EA56" i="19"/>
  <c r="BE55" i="19"/>
  <c r="BM55" i="19" s="1"/>
  <c r="AH55" i="21"/>
  <c r="DN56" i="21"/>
  <c r="BJ58" i="21"/>
  <c r="EF59" i="21"/>
  <c r="BJ59" i="21" s="1"/>
  <c r="DZ59" i="21"/>
  <c r="BD59" i="21" s="1"/>
  <c r="BD58" i="21"/>
  <c r="DQ56" i="21"/>
  <c r="AK55" i="21"/>
  <c r="AR54" i="1"/>
  <c r="BM54" i="1"/>
  <c r="BL55" i="1"/>
  <c r="EH56" i="1"/>
  <c r="BJ57" i="1"/>
  <c r="EF58" i="1"/>
  <c r="AP55" i="1"/>
  <c r="DV56" i="1"/>
  <c r="DQ57" i="1"/>
  <c r="AK56" i="1"/>
  <c r="EE56" i="1"/>
  <c r="BI55" i="1"/>
  <c r="AI55" i="1"/>
  <c r="DO56" i="1"/>
  <c r="DU56" i="1"/>
  <c r="AO55" i="1"/>
  <c r="AN55" i="1"/>
  <c r="DT56" i="1"/>
  <c r="AL55" i="1"/>
  <c r="DR56" i="1"/>
  <c r="EG57" i="1"/>
  <c r="BK56" i="1"/>
  <c r="DW56" i="1"/>
  <c r="AQ55" i="1"/>
  <c r="BD55" i="1"/>
  <c r="DZ56" i="1"/>
  <c r="BH55" i="1"/>
  <c r="ED56" i="1"/>
  <c r="EA56" i="1"/>
  <c r="BE55" i="1"/>
  <c r="EC56" i="1"/>
  <c r="BG55" i="1"/>
  <c r="C11" i="24"/>
  <c r="B11" i="24" s="1"/>
  <c r="C7" i="24"/>
  <c r="B7" i="24" s="1"/>
  <c r="C14" i="24"/>
  <c r="B14" i="24" s="1"/>
  <c r="C8" i="24"/>
  <c r="B8" i="24" s="1"/>
  <c r="C13" i="24"/>
  <c r="B13" i="24" s="1"/>
  <c r="C9" i="24"/>
  <c r="B9" i="24" s="1"/>
  <c r="C12" i="24"/>
  <c r="B12" i="24" s="1"/>
  <c r="C10" i="24"/>
  <c r="B10" i="24" s="1"/>
  <c r="C15" i="24"/>
  <c r="B15" i="24" s="1"/>
  <c r="C6" i="24"/>
  <c r="B6" i="24" s="1"/>
  <c r="BQ54" i="1"/>
  <c r="BR54" i="1" s="1"/>
  <c r="BO55" i="1"/>
  <c r="EJ56" i="1"/>
  <c r="DY56" i="1"/>
  <c r="BC55" i="1"/>
  <c r="DR57" i="19"/>
  <c r="AL56" i="19"/>
  <c r="DW56" i="19"/>
  <c r="AQ55" i="19"/>
  <c r="AP57" i="19"/>
  <c r="DV58" i="19"/>
  <c r="BL56" i="19"/>
  <c r="EH57" i="19"/>
  <c r="EF56" i="19"/>
  <c r="BJ55" i="19"/>
  <c r="AK55" i="19"/>
  <c r="DQ56" i="19"/>
  <c r="AO55" i="19"/>
  <c r="DU56" i="19"/>
  <c r="AR54" i="19"/>
  <c r="EG58" i="19"/>
  <c r="BK57" i="19"/>
  <c r="EC58" i="19"/>
  <c r="BG57" i="19"/>
  <c r="BF56" i="19"/>
  <c r="EB57" i="19"/>
  <c r="DY57" i="19"/>
  <c r="BC56" i="19"/>
  <c r="BO56" i="19"/>
  <c r="EJ57" i="19"/>
  <c r="DZ57" i="19"/>
  <c r="BD56" i="19"/>
  <c r="AH55" i="1"/>
  <c r="DN56" i="1"/>
  <c r="EJ58" i="21" l="1"/>
  <c r="BO57" i="21"/>
  <c r="AN56" i="21"/>
  <c r="DT57" i="21"/>
  <c r="AM56" i="21"/>
  <c r="DS57" i="21"/>
  <c r="DY57" i="21"/>
  <c r="BC56" i="21"/>
  <c r="EH57" i="21"/>
  <c r="BL56" i="21"/>
  <c r="DO57" i="19"/>
  <c r="AI56" i="19"/>
  <c r="EC59" i="21"/>
  <c r="BG59" i="21" s="1"/>
  <c r="BG58" i="21"/>
  <c r="BE56" i="21"/>
  <c r="EA57" i="21"/>
  <c r="BF56" i="1"/>
  <c r="EB57" i="1"/>
  <c r="DN58" i="19"/>
  <c r="AH57" i="19"/>
  <c r="BQ54" i="19"/>
  <c r="BR54" i="19" s="1"/>
  <c r="DV57" i="21"/>
  <c r="AP56" i="21"/>
  <c r="DT59" i="19"/>
  <c r="AN59" i="19" s="1"/>
  <c r="AN58" i="19"/>
  <c r="AJ56" i="19"/>
  <c r="DP57" i="19"/>
  <c r="AO56" i="21"/>
  <c r="DU57" i="21"/>
  <c r="EA57" i="19"/>
  <c r="BE56" i="19"/>
  <c r="BK56" i="21"/>
  <c r="EG57" i="21"/>
  <c r="DS57" i="19"/>
  <c r="AM56" i="19"/>
  <c r="AL57" i="21"/>
  <c r="DR58" i="21"/>
  <c r="AJ56" i="21"/>
  <c r="DP57" i="21"/>
  <c r="DP57" i="1"/>
  <c r="AJ56" i="1"/>
  <c r="AH56" i="21"/>
  <c r="DN57" i="21"/>
  <c r="ED58" i="21"/>
  <c r="BH57" i="21"/>
  <c r="EE58" i="19"/>
  <c r="BI57" i="19"/>
  <c r="EI56" i="21"/>
  <c r="BM55" i="21"/>
  <c r="DQ57" i="21"/>
  <c r="AK56" i="21"/>
  <c r="BI56" i="21"/>
  <c r="EE57" i="21"/>
  <c r="DX56" i="21"/>
  <c r="AR55" i="21"/>
  <c r="BF56" i="21"/>
  <c r="EB57" i="21"/>
  <c r="BM55" i="1"/>
  <c r="BQ54" i="21"/>
  <c r="BR54" i="21" s="1"/>
  <c r="AI56" i="21"/>
  <c r="DO57" i="21"/>
  <c r="DS57" i="1"/>
  <c r="AM56" i="1"/>
  <c r="EC57" i="1"/>
  <c r="BG56" i="1"/>
  <c r="BD56" i="1"/>
  <c r="DZ57" i="1"/>
  <c r="AL56" i="1"/>
  <c r="DR57" i="1"/>
  <c r="AP56" i="1"/>
  <c r="DV57" i="1"/>
  <c r="BL56" i="1"/>
  <c r="EH57" i="1"/>
  <c r="DW57" i="1"/>
  <c r="AQ56" i="1"/>
  <c r="AK57" i="1"/>
  <c r="DQ58" i="1"/>
  <c r="EA57" i="1"/>
  <c r="BE56" i="1"/>
  <c r="EG58" i="1"/>
  <c r="BK57" i="1"/>
  <c r="DU57" i="1"/>
  <c r="AO56" i="1"/>
  <c r="EE57" i="1"/>
  <c r="BI56" i="1"/>
  <c r="AR55" i="1"/>
  <c r="BQ55" i="1" s="1"/>
  <c r="BR55" i="1" s="1"/>
  <c r="BH56" i="1"/>
  <c r="ED57" i="1"/>
  <c r="AN56" i="1"/>
  <c r="DT57" i="1"/>
  <c r="AI56" i="1"/>
  <c r="DO57" i="1"/>
  <c r="BJ58" i="1"/>
  <c r="EF59" i="1"/>
  <c r="BJ59" i="1" s="1"/>
  <c r="EJ57" i="1"/>
  <c r="BO56" i="1"/>
  <c r="BC56" i="1"/>
  <c r="DY57" i="1"/>
  <c r="DR58" i="19"/>
  <c r="AL57" i="19"/>
  <c r="AQ56" i="19"/>
  <c r="DW57" i="19"/>
  <c r="DV59" i="19"/>
  <c r="AP59" i="19" s="1"/>
  <c r="AP58" i="19"/>
  <c r="EF57" i="19"/>
  <c r="BJ56" i="19"/>
  <c r="BM56" i="19" s="1"/>
  <c r="EH58" i="19"/>
  <c r="BL57" i="19"/>
  <c r="BK58" i="19"/>
  <c r="EG59" i="19"/>
  <c r="BK59" i="19" s="1"/>
  <c r="DQ57" i="19"/>
  <c r="AK56" i="19"/>
  <c r="EC59" i="19"/>
  <c r="BG59" i="19" s="1"/>
  <c r="BG58" i="19"/>
  <c r="DU57" i="19"/>
  <c r="AO56" i="19"/>
  <c r="BD57" i="19"/>
  <c r="DZ58" i="19"/>
  <c r="DY58" i="19"/>
  <c r="BC57" i="19"/>
  <c r="EJ58" i="19"/>
  <c r="BO57" i="19"/>
  <c r="BF57" i="19"/>
  <c r="EB58" i="19"/>
  <c r="AR55" i="19"/>
  <c r="AH56" i="1"/>
  <c r="DN57" i="1"/>
  <c r="BO58" i="21" l="1"/>
  <c r="EJ59" i="21"/>
  <c r="BO59" i="21" s="1"/>
  <c r="DT58" i="21"/>
  <c r="AN57" i="21"/>
  <c r="AM57" i="21"/>
  <c r="DS58" i="21"/>
  <c r="DY58" i="21"/>
  <c r="BC57" i="21"/>
  <c r="AJ57" i="21"/>
  <c r="DP58" i="21"/>
  <c r="DU58" i="21"/>
  <c r="AO57" i="21"/>
  <c r="BF57" i="1"/>
  <c r="EB58" i="1"/>
  <c r="DO58" i="21"/>
  <c r="AI57" i="21"/>
  <c r="DP58" i="19"/>
  <c r="AJ57" i="19"/>
  <c r="EA58" i="21"/>
  <c r="BE57" i="21"/>
  <c r="AM57" i="1"/>
  <c r="DS58" i="1"/>
  <c r="BM56" i="21"/>
  <c r="EI57" i="21"/>
  <c r="DQ58" i="21"/>
  <c r="AK57" i="21"/>
  <c r="DR59" i="21"/>
  <c r="AL59" i="21" s="1"/>
  <c r="AL58" i="21"/>
  <c r="BI58" i="19"/>
  <c r="EE59" i="19"/>
  <c r="BI59" i="19" s="1"/>
  <c r="ED59" i="21"/>
  <c r="BH59" i="21" s="1"/>
  <c r="BH58" i="21"/>
  <c r="AP57" i="21"/>
  <c r="DV58" i="21"/>
  <c r="AI57" i="19"/>
  <c r="DO58" i="19"/>
  <c r="BQ55" i="21"/>
  <c r="BR55" i="21" s="1"/>
  <c r="DN58" i="21"/>
  <c r="AH57" i="21"/>
  <c r="BK57" i="21"/>
  <c r="EG58" i="21"/>
  <c r="DX57" i="21"/>
  <c r="AR56" i="21"/>
  <c r="BQ55" i="19"/>
  <c r="BR55" i="19" s="1"/>
  <c r="EE58" i="21"/>
  <c r="BI57" i="21"/>
  <c r="BF57" i="21"/>
  <c r="EB58" i="21"/>
  <c r="AM57" i="19"/>
  <c r="DS58" i="19"/>
  <c r="AJ57" i="1"/>
  <c r="DP58" i="1"/>
  <c r="EA58" i="19"/>
  <c r="BE57" i="19"/>
  <c r="DN59" i="19"/>
  <c r="AH59" i="19" s="1"/>
  <c r="AH58" i="19"/>
  <c r="EH58" i="21"/>
  <c r="BL57" i="21"/>
  <c r="AR56" i="1"/>
  <c r="BM56" i="1"/>
  <c r="AN57" i="1"/>
  <c r="DT58" i="1"/>
  <c r="DU58" i="1"/>
  <c r="AO57" i="1"/>
  <c r="EA58" i="1"/>
  <c r="BE57" i="1"/>
  <c r="DW58" i="1"/>
  <c r="AQ57" i="1"/>
  <c r="AP57" i="1"/>
  <c r="DV58" i="1"/>
  <c r="AK58" i="1"/>
  <c r="DQ59" i="1"/>
  <c r="AK59" i="1" s="1"/>
  <c r="BL57" i="1"/>
  <c r="EH58" i="1"/>
  <c r="AL57" i="1"/>
  <c r="DR58" i="1"/>
  <c r="BD57" i="1"/>
  <c r="DZ58" i="1"/>
  <c r="DO58" i="1"/>
  <c r="AI57" i="1"/>
  <c r="BH57" i="1"/>
  <c r="ED58" i="1"/>
  <c r="EE58" i="1"/>
  <c r="BI57" i="1"/>
  <c r="EG59" i="1"/>
  <c r="BK59" i="1" s="1"/>
  <c r="BK58" i="1"/>
  <c r="EC58" i="1"/>
  <c r="BG57" i="1"/>
  <c r="BQ56" i="1"/>
  <c r="BR56" i="1" s="1"/>
  <c r="BO57" i="1"/>
  <c r="EJ58" i="1"/>
  <c r="DY58" i="1"/>
  <c r="BC57" i="1"/>
  <c r="AL58" i="19"/>
  <c r="DR59" i="19"/>
  <c r="AL59" i="19" s="1"/>
  <c r="BL58" i="19"/>
  <c r="EH59" i="19"/>
  <c r="BL59" i="19" s="1"/>
  <c r="AR56" i="19"/>
  <c r="EF58" i="19"/>
  <c r="BJ57" i="19"/>
  <c r="DW58" i="19"/>
  <c r="AQ57" i="19"/>
  <c r="BD58" i="19"/>
  <c r="DZ59" i="19"/>
  <c r="BD59" i="19" s="1"/>
  <c r="BO58" i="19"/>
  <c r="EJ59" i="19"/>
  <c r="BO59" i="19" s="1"/>
  <c r="DQ58" i="19"/>
  <c r="AK57" i="19"/>
  <c r="EB59" i="19"/>
  <c r="BF59" i="19" s="1"/>
  <c r="BF58" i="19"/>
  <c r="BC58" i="19"/>
  <c r="DY59" i="19"/>
  <c r="BC59" i="19" s="1"/>
  <c r="DU58" i="19"/>
  <c r="AO57" i="19"/>
  <c r="AH57" i="1"/>
  <c r="DN58" i="1"/>
  <c r="AN58" i="21" l="1"/>
  <c r="DT59" i="21"/>
  <c r="AN59" i="21" s="1"/>
  <c r="AM58" i="21"/>
  <c r="DS59" i="21"/>
  <c r="AM59" i="21" s="1"/>
  <c r="BQ56" i="21"/>
  <c r="BR56" i="21" s="1"/>
  <c r="DY59" i="21"/>
  <c r="BC59" i="21" s="1"/>
  <c r="BC58" i="21"/>
  <c r="BK58" i="21"/>
  <c r="EG59" i="21"/>
  <c r="BK59" i="21" s="1"/>
  <c r="AJ58" i="19"/>
  <c r="DP59" i="19"/>
  <c r="AJ59" i="19" s="1"/>
  <c r="AR57" i="21"/>
  <c r="DX58" i="21"/>
  <c r="AM58" i="19"/>
  <c r="DS59" i="19"/>
  <c r="AM59" i="19" s="1"/>
  <c r="DO59" i="21"/>
  <c r="AI59" i="21" s="1"/>
  <c r="AI58" i="21"/>
  <c r="DP59" i="1"/>
  <c r="AJ59" i="1" s="1"/>
  <c r="AJ58" i="1"/>
  <c r="EB59" i="1"/>
  <c r="BF59" i="1" s="1"/>
  <c r="BF58" i="1"/>
  <c r="EA59" i="21"/>
  <c r="BE59" i="21" s="1"/>
  <c r="BE58" i="21"/>
  <c r="DQ59" i="21"/>
  <c r="AK59" i="21" s="1"/>
  <c r="AK58" i="21"/>
  <c r="BM57" i="19"/>
  <c r="DO59" i="19"/>
  <c r="AI59" i="19" s="1"/>
  <c r="AI58" i="19"/>
  <c r="EI58" i="21"/>
  <c r="BM57" i="21"/>
  <c r="EA59" i="19"/>
  <c r="BE59" i="19" s="1"/>
  <c r="BE58" i="19"/>
  <c r="AO58" i="21"/>
  <c r="DU59" i="21"/>
  <c r="AO59" i="21" s="1"/>
  <c r="AH58" i="21"/>
  <c r="DN59" i="21"/>
  <c r="AH59" i="21" s="1"/>
  <c r="EH59" i="21"/>
  <c r="BL59" i="21" s="1"/>
  <c r="BL58" i="21"/>
  <c r="EE59" i="21"/>
  <c r="BI59" i="21" s="1"/>
  <c r="BI58" i="21"/>
  <c r="DV59" i="21"/>
  <c r="AP59" i="21" s="1"/>
  <c r="AP58" i="21"/>
  <c r="AM58" i="1"/>
  <c r="DS59" i="1"/>
  <c r="AM59" i="1" s="1"/>
  <c r="DP59" i="21"/>
  <c r="AJ59" i="21" s="1"/>
  <c r="AJ58" i="21"/>
  <c r="BQ56" i="19"/>
  <c r="BR56" i="19" s="1"/>
  <c r="EB59" i="21"/>
  <c r="BF59" i="21" s="1"/>
  <c r="BF58" i="21"/>
  <c r="BD58" i="1"/>
  <c r="DZ59" i="1"/>
  <c r="BD59" i="1" s="1"/>
  <c r="BM57" i="1"/>
  <c r="EA59" i="1"/>
  <c r="BE59" i="1" s="1"/>
  <c r="BE58" i="1"/>
  <c r="BH58" i="1"/>
  <c r="ED59" i="1"/>
  <c r="BH59" i="1" s="1"/>
  <c r="BL58" i="1"/>
  <c r="EH59" i="1"/>
  <c r="BL59" i="1" s="1"/>
  <c r="AP58" i="1"/>
  <c r="DV59" i="1"/>
  <c r="AP59" i="1" s="1"/>
  <c r="AN58" i="1"/>
  <c r="DT59" i="1"/>
  <c r="AN59" i="1" s="1"/>
  <c r="AL58" i="1"/>
  <c r="DR59" i="1"/>
  <c r="AL59" i="1" s="1"/>
  <c r="AR57" i="1"/>
  <c r="EC59" i="1"/>
  <c r="BG59" i="1" s="1"/>
  <c r="BG58" i="1"/>
  <c r="EE59" i="1"/>
  <c r="BI59" i="1" s="1"/>
  <c r="BI58" i="1"/>
  <c r="DO59" i="1"/>
  <c r="AI59" i="1" s="1"/>
  <c r="AI58" i="1"/>
  <c r="DW59" i="1"/>
  <c r="AQ59" i="1" s="1"/>
  <c r="AQ58" i="1"/>
  <c r="DU59" i="1"/>
  <c r="AO59" i="1" s="1"/>
  <c r="AO58" i="1"/>
  <c r="BO58" i="1"/>
  <c r="EJ59" i="1"/>
  <c r="BO59" i="1" s="1"/>
  <c r="BC58" i="1"/>
  <c r="DY59" i="1"/>
  <c r="BC59" i="1" s="1"/>
  <c r="AR57" i="19"/>
  <c r="EF59" i="19"/>
  <c r="BJ59" i="19" s="1"/>
  <c r="BJ58" i="19"/>
  <c r="BM58" i="19" s="1"/>
  <c r="AQ58" i="19"/>
  <c r="DW59" i="19"/>
  <c r="AQ59" i="19" s="1"/>
  <c r="DU59" i="19"/>
  <c r="AO59" i="19" s="1"/>
  <c r="AO58" i="19"/>
  <c r="AK58" i="19"/>
  <c r="DQ59" i="19"/>
  <c r="AK59" i="19" s="1"/>
  <c r="AH58" i="1"/>
  <c r="DN59" i="1"/>
  <c r="AH59" i="1" s="1"/>
  <c r="AR59" i="1" l="1"/>
  <c r="AR58" i="21"/>
  <c r="DX59" i="21"/>
  <c r="AR59" i="21" s="1"/>
  <c r="BQ57" i="21"/>
  <c r="BR57" i="21" s="1"/>
  <c r="EI59" i="21"/>
  <c r="BM59" i="21" s="1"/>
  <c r="BM58" i="21"/>
  <c r="BQ57" i="1"/>
  <c r="BR57" i="1" s="1"/>
  <c r="BM59" i="19"/>
  <c r="BQ57" i="19"/>
  <c r="BR57" i="19" s="1"/>
  <c r="BM59" i="1"/>
  <c r="BQ59" i="1" s="1"/>
  <c r="BR59" i="1" s="1"/>
  <c r="BM58" i="1"/>
  <c r="AR58" i="1"/>
  <c r="BQ58" i="1" s="1"/>
  <c r="BR58" i="1" s="1"/>
  <c r="AR58" i="19"/>
  <c r="AR59" i="19"/>
  <c r="BQ59" i="21" l="1"/>
  <c r="BR59" i="21" s="1"/>
  <c r="BQ59" i="19"/>
  <c r="BR59" i="19" s="1"/>
  <c r="BQ58" i="19"/>
  <c r="BR58" i="19" s="1"/>
  <c r="BQ58" i="21"/>
  <c r="BR58" i="21" s="1"/>
  <c r="BS3" i="21" l="1"/>
  <c r="I4" i="14"/>
  <c r="BS3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S4" authorId="0" shapeId="0" xr:uid="{97A0F92E-B669-4342-98AB-D74E288B0C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ENTER DAY SCHEDULE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S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ENTER DAY SCHEDULE</t>
        </r>
      </text>
    </comment>
    <comment ref="C7" authorId="0" shapeId="0" xr:uid="{280A74E2-0040-4227-B0F7-5E8A91882C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INSERT DATES</t>
        </r>
      </text>
    </comment>
    <comment ref="X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date of activity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7" authorId="0" shapeId="0" xr:uid="{00000000-0006-0000-0200-000004000000}">
      <text>
        <r>
          <rPr>
            <sz val="9"/>
            <color indexed="81"/>
            <rFont val="Tahoma"/>
            <family val="2"/>
          </rPr>
          <t>date of activity</t>
        </r>
      </text>
    </comment>
    <comment ref="X9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Total number of items</t>
        </r>
      </text>
    </comment>
    <comment ref="AS9" authorId="0" shapeId="0" xr:uid="{00000000-0006-0000-0200-000006000000}">
      <text>
        <r>
          <rPr>
            <sz val="9"/>
            <color indexed="81"/>
            <rFont val="Tahoma"/>
            <family val="2"/>
          </rPr>
          <t xml:space="preserve">Insert total number of items
</t>
        </r>
      </text>
    </comment>
    <comment ref="BN9" authorId="0" shapeId="0" xr:uid="{00000000-0006-0000-0200-000007000000}">
      <text>
        <r>
          <rPr>
            <sz val="9"/>
            <color indexed="81"/>
            <rFont val="Tahoma"/>
            <family val="2"/>
          </rPr>
          <t>Total number of Items</t>
        </r>
      </text>
    </comment>
    <comment ref="BS11" authorId="0" shapeId="0" xr:uid="{00000000-0006-0000-0200-000008000000}">
      <text>
        <r>
          <rPr>
            <sz val="9"/>
            <color indexed="81"/>
            <rFont val="Tahoma"/>
            <family val="2"/>
          </rPr>
          <t xml:space="preserve"> additional remarks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INSERT DATES</t>
        </r>
      </text>
    </comment>
    <comment ref="X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date of activity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7" authorId="0" shapeId="0" xr:uid="{00000000-0006-0000-0300-000003000000}">
      <text>
        <r>
          <rPr>
            <sz val="9"/>
            <color indexed="81"/>
            <rFont val="Tahoma"/>
            <family val="2"/>
          </rPr>
          <t>date of activity</t>
        </r>
      </text>
    </comment>
    <comment ref="X9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Total number of items</t>
        </r>
      </text>
    </comment>
    <comment ref="AS9" authorId="0" shapeId="0" xr:uid="{00000000-0006-0000-0300-000005000000}">
      <text>
        <r>
          <rPr>
            <sz val="9"/>
            <color indexed="81"/>
            <rFont val="Tahoma"/>
            <family val="2"/>
          </rPr>
          <t xml:space="preserve">Insert total number of items
</t>
        </r>
      </text>
    </comment>
    <comment ref="BN9" authorId="0" shapeId="0" xr:uid="{00000000-0006-0000-0300-000006000000}">
      <text>
        <r>
          <rPr>
            <sz val="9"/>
            <color indexed="81"/>
            <rFont val="Tahoma"/>
            <family val="2"/>
          </rPr>
          <t>Total number of Items</t>
        </r>
      </text>
    </comment>
    <comment ref="BS11" authorId="0" shapeId="0" xr:uid="{00000000-0006-0000-0300-000007000000}">
      <text>
        <r>
          <rPr>
            <sz val="9"/>
            <color indexed="81"/>
            <rFont val="Tahoma"/>
            <family val="2"/>
          </rPr>
          <t xml:space="preserve"> additional remarks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ENTER NUMBER OF STUDENTS
</t>
        </r>
      </text>
    </comment>
  </commentList>
</comments>
</file>

<file path=xl/sharedStrings.xml><?xml version="1.0" encoding="utf-8"?>
<sst xmlns="http://schemas.openxmlformats.org/spreadsheetml/2006/main" count="1400" uniqueCount="237">
  <si>
    <t>NAME OF STUDENT</t>
  </si>
  <si>
    <t>ATTENDANCE</t>
  </si>
  <si>
    <t>EXAM</t>
  </si>
  <si>
    <t>ATTENDANCE %</t>
  </si>
  <si>
    <t>Q1</t>
  </si>
  <si>
    <t>Q2</t>
  </si>
  <si>
    <t>Q3</t>
  </si>
  <si>
    <t>Q4</t>
  </si>
  <si>
    <t>Q5</t>
  </si>
  <si>
    <t>P1</t>
  </si>
  <si>
    <t>P2</t>
  </si>
  <si>
    <t>P3</t>
  </si>
  <si>
    <t>Q6</t>
  </si>
  <si>
    <t>Q7</t>
  </si>
  <si>
    <t>Q8</t>
  </si>
  <si>
    <t>P4</t>
  </si>
  <si>
    <t>P5</t>
  </si>
  <si>
    <t>P6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</si>
  <si>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</si>
  <si>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</si>
  <si>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</si>
  <si>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</si>
  <si>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</si>
  <si>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</si>
  <si>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</si>
  <si>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</si>
  <si>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</si>
  <si>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</si>
  <si>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</si>
  <si>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</si>
  <si>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</si>
  <si>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</si>
  <si>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</si>
  <si>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</si>
  <si>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SUM(A)</t>
  </si>
  <si>
    <t>REMARKS</t>
  </si>
  <si>
    <t>QUIZZES</t>
  </si>
  <si>
    <t>AVERAGE</t>
  </si>
  <si>
    <t>AQ1</t>
  </si>
  <si>
    <t>AQ2</t>
  </si>
  <si>
    <t>AQ3</t>
  </si>
  <si>
    <t>AQ4</t>
  </si>
  <si>
    <t>AQ5</t>
  </si>
  <si>
    <t>AQ6</t>
  </si>
  <si>
    <t>AQ7</t>
  </si>
  <si>
    <t>AQ8</t>
  </si>
  <si>
    <t>AP1</t>
  </si>
  <si>
    <t>AP2</t>
  </si>
  <si>
    <t>AP3</t>
  </si>
  <si>
    <t>AP4</t>
  </si>
  <si>
    <t>AP5</t>
  </si>
  <si>
    <t>AP6</t>
  </si>
  <si>
    <t>FINAL GRADE</t>
  </si>
  <si>
    <t>FFG</t>
  </si>
  <si>
    <t>Q9</t>
  </si>
  <si>
    <t>Q10</t>
  </si>
  <si>
    <t>AQ9</t>
  </si>
  <si>
    <t>AQ10</t>
  </si>
  <si>
    <t>A17</t>
  </si>
  <si>
    <t>A18</t>
  </si>
  <si>
    <t>A19</t>
  </si>
  <si>
    <t>A20</t>
  </si>
  <si>
    <t>P7</t>
  </si>
  <si>
    <t>P8</t>
  </si>
  <si>
    <t>P9</t>
  </si>
  <si>
    <t>P10</t>
  </si>
  <si>
    <t>AP7</t>
  </si>
  <si>
    <t>AP8</t>
  </si>
  <si>
    <t>AP9</t>
  </si>
  <si>
    <t>AP10</t>
  </si>
  <si>
    <t>MG</t>
  </si>
  <si>
    <t>EG</t>
  </si>
  <si>
    <t>STATUS</t>
  </si>
  <si>
    <t>ST. JOHN PAUL COLLEGE OF DAVAO</t>
  </si>
  <si>
    <t>Ecoland Drive, Matina, Davao City</t>
  </si>
  <si>
    <t>Offer Code</t>
  </si>
  <si>
    <t>Subject Code</t>
  </si>
  <si>
    <t>Academic Year</t>
  </si>
  <si>
    <t>Semester</t>
  </si>
  <si>
    <t>Description</t>
  </si>
  <si>
    <t>Name of Student</t>
  </si>
  <si>
    <t>Midterm</t>
  </si>
  <si>
    <t>Submitted by:</t>
  </si>
  <si>
    <t>Instructor</t>
  </si>
  <si>
    <t>Checked and Verified by: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</si>
  <si>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</si>
  <si>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</si>
  <si>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</si>
  <si>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</si>
  <si>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</si>
  <si>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</si>
  <si>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</si>
  <si>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</si>
  <si>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</si>
  <si>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</si>
  <si>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</si>
  <si>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</si>
  <si>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</si>
  <si>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</si>
  <si>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</si>
  <si>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</si>
  <si>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</si>
  <si>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</si>
  <si>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</si>
  <si>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</si>
  <si>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LSUM</t>
  </si>
  <si>
    <t>AVE</t>
  </si>
  <si>
    <t>ST. JOHN PAUL II COLLEGE OF DAVAO</t>
  </si>
  <si>
    <t>SUBJECT CODE    :</t>
  </si>
  <si>
    <t>OFFER CODE         :</t>
  </si>
  <si>
    <t>SUBJECT DESCRIPTION</t>
  </si>
  <si>
    <t>TIME    :</t>
  </si>
  <si>
    <t>DAY      :</t>
  </si>
  <si>
    <t>SUBJECT CODE     :</t>
  </si>
  <si>
    <t>DESCRITION</t>
  </si>
  <si>
    <t>Final</t>
  </si>
  <si>
    <t>TIME</t>
  </si>
  <si>
    <t>DAY</t>
  </si>
  <si>
    <t>:</t>
  </si>
  <si>
    <t>SEM</t>
  </si>
  <si>
    <t>.</t>
  </si>
  <si>
    <t>Program Head, CBA</t>
  </si>
  <si>
    <t>DANEVE S. OBERO</t>
  </si>
  <si>
    <t>Date Submitted:</t>
  </si>
  <si>
    <t>Department</t>
  </si>
  <si>
    <t>COLLEGE OF BUSINESS ADMINISTRATION</t>
  </si>
  <si>
    <t>FG</t>
  </si>
  <si>
    <t>LEARNING ACTIVITIES</t>
  </si>
  <si>
    <t>Name of the students</t>
  </si>
  <si>
    <t>No.</t>
  </si>
  <si>
    <t>ID number</t>
  </si>
  <si>
    <t>PRELIM</t>
  </si>
  <si>
    <t>MIDTERM</t>
  </si>
  <si>
    <t>FINALS</t>
  </si>
  <si>
    <t>GRADES</t>
  </si>
  <si>
    <t>PERMIT</t>
  </si>
  <si>
    <t>Student's Name</t>
  </si>
  <si>
    <t>ID no.</t>
  </si>
  <si>
    <t>NO.</t>
  </si>
  <si>
    <t>NAME</t>
  </si>
  <si>
    <t>Grades (do not Send)</t>
  </si>
  <si>
    <t>Finals</t>
  </si>
  <si>
    <t>Class Type</t>
  </si>
  <si>
    <t>1st Sem</t>
  </si>
  <si>
    <t>DROPPED?</t>
  </si>
  <si>
    <t>JINGLE MARIE AMAGO ,LPT ,MBA</t>
  </si>
  <si>
    <t>ABSENT LIMIT</t>
  </si>
  <si>
    <t>ABSENCES/LATE</t>
  </si>
  <si>
    <t>T. ABSENT</t>
  </si>
  <si>
    <t>CONVERTED LATE TO ABSENT</t>
  </si>
  <si>
    <t>LATE</t>
  </si>
  <si>
    <t>Regular</t>
  </si>
  <si>
    <t>RICALDE</t>
  </si>
  <si>
    <t>BENITO</t>
  </si>
  <si>
    <t>MORA</t>
  </si>
  <si>
    <t>MAITIM</t>
  </si>
  <si>
    <t>VELASCO</t>
  </si>
  <si>
    <t>TIMUAY</t>
  </si>
  <si>
    <t>VENERACION</t>
  </si>
  <si>
    <t>ROJAS</t>
  </si>
  <si>
    <t>SILPAO</t>
  </si>
  <si>
    <t>VILLAVER</t>
  </si>
  <si>
    <t>LAIDAN</t>
  </si>
  <si>
    <t>MAINAR</t>
  </si>
  <si>
    <t>GUEVARRA</t>
  </si>
  <si>
    <t>AUTIDA</t>
  </si>
  <si>
    <t>MORALES</t>
  </si>
  <si>
    <t>BESTUDIO</t>
  </si>
  <si>
    <t>ALLOSO</t>
  </si>
  <si>
    <t>PAT</t>
  </si>
  <si>
    <t>DELEGUER</t>
  </si>
  <si>
    <t>LAPICEROS</t>
  </si>
  <si>
    <t>MENDEZ</t>
  </si>
  <si>
    <t>AIDAROS</t>
  </si>
  <si>
    <t>ALILI</t>
  </si>
  <si>
    <t>NARAGA</t>
  </si>
  <si>
    <t>MALILA</t>
  </si>
  <si>
    <t>BONGGALON</t>
  </si>
  <si>
    <t>LAGUROS</t>
  </si>
  <si>
    <t>ONGQUE</t>
  </si>
  <si>
    <t>LIBOT</t>
  </si>
  <si>
    <t>SAMLING</t>
  </si>
  <si>
    <t>CABANIG</t>
  </si>
  <si>
    <t>HERNANDEZ</t>
  </si>
  <si>
    <t>SAPIO</t>
  </si>
  <si>
    <t>VERGARA</t>
  </si>
  <si>
    <t>LAGUIDAN</t>
  </si>
  <si>
    <t>ESPINO</t>
  </si>
  <si>
    <t>GUTIERREZ</t>
  </si>
  <si>
    <t>LASTNAME</t>
  </si>
  <si>
    <t>P</t>
  </si>
  <si>
    <t>AIDAROS, ANALIE B.</t>
  </si>
  <si>
    <t>ALILI, JAIDE LOU D.</t>
  </si>
  <si>
    <t>ALLOSO, RICHELLE MAE</t>
  </si>
  <si>
    <t>AUTIDA, MHARK ANGELOU E.</t>
  </si>
  <si>
    <t>BENITO, FADEL C.</t>
  </si>
  <si>
    <t>BESTUDIO, JERBY BRIX T.</t>
  </si>
  <si>
    <t>BONGGALON, ROSELYN M.</t>
  </si>
  <si>
    <t>CABANIG, JOYCE D.</t>
  </si>
  <si>
    <t>DELEGUER JR., WYNIEL M.</t>
  </si>
  <si>
    <t>ESPINO, PRINCESS GAIL A.</t>
  </si>
  <si>
    <t>GUEVARRA, HERLAN ARC JOHNSON C.</t>
  </si>
  <si>
    <t>GUTIERREZ, MILLECENT SHYNE C.</t>
  </si>
  <si>
    <t>HERNANDEZ, ANGEL JEAN A</t>
  </si>
  <si>
    <t>LAGUIDAN, PRINCESS JEAN A.</t>
  </si>
  <si>
    <t>LAGUROS, LYKA A.</t>
  </si>
  <si>
    <t>LAIDAN, JOSEPH G.</t>
  </si>
  <si>
    <t>LAPICEROS, ELVIE V.</t>
  </si>
  <si>
    <t>LIBOT, MARK ANTHONY A.</t>
  </si>
  <si>
    <t>MAINAR, MADEL V.</t>
  </si>
  <si>
    <t>MAITIM, SALVE ANN RUTH E</t>
  </si>
  <si>
    <t>MALILA, EMMA MAE B.</t>
  </si>
  <si>
    <t>MENDEZ, SHYZIEL C.</t>
  </si>
  <si>
    <t>MORA, CLAURENCE  C.</t>
  </si>
  <si>
    <t>MORALES, JANE MANELYN C.</t>
  </si>
  <si>
    <t>NARAGA,  JHAMAICA R.</t>
  </si>
  <si>
    <t>ONGQUE, CHERRY A.</t>
  </si>
  <si>
    <t>PAT, APRIL JANE L.</t>
  </si>
  <si>
    <t>RICALDE, HARVEY C.</t>
  </si>
  <si>
    <t>ROJAS, CYREL KEN L.</t>
  </si>
  <si>
    <t>SAMLING, GHEZERIE C.</t>
  </si>
  <si>
    <t>SAPIO, DIETHER E.</t>
  </si>
  <si>
    <t>SILPAO, JHON CHRISTIAN G.</t>
  </si>
  <si>
    <t>TIMUAY, JUVY MAE T</t>
  </si>
  <si>
    <t>VELASCO, SHYRA BABES C.</t>
  </si>
  <si>
    <t>VENERACION, PRINCESS P.</t>
  </si>
  <si>
    <t>VERGARA, RAYAN JAY M.</t>
  </si>
  <si>
    <t>VILLAVER, JEHAN CEDRIC G.</t>
  </si>
  <si>
    <t>A</t>
  </si>
  <si>
    <t>2506A</t>
  </si>
  <si>
    <t>SUMMER</t>
  </si>
  <si>
    <t>2024-2025</t>
  </si>
  <si>
    <t>BACC104</t>
  </si>
  <si>
    <t>INTERNATIONAL BUSINESS AND TRADE</t>
  </si>
  <si>
    <t>2506B</t>
  </si>
  <si>
    <t>SKIP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</si>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</sst>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6"/>
      <color indexed="8"/>
      <name val="Calibri"/>
      <family val="2"/>
    </font>
    <font>
      <sz val="7"/>
      <color indexed="8"/>
      <name val="Calibri"/>
      <family val="2"/>
    </font>
    <font>
      <sz val="7"/>
      <name val="Calibri"/>
      <family val="2"/>
    </font>
    <font>
      <b/>
      <sz val="7"/>
      <color indexed="8"/>
      <name val="Calibri"/>
      <family val="2"/>
    </font>
    <font>
      <sz val="7"/>
      <color indexed="10"/>
      <name val="Calibri"/>
      <family val="2"/>
    </font>
    <font>
      <sz val="7"/>
      <color indexed="13"/>
      <name val="Calibri"/>
      <family val="2"/>
    </font>
    <font>
      <sz val="7"/>
      <color indexed="17"/>
      <name val="Calibri"/>
      <family val="2"/>
    </font>
    <font>
      <u/>
      <sz val="12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Aptos"/>
      <family val="2"/>
    </font>
    <font>
      <sz val="11"/>
      <color rgb="FF000000"/>
      <name val="Calibri"/>
      <family val="2"/>
    </font>
    <font>
      <sz val="8"/>
      <color indexed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4">
    <xf numFmtId="0" fontId="0" fillId="0" borderId="0" xfId="0"/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3" fillId="0" borderId="0" xfId="0" applyNumberFormat="1" applyFont="1" applyProtection="1"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/>
      <protection hidden="1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2" fontId="4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left" vertical="center" shrinkToFit="1"/>
      <protection hidden="1"/>
    </xf>
    <xf numFmtId="2" fontId="6" fillId="0" borderId="0" xfId="0" applyNumberFormat="1" applyFont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shrinkToFit="1"/>
      <protection hidden="1"/>
    </xf>
    <xf numFmtId="0" fontId="6" fillId="2" borderId="2" xfId="0" applyFont="1" applyFill="1" applyBorder="1" applyAlignment="1" applyProtection="1">
      <alignment horizontal="center" vertical="center" shrinkToFit="1"/>
      <protection hidden="1"/>
    </xf>
    <xf numFmtId="0" fontId="6" fillId="2" borderId="3" xfId="0" applyFont="1" applyFill="1" applyBorder="1" applyAlignment="1" applyProtection="1">
      <alignment horizontal="center" vertical="center" shrinkToFit="1"/>
      <protection hidden="1"/>
    </xf>
    <xf numFmtId="0" fontId="6" fillId="3" borderId="2" xfId="0" applyFont="1" applyFill="1" applyBorder="1" applyAlignment="1" applyProtection="1">
      <alignment horizontal="center" vertical="center" shrinkToFit="1"/>
      <protection hidden="1"/>
    </xf>
    <xf numFmtId="0" fontId="6" fillId="3" borderId="3" xfId="0" applyFont="1" applyFill="1" applyBorder="1" applyAlignment="1" applyProtection="1">
      <alignment horizontal="center" vertical="center" shrinkToFit="1"/>
      <protection hidden="1"/>
    </xf>
    <xf numFmtId="0" fontId="6" fillId="4" borderId="1" xfId="0" applyFont="1" applyFill="1" applyBorder="1" applyAlignment="1" applyProtection="1">
      <alignment horizontal="center" vertical="center" shrinkToFit="1"/>
      <protection hidden="1"/>
    </xf>
    <xf numFmtId="0" fontId="6" fillId="5" borderId="3" xfId="0" applyFont="1" applyFill="1" applyBorder="1" applyAlignment="1" applyProtection="1">
      <alignment horizontal="center" vertical="center" shrinkToFit="1"/>
      <protection hidden="1"/>
    </xf>
    <xf numFmtId="0" fontId="6" fillId="5" borderId="1" xfId="0" applyFont="1" applyFill="1" applyBorder="1" applyAlignment="1" applyProtection="1">
      <alignment horizontal="center" vertical="center" shrinkToFit="1"/>
      <protection hidden="1"/>
    </xf>
    <xf numFmtId="0" fontId="6" fillId="0" borderId="1" xfId="0" applyFont="1" applyBorder="1" applyAlignment="1" applyProtection="1">
      <alignment horizontal="center" vertical="center" shrinkToFit="1"/>
      <protection hidden="1"/>
    </xf>
    <xf numFmtId="0" fontId="6" fillId="0" borderId="1" xfId="0" applyFont="1" applyBorder="1" applyAlignment="1" applyProtection="1">
      <alignment horizontal="center" vertical="center" textRotation="90" shrinkToFit="1"/>
      <protection locked="0"/>
    </xf>
    <xf numFmtId="16" fontId="6" fillId="0" borderId="1" xfId="0" applyNumberFormat="1" applyFont="1" applyBorder="1" applyAlignment="1" applyProtection="1">
      <alignment horizontal="center" vertical="center" textRotation="90" shrinkToFit="1"/>
      <protection locked="0"/>
    </xf>
    <xf numFmtId="0" fontId="6" fillId="2" borderId="1" xfId="0" applyFont="1" applyFill="1" applyBorder="1" applyAlignment="1" applyProtection="1">
      <alignment horizontal="center" vertical="center" textRotation="90" shrinkToFit="1"/>
      <protection hidden="1"/>
    </xf>
    <xf numFmtId="0" fontId="6" fillId="3" borderId="1" xfId="0" applyFont="1" applyFill="1" applyBorder="1" applyAlignment="1" applyProtection="1">
      <alignment horizontal="center" vertical="center" shrinkToFit="1"/>
      <protection hidden="1"/>
    </xf>
    <xf numFmtId="2" fontId="6" fillId="2" borderId="1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3" borderId="1" xfId="0" applyNumberFormat="1" applyFont="1" applyFill="1" applyBorder="1" applyAlignment="1" applyProtection="1">
      <alignment horizontal="center" vertical="center" textRotation="90" shrinkToFit="1"/>
      <protection hidden="1"/>
    </xf>
    <xf numFmtId="0" fontId="8" fillId="8" borderId="1" xfId="0" applyFont="1" applyFill="1" applyBorder="1" applyAlignment="1" applyProtection="1">
      <alignment horizontal="center" vertical="center" shrinkToFit="1"/>
      <protection locked="0"/>
    </xf>
    <xf numFmtId="0" fontId="9" fillId="7" borderId="1" xfId="0" applyFont="1" applyFill="1" applyBorder="1" applyAlignment="1" applyProtection="1">
      <alignment horizontal="center" vertical="center" shrinkToFit="1"/>
      <protection hidden="1"/>
    </xf>
    <xf numFmtId="0" fontId="10" fillId="2" borderId="1" xfId="0" applyFont="1" applyFill="1" applyBorder="1" applyAlignment="1" applyProtection="1">
      <alignment horizontal="center" vertical="center" shrinkToFit="1"/>
      <protection hidden="1"/>
    </xf>
    <xf numFmtId="0" fontId="8" fillId="9" borderId="1" xfId="0" applyFont="1" applyFill="1" applyBorder="1" applyAlignment="1" applyProtection="1">
      <alignment horizontal="center" vertical="center" shrinkToFit="1"/>
      <protection locked="0"/>
    </xf>
    <xf numFmtId="0" fontId="11" fillId="3" borderId="1" xfId="0" applyFont="1" applyFill="1" applyBorder="1" applyAlignment="1" applyProtection="1">
      <alignment horizontal="center" vertical="center" shrinkToFit="1"/>
      <protection hidden="1"/>
    </xf>
    <xf numFmtId="0" fontId="8" fillId="10" borderId="1" xfId="0" applyFont="1" applyFill="1" applyBorder="1" applyAlignment="1" applyProtection="1">
      <alignment horizontal="center" vertical="center" shrinkToFit="1"/>
      <protection locked="0"/>
    </xf>
    <xf numFmtId="0" fontId="6" fillId="2" borderId="1" xfId="0" applyFont="1" applyFill="1" applyBorder="1" applyAlignment="1" applyProtection="1">
      <alignment horizontal="center" vertical="center" shrinkToFit="1"/>
      <protection hidden="1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horizontal="center" vertical="center" shrinkToFit="1"/>
      <protection locked="0"/>
    </xf>
    <xf numFmtId="2" fontId="6" fillId="11" borderId="1" xfId="0" applyNumberFormat="1" applyFont="1" applyFill="1" applyBorder="1" applyAlignment="1" applyProtection="1">
      <alignment horizontal="center" vertical="center" shrinkToFit="1"/>
      <protection hidden="1"/>
    </xf>
    <xf numFmtId="2" fontId="6" fillId="8" borderId="1" xfId="0" applyNumberFormat="1" applyFont="1" applyFill="1" applyBorder="1" applyAlignment="1" applyProtection="1">
      <alignment horizontal="center" vertical="center" shrinkToFit="1"/>
      <protection hidden="1"/>
    </xf>
    <xf numFmtId="2" fontId="6" fillId="2" borderId="1" xfId="0" applyNumberFormat="1" applyFont="1" applyFill="1" applyBorder="1" applyAlignment="1" applyProtection="1">
      <alignment horizontal="center" vertical="center" shrinkToFit="1"/>
      <protection hidden="1"/>
    </xf>
    <xf numFmtId="2" fontId="6" fillId="9" borderId="1" xfId="0" applyNumberFormat="1" applyFont="1" applyFill="1" applyBorder="1" applyAlignment="1" applyProtection="1">
      <alignment horizontal="center" vertical="center" shrinkToFit="1"/>
      <protection hidden="1"/>
    </xf>
    <xf numFmtId="2" fontId="6" fillId="3" borderId="1" xfId="0" applyNumberFormat="1" applyFont="1" applyFill="1" applyBorder="1" applyAlignment="1" applyProtection="1">
      <alignment horizontal="center" vertical="center" shrinkToFit="1"/>
      <protection hidden="1"/>
    </xf>
    <xf numFmtId="2" fontId="6" fillId="12" borderId="1" xfId="0" applyNumberFormat="1" applyFont="1" applyFill="1" applyBorder="1" applyAlignment="1" applyProtection="1">
      <alignment horizontal="center" vertical="center" shrinkToFit="1"/>
      <protection hidden="1"/>
    </xf>
    <xf numFmtId="0" fontId="6" fillId="13" borderId="1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Alignment="1" applyProtection="1">
      <alignment horizontal="center" vertical="center" shrinkToFit="1"/>
      <protection locked="0"/>
    </xf>
    <xf numFmtId="2" fontId="6" fillId="11" borderId="0" xfId="0" applyNumberFormat="1" applyFont="1" applyFill="1" applyAlignment="1" applyProtection="1">
      <alignment horizontal="center" vertical="center" shrinkToFit="1"/>
      <protection hidden="1"/>
    </xf>
    <xf numFmtId="2" fontId="6" fillId="2" borderId="0" xfId="0" applyNumberFormat="1" applyFont="1" applyFill="1" applyAlignment="1" applyProtection="1">
      <alignment horizontal="center" vertical="center" shrinkToFit="1"/>
      <protection hidden="1"/>
    </xf>
    <xf numFmtId="0" fontId="6" fillId="5" borderId="0" xfId="0" applyFont="1" applyFill="1" applyAlignment="1" applyProtection="1">
      <alignment horizontal="center" vertical="center" shrinkToFit="1"/>
      <protection hidden="1"/>
    </xf>
    <xf numFmtId="0" fontId="6" fillId="14" borderId="1" xfId="0" applyFont="1" applyFill="1" applyBorder="1" applyAlignment="1" applyProtection="1">
      <alignment horizontal="left" vertical="center" shrinkToFit="1"/>
      <protection locked="0"/>
    </xf>
    <xf numFmtId="0" fontId="6" fillId="0" borderId="0" xfId="0" applyFont="1" applyProtection="1"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 wrapText="1"/>
      <protection hidden="1"/>
    </xf>
    <xf numFmtId="0" fontId="6" fillId="9" borderId="1" xfId="0" applyFont="1" applyFill="1" applyBorder="1" applyAlignment="1" applyProtection="1">
      <alignment horizontal="center" vertical="center" textRotation="90"/>
      <protection hidden="1"/>
    </xf>
    <xf numFmtId="0" fontId="6" fillId="4" borderId="1" xfId="0" applyFont="1" applyFill="1" applyBorder="1" applyAlignment="1" applyProtection="1">
      <alignment horizontal="center" vertical="center" textRotation="90"/>
      <protection hidden="1"/>
    </xf>
    <xf numFmtId="0" fontId="6" fillId="15" borderId="1" xfId="0" applyFont="1" applyFill="1" applyBorder="1" applyAlignment="1" applyProtection="1">
      <alignment horizontal="center" vertical="center" textRotation="90"/>
      <protection hidden="1"/>
    </xf>
    <xf numFmtId="0" fontId="6" fillId="2" borderId="1" xfId="0" applyFont="1" applyFill="1" applyBorder="1" applyAlignment="1" applyProtection="1">
      <alignment horizontal="center" vertical="center" textRotation="90"/>
      <protection hidden="1"/>
    </xf>
    <xf numFmtId="0" fontId="6" fillId="14" borderId="1" xfId="0" applyFont="1" applyFill="1" applyBorder="1" applyProtection="1">
      <protection hidden="1"/>
    </xf>
    <xf numFmtId="2" fontId="6" fillId="0" borderId="1" xfId="0" applyNumberFormat="1" applyFont="1" applyBorder="1" applyAlignment="1" applyProtection="1">
      <alignment horizontal="center" vertical="center"/>
      <protection hidden="1"/>
    </xf>
    <xf numFmtId="0" fontId="6" fillId="4" borderId="1" xfId="0" applyFont="1" applyFill="1" applyBorder="1" applyProtection="1">
      <protection hidden="1"/>
    </xf>
    <xf numFmtId="0" fontId="6" fillId="0" borderId="1" xfId="0" applyFont="1" applyBorder="1" applyAlignment="1" applyProtection="1">
      <alignment horizontal="center"/>
      <protection hidden="1"/>
    </xf>
    <xf numFmtId="164" fontId="6" fillId="0" borderId="1" xfId="0" applyNumberFormat="1" applyFont="1" applyBorder="1" applyAlignment="1" applyProtection="1">
      <alignment horizontal="center"/>
      <protection hidden="1"/>
    </xf>
    <xf numFmtId="0" fontId="6" fillId="13" borderId="1" xfId="0" applyFont="1" applyFill="1" applyBorder="1" applyProtection="1">
      <protection locked="0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1" xfId="0" quotePrefix="1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0" fillId="0" borderId="0" xfId="0" applyAlignment="1">
      <alignment horizontal="center"/>
    </xf>
    <xf numFmtId="0" fontId="0" fillId="0" borderId="1" xfId="0" applyBorder="1"/>
    <xf numFmtId="0" fontId="13" fillId="0" borderId="6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2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3" fillId="0" borderId="10" xfId="0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0" fillId="0" borderId="17" xfId="0" applyBorder="1"/>
    <xf numFmtId="2" fontId="0" fillId="0" borderId="18" xfId="0" applyNumberFormat="1" applyBorder="1"/>
    <xf numFmtId="0" fontId="0" fillId="0" borderId="12" xfId="0" applyBorder="1"/>
    <xf numFmtId="0" fontId="0" fillId="0" borderId="13" xfId="0" applyBorder="1"/>
    <xf numFmtId="2" fontId="0" fillId="0" borderId="14" xfId="0" applyNumberFormat="1" applyBorder="1"/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/>
    <xf numFmtId="0" fontId="0" fillId="0" borderId="24" xfId="0" applyBorder="1" applyAlignment="1">
      <alignment horizontal="center" vertical="center"/>
    </xf>
    <xf numFmtId="0" fontId="0" fillId="0" borderId="25" xfId="0" applyBorder="1"/>
    <xf numFmtId="0" fontId="0" fillId="0" borderId="26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/>
    <xf numFmtId="0" fontId="0" fillId="0" borderId="21" xfId="0" applyBorder="1"/>
    <xf numFmtId="0" fontId="0" fillId="0" borderId="5" xfId="0" applyBorder="1"/>
    <xf numFmtId="0" fontId="0" fillId="0" borderId="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0" xfId="0" applyBorder="1" applyProtection="1">
      <protection locked="0"/>
    </xf>
    <xf numFmtId="0" fontId="14" fillId="0" borderId="41" xfId="0" applyFont="1" applyBorder="1" applyAlignment="1">
      <alignment horizontal="center" vertical="center"/>
    </xf>
    <xf numFmtId="0" fontId="13" fillId="0" borderId="30" xfId="0" applyFont="1" applyBorder="1" applyProtection="1">
      <protection locked="0"/>
    </xf>
    <xf numFmtId="0" fontId="13" fillId="0" borderId="33" xfId="0" applyFont="1" applyBorder="1" applyProtection="1">
      <protection locked="0"/>
    </xf>
    <xf numFmtId="0" fontId="13" fillId="0" borderId="33" xfId="0" applyFont="1" applyBorder="1"/>
    <xf numFmtId="0" fontId="15" fillId="0" borderId="31" xfId="0" applyFont="1" applyBorder="1"/>
    <xf numFmtId="0" fontId="13" fillId="0" borderId="25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5" fillId="0" borderId="0" xfId="0" applyFont="1"/>
    <xf numFmtId="0" fontId="14" fillId="0" borderId="0" xfId="0" applyFont="1" applyAlignment="1">
      <alignment horizontal="center" vertical="center"/>
    </xf>
    <xf numFmtId="0" fontId="0" fillId="0" borderId="28" xfId="0" applyBorder="1" applyProtection="1">
      <protection locked="0"/>
    </xf>
    <xf numFmtId="0" fontId="8" fillId="0" borderId="0" xfId="0" applyFont="1" applyAlignment="1" applyProtection="1">
      <alignment horizontal="left" vertical="center" shrinkToFit="1"/>
      <protection hidden="1"/>
    </xf>
    <xf numFmtId="0" fontId="8" fillId="0" borderId="0" xfId="0" applyFont="1" applyAlignment="1" applyProtection="1">
      <alignment horizontal="right" vertical="center" shrinkToFit="1"/>
      <protection hidden="1"/>
    </xf>
    <xf numFmtId="0" fontId="0" fillId="0" borderId="2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16" fontId="6" fillId="0" borderId="0" xfId="0" applyNumberFormat="1" applyFont="1" applyAlignment="1" applyProtection="1">
      <alignment horizontal="center" vertical="center" shrinkToFit="1"/>
      <protection locked="0"/>
    </xf>
    <xf numFmtId="0" fontId="7" fillId="7" borderId="1" xfId="0" applyFont="1" applyFill="1" applyBorder="1" applyAlignment="1" applyProtection="1">
      <alignment horizontal="center" vertical="center" shrinkToFit="1"/>
      <protection locked="0"/>
    </xf>
    <xf numFmtId="0" fontId="6" fillId="6" borderId="1" xfId="0" applyFont="1" applyFill="1" applyBorder="1" applyAlignment="1" applyProtection="1">
      <alignment horizontal="center" vertical="center" textRotation="90" shrinkToFit="1"/>
      <protection locked="0"/>
    </xf>
    <xf numFmtId="0" fontId="13" fillId="0" borderId="42" xfId="0" applyFont="1" applyBorder="1" applyAlignment="1">
      <alignment horizontal="center" vertical="center"/>
    </xf>
    <xf numFmtId="0" fontId="0" fillId="0" borderId="28" xfId="0" applyBorder="1"/>
    <xf numFmtId="0" fontId="0" fillId="0" borderId="19" xfId="0" applyBorder="1"/>
    <xf numFmtId="0" fontId="0" fillId="0" borderId="43" xfId="0" applyBorder="1"/>
    <xf numFmtId="0" fontId="0" fillId="0" borderId="23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3" fillId="17" borderId="25" xfId="0" applyFont="1" applyFill="1" applyBorder="1" applyAlignment="1">
      <alignment horizontal="center" vertical="center"/>
    </xf>
    <xf numFmtId="0" fontId="13" fillId="17" borderId="26" xfId="0" applyFont="1" applyFill="1" applyBorder="1" applyAlignment="1">
      <alignment horizontal="center" vertical="center"/>
    </xf>
    <xf numFmtId="0" fontId="0" fillId="17" borderId="23" xfId="0" applyFill="1" applyBorder="1" applyAlignment="1">
      <alignment horizontal="center" vertical="center"/>
    </xf>
    <xf numFmtId="0" fontId="0" fillId="17" borderId="24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7" borderId="18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13" fillId="18" borderId="25" xfId="0" applyFont="1" applyFill="1" applyBorder="1" applyAlignment="1">
      <alignment horizontal="center" vertical="center"/>
    </xf>
    <xf numFmtId="0" fontId="13" fillId="18" borderId="26" xfId="0" applyFont="1" applyFill="1" applyBorder="1" applyAlignment="1">
      <alignment horizontal="center" vertical="center"/>
    </xf>
    <xf numFmtId="0" fontId="0" fillId="18" borderId="23" xfId="0" applyFill="1" applyBorder="1" applyAlignment="1">
      <alignment horizontal="center" vertical="center"/>
    </xf>
    <xf numFmtId="0" fontId="0" fillId="18" borderId="24" xfId="0" applyFill="1" applyBorder="1" applyAlignment="1">
      <alignment horizontal="center" vertical="center"/>
    </xf>
    <xf numFmtId="0" fontId="0" fillId="18" borderId="17" xfId="0" applyFill="1" applyBorder="1" applyAlignment="1">
      <alignment horizontal="center" vertical="center"/>
    </xf>
    <xf numFmtId="0" fontId="0" fillId="18" borderId="18" xfId="0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13" fillId="19" borderId="25" xfId="0" applyFont="1" applyFill="1" applyBorder="1" applyAlignment="1">
      <alignment horizontal="center" vertical="center"/>
    </xf>
    <xf numFmtId="0" fontId="13" fillId="19" borderId="26" xfId="0" applyFont="1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0" fillId="19" borderId="24" xfId="0" applyFill="1" applyBorder="1" applyAlignment="1">
      <alignment horizontal="center" vertical="center"/>
    </xf>
    <xf numFmtId="0" fontId="0" fillId="19" borderId="17" xfId="0" applyFill="1" applyBorder="1" applyAlignment="1">
      <alignment horizontal="center" vertical="center"/>
    </xf>
    <xf numFmtId="0" fontId="0" fillId="19" borderId="18" xfId="0" applyFill="1" applyBorder="1" applyAlignment="1">
      <alignment horizontal="center" vertical="center"/>
    </xf>
    <xf numFmtId="0" fontId="0" fillId="19" borderId="12" xfId="0" applyFill="1" applyBorder="1" applyAlignment="1">
      <alignment horizontal="center" vertical="center"/>
    </xf>
    <xf numFmtId="0" fontId="0" fillId="19" borderId="14" xfId="0" applyFill="1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13" fillId="0" borderId="0" xfId="0" applyFont="1"/>
    <xf numFmtId="16" fontId="0" fillId="0" borderId="0" xfId="0" applyNumberFormat="1"/>
    <xf numFmtId="165" fontId="16" fillId="0" borderId="0" xfId="0" applyNumberFormat="1" applyFont="1"/>
    <xf numFmtId="2" fontId="16" fillId="0" borderId="0" xfId="0" applyNumberFormat="1" applyFont="1"/>
    <xf numFmtId="2" fontId="6" fillId="0" borderId="1" xfId="0" applyNumberFormat="1" applyFont="1" applyBorder="1" applyAlignment="1" applyProtection="1">
      <alignment horizontal="center" vertical="center" shrinkToFit="1"/>
      <protection locked="0"/>
    </xf>
    <xf numFmtId="0" fontId="13" fillId="0" borderId="35" xfId="0" applyFont="1" applyBorder="1" applyAlignment="1">
      <alignment horizontal="center"/>
    </xf>
    <xf numFmtId="0" fontId="13" fillId="0" borderId="38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13" fillId="0" borderId="30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17" borderId="19" xfId="0" applyFont="1" applyFill="1" applyBorder="1" applyAlignment="1">
      <alignment horizontal="center" vertical="center"/>
    </xf>
    <xf numFmtId="0" fontId="13" fillId="17" borderId="20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0" fontId="13" fillId="18" borderId="20" xfId="0" applyFont="1" applyFill="1" applyBorder="1" applyAlignment="1">
      <alignment horizontal="center" vertical="center"/>
    </xf>
    <xf numFmtId="0" fontId="13" fillId="19" borderId="19" xfId="0" applyFont="1" applyFill="1" applyBorder="1" applyAlignment="1">
      <alignment horizontal="center" vertical="center"/>
    </xf>
    <xf numFmtId="0" fontId="13" fillId="19" borderId="20" xfId="0" applyFont="1" applyFill="1" applyBorder="1" applyAlignment="1">
      <alignment horizontal="center" vertical="center"/>
    </xf>
    <xf numFmtId="0" fontId="13" fillId="20" borderId="47" xfId="0" applyFont="1" applyFill="1" applyBorder="1" applyAlignment="1">
      <alignment horizontal="center" vertical="center" wrapText="1"/>
    </xf>
    <xf numFmtId="0" fontId="13" fillId="20" borderId="44" xfId="0" applyFont="1" applyFill="1" applyBorder="1" applyAlignment="1">
      <alignment horizontal="center" vertical="center" wrapText="1"/>
    </xf>
    <xf numFmtId="0" fontId="13" fillId="20" borderId="47" xfId="0" applyFont="1" applyFill="1" applyBorder="1" applyAlignment="1">
      <alignment horizontal="center" vertical="center"/>
    </xf>
    <xf numFmtId="0" fontId="13" fillId="20" borderId="44" xfId="0" applyFont="1" applyFill="1" applyBorder="1" applyAlignment="1">
      <alignment horizontal="center" vertical="center"/>
    </xf>
    <xf numFmtId="2" fontId="8" fillId="0" borderId="0" xfId="0" applyNumberFormat="1" applyFont="1" applyAlignment="1" applyProtection="1">
      <alignment horizontal="left" vertical="center" shrinkToFit="1"/>
      <protection hidden="1"/>
    </xf>
    <xf numFmtId="2" fontId="6" fillId="0" borderId="0" xfId="0" applyNumberFormat="1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left" vertical="center" shrinkToFit="1"/>
      <protection hidden="1"/>
    </xf>
    <xf numFmtId="2" fontId="6" fillId="6" borderId="6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6" borderId="7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6" borderId="4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0" borderId="6" xfId="0" applyNumberFormat="1" applyFont="1" applyBorder="1" applyAlignment="1" applyProtection="1">
      <alignment horizontal="center" vertical="center" textRotation="90" shrinkToFit="1"/>
      <protection hidden="1"/>
    </xf>
    <xf numFmtId="2" fontId="6" fillId="0" borderId="4" xfId="0" applyNumberFormat="1" applyFont="1" applyBorder="1" applyAlignment="1" applyProtection="1">
      <alignment horizontal="center" vertical="center" textRotation="90" shrinkToFit="1"/>
      <protection hidden="1"/>
    </xf>
    <xf numFmtId="16" fontId="6" fillId="0" borderId="6" xfId="0" applyNumberFormat="1" applyFont="1" applyBorder="1" applyAlignment="1" applyProtection="1">
      <alignment horizontal="center" vertical="center" textRotation="90" shrinkToFit="1"/>
      <protection locked="0"/>
    </xf>
    <xf numFmtId="16" fontId="6" fillId="0" borderId="4" xfId="0" applyNumberFormat="1" applyFont="1" applyBorder="1" applyAlignment="1" applyProtection="1">
      <alignment horizontal="center" vertical="center" textRotation="90" shrinkToFit="1"/>
      <protection locked="0"/>
    </xf>
    <xf numFmtId="0" fontId="6" fillId="0" borderId="6" xfId="0" applyFont="1" applyBorder="1" applyAlignment="1" applyProtection="1">
      <alignment horizontal="center" vertical="center" textRotation="90" shrinkToFit="1"/>
      <protection hidden="1"/>
    </xf>
    <xf numFmtId="0" fontId="6" fillId="0" borderId="4" xfId="0" applyFont="1" applyBorder="1" applyAlignment="1" applyProtection="1">
      <alignment horizontal="center" vertical="center" textRotation="90" shrinkToFit="1"/>
      <protection hidden="1"/>
    </xf>
    <xf numFmtId="2" fontId="8" fillId="0" borderId="0" xfId="0" applyNumberFormat="1" applyFont="1" applyAlignment="1" applyProtection="1">
      <alignment horizontal="center" vertical="center" shrinkToFit="1"/>
      <protection hidden="1"/>
    </xf>
    <xf numFmtId="2" fontId="8" fillId="0" borderId="8" xfId="0" applyNumberFormat="1" applyFont="1" applyBorder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horizontal="center" shrinkToFit="1"/>
      <protection hidden="1"/>
    </xf>
    <xf numFmtId="0" fontId="6" fillId="0" borderId="0" xfId="0" applyFont="1" applyAlignment="1" applyProtection="1">
      <alignment horizontal="center" shrinkToFit="1"/>
      <protection hidden="1"/>
    </xf>
    <xf numFmtId="2" fontId="6" fillId="0" borderId="0" xfId="0" applyNumberFormat="1" applyFont="1" applyAlignment="1" applyProtection="1">
      <alignment horizontal="center" vertical="top" shrinkToFit="1"/>
      <protection hidden="1"/>
    </xf>
    <xf numFmtId="0" fontId="6" fillId="13" borderId="1" xfId="0" applyFont="1" applyFill="1" applyBorder="1" applyAlignment="1" applyProtection="1">
      <alignment horizontal="center" vertical="center" shrinkToFit="1"/>
      <protection hidden="1"/>
    </xf>
    <xf numFmtId="2" fontId="6" fillId="2" borderId="6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2" borderId="4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15" borderId="1" xfId="0" applyNumberFormat="1" applyFont="1" applyFill="1" applyBorder="1" applyAlignment="1" applyProtection="1">
      <alignment horizontal="center" vertical="center" textRotation="90" shrinkToFit="1"/>
      <protection hidden="1"/>
    </xf>
    <xf numFmtId="0" fontId="6" fillId="0" borderId="1" xfId="0" applyFont="1" applyBorder="1" applyAlignment="1" applyProtection="1">
      <alignment horizontal="center" vertical="center" textRotation="90" shrinkToFit="1"/>
      <protection hidden="1"/>
    </xf>
    <xf numFmtId="2" fontId="6" fillId="3" borderId="6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3" borderId="4" xfId="0" applyNumberFormat="1" applyFont="1" applyFill="1" applyBorder="1" applyAlignment="1" applyProtection="1">
      <alignment horizontal="center" vertical="center" textRotation="90" shrinkToFit="1"/>
      <protection hidden="1"/>
    </xf>
    <xf numFmtId="0" fontId="6" fillId="6" borderId="6" xfId="0" applyFont="1" applyFill="1" applyBorder="1" applyAlignment="1" applyProtection="1">
      <alignment horizontal="center" vertical="center" textRotation="90" shrinkToFit="1"/>
      <protection hidden="1"/>
    </xf>
    <xf numFmtId="0" fontId="6" fillId="6" borderId="4" xfId="0" applyFont="1" applyFill="1" applyBorder="1" applyAlignment="1" applyProtection="1">
      <alignment horizontal="center" vertical="center" textRotation="90" shrinkToFit="1"/>
      <protection hidden="1"/>
    </xf>
    <xf numFmtId="0" fontId="6" fillId="0" borderId="1" xfId="0" applyFont="1" applyBorder="1" applyAlignment="1" applyProtection="1">
      <alignment horizontal="center" vertical="center" shrinkToFit="1"/>
      <protection hidden="1"/>
    </xf>
    <xf numFmtId="0" fontId="6" fillId="16" borderId="5" xfId="0" applyFont="1" applyFill="1" applyBorder="1" applyAlignment="1" applyProtection="1">
      <alignment horizontal="center" vertical="center" shrinkToFit="1"/>
      <protection hidden="1"/>
    </xf>
    <xf numFmtId="0" fontId="6" fillId="16" borderId="2" xfId="0" applyFont="1" applyFill="1" applyBorder="1" applyAlignment="1" applyProtection="1">
      <alignment horizontal="center" vertical="center" shrinkToFit="1"/>
      <protection hidden="1"/>
    </xf>
    <xf numFmtId="0" fontId="6" fillId="16" borderId="3" xfId="0" applyFont="1" applyFill="1" applyBorder="1" applyAlignment="1" applyProtection="1">
      <alignment horizontal="center" vertical="center" shrinkToFit="1"/>
      <protection hidden="1"/>
    </xf>
    <xf numFmtId="2" fontId="6" fillId="15" borderId="6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15" borderId="7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15" borderId="4" xfId="0" applyNumberFormat="1" applyFont="1" applyFill="1" applyBorder="1" applyAlignment="1" applyProtection="1">
      <alignment horizontal="center" vertical="center" textRotation="90" shrinkToFit="1"/>
      <protection hidden="1"/>
    </xf>
    <xf numFmtId="0" fontId="6" fillId="0" borderId="6" xfId="0" applyFont="1" applyBorder="1" applyAlignment="1" applyProtection="1">
      <alignment horizontal="center" vertical="center" shrinkToFit="1"/>
      <protection hidden="1"/>
    </xf>
    <xf numFmtId="0" fontId="6" fillId="0" borderId="7" xfId="0" applyFont="1" applyBorder="1" applyAlignment="1" applyProtection="1">
      <alignment horizontal="center" vertical="center" shrinkToFit="1"/>
      <protection hidden="1"/>
    </xf>
    <xf numFmtId="0" fontId="6" fillId="0" borderId="4" xfId="0" applyFont="1" applyBorder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2" borderId="5" xfId="0" applyFont="1" applyFill="1" applyBorder="1" applyAlignment="1" applyProtection="1">
      <alignment horizontal="center" vertical="center" shrinkToFit="1"/>
      <protection hidden="1"/>
    </xf>
    <xf numFmtId="0" fontId="6" fillId="2" borderId="2" xfId="0" applyFont="1" applyFill="1" applyBorder="1" applyAlignment="1" applyProtection="1">
      <alignment horizontal="center" vertical="center" shrinkToFit="1"/>
      <protection hidden="1"/>
    </xf>
    <xf numFmtId="0" fontId="6" fillId="3" borderId="5" xfId="0" applyFont="1" applyFill="1" applyBorder="1" applyAlignment="1" applyProtection="1">
      <alignment horizontal="center" vertical="center" shrinkToFit="1"/>
      <protection hidden="1"/>
    </xf>
    <xf numFmtId="0" fontId="6" fillId="3" borderId="2" xfId="0" applyFont="1" applyFill="1" applyBorder="1" applyAlignment="1" applyProtection="1">
      <alignment horizontal="center" vertical="center" shrinkToFit="1"/>
      <protection hidden="1"/>
    </xf>
    <xf numFmtId="2" fontId="6" fillId="0" borderId="1" xfId="0" applyNumberFormat="1" applyFont="1" applyBorder="1" applyAlignment="1" applyProtection="1">
      <alignment horizontal="center" vertical="center" textRotation="90" shrinkToFit="1"/>
      <protection hidden="1"/>
    </xf>
    <xf numFmtId="2" fontId="6" fillId="2" borderId="1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3" borderId="1" xfId="0" applyNumberFormat="1" applyFont="1" applyFill="1" applyBorder="1" applyAlignment="1" applyProtection="1">
      <alignment horizontal="center" vertical="center" textRotation="90" shrinkToFit="1"/>
      <protection hidden="1"/>
    </xf>
    <xf numFmtId="2" fontId="6" fillId="6" borderId="1" xfId="0" applyNumberFormat="1" applyFont="1" applyFill="1" applyBorder="1" applyAlignment="1" applyProtection="1">
      <alignment horizontal="center" vertical="center" textRotation="90" shrinkToFit="1"/>
      <protection hidden="1"/>
    </xf>
    <xf numFmtId="0" fontId="6" fillId="6" borderId="1" xfId="0" applyFont="1" applyFill="1" applyBorder="1" applyAlignment="1" applyProtection="1">
      <alignment horizontal="center" vertical="center" textRotation="90" shrinkToFit="1"/>
      <protection hidden="1"/>
    </xf>
    <xf numFmtId="0" fontId="6" fillId="14" borderId="6" xfId="0" applyFont="1" applyFill="1" applyBorder="1" applyAlignment="1" applyProtection="1">
      <alignment horizontal="center" vertical="center" shrinkToFit="1"/>
      <protection hidden="1"/>
    </xf>
    <xf numFmtId="0" fontId="6" fillId="14" borderId="7" xfId="0" applyFont="1" applyFill="1" applyBorder="1" applyAlignment="1" applyProtection="1">
      <alignment horizontal="center" vertical="center" shrinkToFit="1"/>
      <protection hidden="1"/>
    </xf>
    <xf numFmtId="0" fontId="6" fillId="14" borderId="4" xfId="0" applyFont="1" applyFill="1" applyBorder="1" applyAlignment="1" applyProtection="1">
      <alignment horizontal="center" vertical="center" shrinkToFit="1"/>
      <protection hidden="1"/>
    </xf>
    <xf numFmtId="0" fontId="6" fillId="16" borderId="1" xfId="0" applyFont="1" applyFill="1" applyBorder="1" applyAlignment="1" applyProtection="1">
      <alignment horizontal="center" vertical="center" shrinkToFit="1"/>
      <protection hidden="1"/>
    </xf>
    <xf numFmtId="16" fontId="6" fillId="0" borderId="1" xfId="0" applyNumberFormat="1" applyFont="1" applyBorder="1" applyAlignment="1" applyProtection="1">
      <alignment horizontal="center" vertical="center" textRotation="90" shrinkToFit="1"/>
      <protection locked="0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18" fillId="0" borderId="5" xfId="0" applyFont="1" applyBorder="1" applyAlignment="1" applyProtection="1">
      <alignment horizontal="center" wrapText="1"/>
      <protection locked="0"/>
    </xf>
    <xf numFmtId="0" fontId="18" fillId="0" borderId="2" xfId="0" applyFont="1" applyBorder="1" applyAlignment="1" applyProtection="1">
      <alignment horizontal="center" wrapText="1"/>
      <protection locked="0"/>
    </xf>
    <xf numFmtId="0" fontId="18" fillId="0" borderId="3" xfId="0" applyFont="1" applyBorder="1" applyAlignment="1" applyProtection="1">
      <alignment horizontal="center" wrapText="1"/>
      <protection locked="0"/>
    </xf>
    <xf numFmtId="0" fontId="3" fillId="0" borderId="48" xfId="0" applyFont="1" applyBorder="1" applyAlignment="1" applyProtection="1">
      <alignment horizontal="center" vertical="center" wrapText="1"/>
      <protection locked="0"/>
    </xf>
    <xf numFmtId="0" fontId="3" fillId="0" borderId="49" xfId="0" applyFont="1" applyBorder="1" applyAlignment="1" applyProtection="1">
      <alignment horizontal="center" vertical="center" wrapText="1"/>
      <protection locked="0"/>
    </xf>
    <xf numFmtId="0" fontId="3" fillId="0" borderId="28" xfId="0" applyFont="1" applyBorder="1" applyAlignment="1" applyProtection="1">
      <alignment horizontal="center" vertical="center" wrapText="1"/>
      <protection locked="0"/>
    </xf>
    <xf numFmtId="0" fontId="3" fillId="0" borderId="50" xfId="0" applyFont="1" applyBorder="1" applyAlignment="1" applyProtection="1">
      <alignment horizontal="center" vertical="center" wrapText="1"/>
      <protection locked="0"/>
    </xf>
    <xf numFmtId="2" fontId="3" fillId="0" borderId="6" xfId="0" applyNumberFormat="1" applyFont="1" applyBorder="1" applyAlignment="1" applyProtection="1">
      <alignment horizontal="center" vertical="center" wrapText="1"/>
      <protection locked="0"/>
    </xf>
    <xf numFmtId="2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51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4" fillId="0" borderId="5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14" fontId="12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top" shrinkToFit="1"/>
      <protection hidden="1"/>
    </xf>
    <xf numFmtId="0" fontId="6" fillId="13" borderId="1" xfId="0" applyFont="1" applyFill="1" applyBorder="1" applyAlignment="1" applyProtection="1">
      <alignment horizontal="center" vertical="center"/>
      <protection hidden="1"/>
    </xf>
    <xf numFmtId="0" fontId="6" fillId="2" borderId="1" xfId="0" applyFont="1" applyFill="1" applyBorder="1" applyAlignment="1" applyProtection="1">
      <alignment horizontal="center" vertical="center" textRotation="90"/>
      <protection hidden="1"/>
    </xf>
    <xf numFmtId="0" fontId="6" fillId="4" borderId="1" xfId="0" applyFont="1" applyFill="1" applyBorder="1" applyAlignment="1" applyProtection="1">
      <alignment horizontal="center" vertical="center" textRotation="90"/>
      <protection hidden="1"/>
    </xf>
    <xf numFmtId="0" fontId="6" fillId="0" borderId="1" xfId="0" applyFont="1" applyBorder="1" applyAlignment="1" applyProtection="1">
      <alignment horizontal="center" vertical="center" wrapText="1"/>
      <protection hidden="1"/>
    </xf>
    <xf numFmtId="0" fontId="6" fillId="15" borderId="1" xfId="0" applyFont="1" applyFill="1" applyBorder="1" applyAlignment="1" applyProtection="1">
      <alignment horizontal="center" vertical="center" textRotation="90"/>
      <protection hidden="1"/>
    </xf>
    <xf numFmtId="0" fontId="6" fillId="0" borderId="6" xfId="0" applyFont="1" applyBorder="1" applyAlignment="1" applyProtection="1">
      <alignment horizontal="center" vertical="center" textRotation="90"/>
      <protection hidden="1"/>
    </xf>
    <xf numFmtId="0" fontId="6" fillId="0" borderId="7" xfId="0" applyFont="1" applyBorder="1" applyAlignment="1" applyProtection="1">
      <alignment horizontal="center" vertical="center" textRotation="90"/>
      <protection hidden="1"/>
    </xf>
    <xf numFmtId="0" fontId="6" fillId="0" borderId="4" xfId="0" applyFont="1" applyBorder="1" applyAlignment="1" applyProtection="1">
      <alignment horizontal="center" vertical="center" textRotation="90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6" fillId="9" borderId="1" xfId="0" applyFont="1" applyFill="1" applyBorder="1" applyAlignment="1" applyProtection="1">
      <alignment horizontal="center" vertical="center" textRotation="90"/>
      <protection hidden="1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9" fontId="13" fillId="0" borderId="19" xfId="0" applyNumberFormat="1" applyFont="1" applyBorder="1" applyAlignment="1">
      <alignment horizontal="center" vertical="center"/>
    </xf>
    <xf numFmtId="49" fontId="13" fillId="0" borderId="20" xfId="0" applyNumberFormat="1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1">
    <cellStyle name="Normal" xfId="0" builtinId="0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6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Blank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60"/>
  <sheetViews>
    <sheetView topLeftCell="A6" zoomScale="175" zoomScaleNormal="175" workbookViewId="0">
      <pane xSplit="3" ySplit="5" topLeftCell="L25" activePane="bottomRight" state="frozen"/>
      <selection activeCell="A6" sqref="A6"/>
      <selection pane="topRight" activeCell="D6" sqref="D6"/>
      <selection pane="bottomLeft" activeCell="A11" sqref="A11"/>
      <selection pane="bottomRight" activeCell="N30" sqref="N30"/>
    </sheetView>
  </sheetViews>
  <sheetFormatPr defaultRowHeight="14.4" x14ac:dyDescent="0.3"/>
  <cols>
    <col min="1" max="1" width="4" bestFit="1" customWidth="1"/>
    <col min="2" max="2" width="36.21875" customWidth="1"/>
    <col min="3" max="3" width="35.44140625" bestFit="1" customWidth="1"/>
    <col min="4" max="4" width="7.21875" bestFit="1" customWidth="1"/>
    <col min="5" max="5" width="7.21875" customWidth="1"/>
    <col min="10" max="10" width="14.21875" customWidth="1"/>
    <col min="11" max="11" width="15.33203125" customWidth="1"/>
    <col min="12" max="12" width="9.77734375" style="80" bestFit="1" customWidth="1"/>
  </cols>
  <sheetData>
    <row r="1" spans="1:14" ht="15" thickBot="1" x14ac:dyDescent="0.35"/>
    <row r="2" spans="1:14" x14ac:dyDescent="0.3">
      <c r="B2" s="104" t="s">
        <v>83</v>
      </c>
      <c r="C2" s="101" t="s">
        <v>122</v>
      </c>
    </row>
    <row r="3" spans="1:14" x14ac:dyDescent="0.3">
      <c r="B3" s="105" t="s">
        <v>124</v>
      </c>
      <c r="C3" s="102" t="s">
        <v>125</v>
      </c>
    </row>
    <row r="4" spans="1:14" x14ac:dyDescent="0.3">
      <c r="B4" s="106" t="s">
        <v>78</v>
      </c>
      <c r="C4" s="102" t="s">
        <v>143</v>
      </c>
    </row>
    <row r="5" spans="1:14" x14ac:dyDescent="0.3">
      <c r="B5" s="106" t="s">
        <v>142</v>
      </c>
      <c r="C5" s="102" t="s">
        <v>151</v>
      </c>
    </row>
    <row r="6" spans="1:14" ht="15" thickBot="1" x14ac:dyDescent="0.35">
      <c r="B6" s="107" t="s">
        <v>146</v>
      </c>
      <c r="C6" s="103">
        <f>IF(OR(C4="1st Sem",C4="2nd Sem"),IF(OR(C5="Regular",),12,6),IF(C4="Summer",IF(OR(C5="Regular"),7,4)))</f>
        <v>12</v>
      </c>
    </row>
    <row r="7" spans="1:14" ht="15" thickBot="1" x14ac:dyDescent="0.35">
      <c r="B7" s="110"/>
      <c r="C7" s="111"/>
    </row>
    <row r="8" spans="1:14" ht="15" thickBot="1" x14ac:dyDescent="0.35">
      <c r="B8" s="124"/>
      <c r="C8" s="125"/>
      <c r="D8" s="165" t="s">
        <v>147</v>
      </c>
      <c r="E8" s="166"/>
      <c r="F8" s="167"/>
      <c r="G8" s="167"/>
      <c r="H8" s="167"/>
      <c r="I8" s="168"/>
      <c r="J8" s="168"/>
      <c r="K8" s="168"/>
      <c r="L8" s="169" t="s">
        <v>144</v>
      </c>
    </row>
    <row r="9" spans="1:14" ht="43.8" customHeight="1" thickBot="1" x14ac:dyDescent="0.35">
      <c r="B9" s="97"/>
      <c r="D9" s="172" t="s">
        <v>131</v>
      </c>
      <c r="E9" s="173"/>
      <c r="F9" s="174" t="s">
        <v>132</v>
      </c>
      <c r="G9" s="175"/>
      <c r="H9" s="176" t="s">
        <v>133</v>
      </c>
      <c r="I9" s="177"/>
      <c r="J9" s="178" t="s">
        <v>149</v>
      </c>
      <c r="K9" s="180" t="s">
        <v>148</v>
      </c>
      <c r="L9" s="170"/>
    </row>
    <row r="10" spans="1:14" ht="15" thickBot="1" x14ac:dyDescent="0.35">
      <c r="A10" s="122" t="s">
        <v>129</v>
      </c>
      <c r="B10" s="108" t="s">
        <v>136</v>
      </c>
      <c r="C10" s="109" t="s">
        <v>137</v>
      </c>
      <c r="D10" s="131">
        <f>COUNTA(PRELIM!C7:V7)</f>
        <v>0</v>
      </c>
      <c r="E10" s="132" t="s">
        <v>150</v>
      </c>
      <c r="F10" s="139">
        <f>COUNTA(MIDTERM!C7:V7)</f>
        <v>11</v>
      </c>
      <c r="G10" s="140" t="s">
        <v>150</v>
      </c>
      <c r="H10" s="147">
        <f>COUNTA(FINALS!C7:V7)</f>
        <v>11</v>
      </c>
      <c r="I10" s="148" t="s">
        <v>150</v>
      </c>
      <c r="J10" s="179"/>
      <c r="K10" s="181"/>
      <c r="L10" s="171"/>
      <c r="N10" t="s">
        <v>235</v>
      </c>
    </row>
    <row r="11" spans="1:14" x14ac:dyDescent="0.3">
      <c r="A11" s="123">
        <v>1</v>
      </c>
      <c r="B11" s="126" t="s">
        <v>191</v>
      </c>
      <c r="C11" s="112">
        <v>20232214</v>
      </c>
      <c r="D11" s="133">
        <f>COUNTIF(PRELIM!C10:R10,"A")</f>
        <v>0</v>
      </c>
      <c r="E11" s="134">
        <f>COUNTIF(PRELIM!C10:R10,"L")</f>
        <v>0</v>
      </c>
      <c r="F11" s="141">
        <f>COUNTIF(MIDTERM!C10:R10,"A")</f>
        <v>0</v>
      </c>
      <c r="G11" s="142">
        <f>COUNTIF(MIDTERM!C10:R10,"L")</f>
        <v>0</v>
      </c>
      <c r="H11" s="149">
        <f>COUNTIF(FINALS!C10:R10,"A")</f>
        <v>0</v>
      </c>
      <c r="I11" s="150">
        <f>COUNTIF(FINALS!C10:R10,"L")</f>
        <v>0</v>
      </c>
      <c r="J11" s="155">
        <f>ROUNDDOWN((E11+G11+I11)/3,0)</f>
        <v>0</v>
      </c>
      <c r="K11" s="156">
        <f>D11+F11+H11+J11</f>
        <v>0</v>
      </c>
      <c r="L11" s="129" t="str">
        <f>IF(K11&gt;$C$6,"DROPPED","NO")</f>
        <v>NO</v>
      </c>
    </row>
    <row r="12" spans="1:14" x14ac:dyDescent="0.3">
      <c r="A12" s="98">
        <v>2</v>
      </c>
      <c r="B12" s="100" t="s">
        <v>192</v>
      </c>
      <c r="C12" s="99">
        <v>20230597</v>
      </c>
      <c r="D12" s="135">
        <f>COUNTIF(PRELIM!C11:R11,"A")</f>
        <v>0</v>
      </c>
      <c r="E12" s="136">
        <f>COUNTIF(PRELIM!C11:R11,"L")</f>
        <v>0</v>
      </c>
      <c r="F12" s="143">
        <f>COUNTIF(MIDTERM!C11:R11,"A")</f>
        <v>0</v>
      </c>
      <c r="G12" s="144">
        <f>COUNTIF(MIDTERM!C11:R11,"L")</f>
        <v>0</v>
      </c>
      <c r="H12" s="151">
        <f>COUNTIF(FINALS!C11:R11,"A")</f>
        <v>0</v>
      </c>
      <c r="I12" s="152">
        <f>COUNTIF(FINALS!C11:R11,"L")</f>
        <v>0</v>
      </c>
      <c r="J12" s="157">
        <f t="shared" ref="J12:J60" si="0">ROUNDDOWN((E12+G12+I12)/3,0)</f>
        <v>0</v>
      </c>
      <c r="K12" s="156">
        <f t="shared" ref="K12:K60" si="1">D12+F12+H12+J12</f>
        <v>0</v>
      </c>
      <c r="L12" s="129" t="str">
        <f t="shared" ref="L12:L60" si="2">IF(K12&gt;$C$6,"DROPPED","NO")</f>
        <v>NO</v>
      </c>
      <c r="N12">
        <v>1</v>
      </c>
    </row>
    <row r="13" spans="1:14" x14ac:dyDescent="0.3">
      <c r="A13" s="98">
        <v>3</v>
      </c>
      <c r="B13" s="100" t="s">
        <v>193</v>
      </c>
      <c r="C13" s="99">
        <v>20230021</v>
      </c>
      <c r="D13" s="135">
        <f>COUNTIF(PRELIM!C12:R12,"A")</f>
        <v>0</v>
      </c>
      <c r="E13" s="136">
        <f>COUNTIF(PRELIM!C12:R12,"L")</f>
        <v>0</v>
      </c>
      <c r="F13" s="143">
        <f>COUNTIF(MIDTERM!C12:R12,"A")</f>
        <v>2</v>
      </c>
      <c r="G13" s="144">
        <f>COUNTIF(MIDTERM!C12:R12,"L")</f>
        <v>0</v>
      </c>
      <c r="H13" s="151">
        <f>COUNTIF(FINALS!C12:R12,"A")</f>
        <v>0</v>
      </c>
      <c r="I13" s="152">
        <f>COUNTIF(FINALS!C12:R12,"L")</f>
        <v>0</v>
      </c>
      <c r="J13" s="157">
        <f t="shared" si="0"/>
        <v>0</v>
      </c>
      <c r="K13" s="156">
        <f>D13+F13+H13+J13</f>
        <v>2</v>
      </c>
      <c r="L13" s="129" t="str">
        <f t="shared" si="2"/>
        <v>NO</v>
      </c>
    </row>
    <row r="14" spans="1:14" x14ac:dyDescent="0.3">
      <c r="A14" s="98">
        <v>4</v>
      </c>
      <c r="B14" s="100" t="s">
        <v>194</v>
      </c>
      <c r="C14" s="99">
        <v>20232689</v>
      </c>
      <c r="D14" s="135">
        <f>COUNTIF(PRELIM!C13:R13,"A")</f>
        <v>0</v>
      </c>
      <c r="E14" s="136">
        <f>COUNTIF(PRELIM!C13:R13,"L")</f>
        <v>0</v>
      </c>
      <c r="F14" s="143">
        <f>COUNTIF(MIDTERM!C13:R13,"A")</f>
        <v>0</v>
      </c>
      <c r="G14" s="144">
        <f>COUNTIF(MIDTERM!C13:R13,"L")</f>
        <v>0</v>
      </c>
      <c r="H14" s="151">
        <f>COUNTIF(FINALS!C13:R13,"A")</f>
        <v>0</v>
      </c>
      <c r="I14" s="152">
        <f>COUNTIF(FINALS!C13:R13,"L")</f>
        <v>0</v>
      </c>
      <c r="J14" s="157">
        <f t="shared" si="0"/>
        <v>0</v>
      </c>
      <c r="K14" s="156">
        <f t="shared" si="1"/>
        <v>0</v>
      </c>
      <c r="L14" s="129" t="str">
        <f t="shared" si="2"/>
        <v>NO</v>
      </c>
    </row>
    <row r="15" spans="1:14" x14ac:dyDescent="0.3">
      <c r="A15" s="98">
        <v>5</v>
      </c>
      <c r="B15" s="100" t="s">
        <v>195</v>
      </c>
      <c r="C15" s="99">
        <v>20232651</v>
      </c>
      <c r="D15" s="135">
        <f>COUNTIF(PRELIM!C14:R14,"A")</f>
        <v>0</v>
      </c>
      <c r="E15" s="136">
        <f>COUNTIF(PRELIM!C14:R14,"L")</f>
        <v>0</v>
      </c>
      <c r="F15" s="143">
        <f>COUNTIF(MIDTERM!C14:R14,"A")</f>
        <v>0</v>
      </c>
      <c r="G15" s="144">
        <f>COUNTIF(MIDTERM!C14:R14,"L")</f>
        <v>0</v>
      </c>
      <c r="H15" s="151">
        <f>COUNTIF(FINALS!C14:R14,"A")</f>
        <v>0</v>
      </c>
      <c r="I15" s="152">
        <f>COUNTIF(FINALS!C14:R14,"L")</f>
        <v>0</v>
      </c>
      <c r="J15" s="157">
        <f t="shared" si="0"/>
        <v>0</v>
      </c>
      <c r="K15" s="156">
        <f t="shared" si="1"/>
        <v>0</v>
      </c>
      <c r="L15" s="129" t="str">
        <f t="shared" si="2"/>
        <v>NO</v>
      </c>
    </row>
    <row r="16" spans="1:14" x14ac:dyDescent="0.3">
      <c r="A16" s="98">
        <v>6</v>
      </c>
      <c r="B16" s="100" t="s">
        <v>196</v>
      </c>
      <c r="C16" s="99">
        <v>20230544</v>
      </c>
      <c r="D16" s="135">
        <f>COUNTIF(PRELIM!C15:R15,"A")</f>
        <v>0</v>
      </c>
      <c r="E16" s="136">
        <f>COUNTIF(PRELIM!C15:R15,"L")</f>
        <v>0</v>
      </c>
      <c r="F16" s="143">
        <f>COUNTIF(MIDTERM!C15:R15,"A")</f>
        <v>1</v>
      </c>
      <c r="G16" s="144">
        <f>COUNTIF(MIDTERM!C15:R15,"L")</f>
        <v>0</v>
      </c>
      <c r="H16" s="151">
        <f>COUNTIF(FINALS!C15:R15,"A")</f>
        <v>0</v>
      </c>
      <c r="I16" s="152">
        <f>COUNTIF(FINALS!C15:R15,"L")</f>
        <v>0</v>
      </c>
      <c r="J16" s="157">
        <f t="shared" si="0"/>
        <v>0</v>
      </c>
      <c r="K16" s="156">
        <f t="shared" si="1"/>
        <v>1</v>
      </c>
      <c r="L16" s="129" t="str">
        <f t="shared" si="2"/>
        <v>NO</v>
      </c>
      <c r="N16">
        <v>1</v>
      </c>
    </row>
    <row r="17" spans="1:14" x14ac:dyDescent="0.3">
      <c r="A17" s="98">
        <v>7</v>
      </c>
      <c r="B17" s="100" t="s">
        <v>197</v>
      </c>
      <c r="C17" s="99">
        <v>20231198</v>
      </c>
      <c r="D17" s="135">
        <f>COUNTIF(PRELIM!C16:R16,"A")</f>
        <v>0</v>
      </c>
      <c r="E17" s="136">
        <f>COUNTIF(PRELIM!C16:R16,"L")</f>
        <v>0</v>
      </c>
      <c r="F17" s="143">
        <f>COUNTIF(MIDTERM!C16:R16,"A")</f>
        <v>0</v>
      </c>
      <c r="G17" s="144">
        <f>COUNTIF(MIDTERM!C16:R16,"L")</f>
        <v>0</v>
      </c>
      <c r="H17" s="151">
        <f>COUNTIF(FINALS!C16:R16,"A")</f>
        <v>0</v>
      </c>
      <c r="I17" s="152">
        <f>COUNTIF(FINALS!C16:R16,"L")</f>
        <v>0</v>
      </c>
      <c r="J17" s="157">
        <f t="shared" si="0"/>
        <v>0</v>
      </c>
      <c r="K17" s="156">
        <f t="shared" si="1"/>
        <v>0</v>
      </c>
      <c r="L17" s="129" t="str">
        <f t="shared" si="2"/>
        <v>NO</v>
      </c>
    </row>
    <row r="18" spans="1:14" x14ac:dyDescent="0.3">
      <c r="A18" s="98">
        <v>8</v>
      </c>
      <c r="B18" s="100" t="s">
        <v>198</v>
      </c>
      <c r="C18" s="99">
        <v>20230582</v>
      </c>
      <c r="D18" s="135">
        <f>COUNTIF(PRELIM!C17:R17,"A")</f>
        <v>0</v>
      </c>
      <c r="E18" s="136">
        <f>COUNTIF(PRELIM!C17:R17,"L")</f>
        <v>0</v>
      </c>
      <c r="F18" s="143">
        <f>COUNTIF(MIDTERM!C17:R17,"A")</f>
        <v>0</v>
      </c>
      <c r="G18" s="144">
        <f>COUNTIF(MIDTERM!C17:R17,"L")</f>
        <v>0</v>
      </c>
      <c r="H18" s="151">
        <f>COUNTIF(FINALS!C17:R17,"A")</f>
        <v>0</v>
      </c>
      <c r="I18" s="152">
        <f>COUNTIF(FINALS!C17:R17,"L")</f>
        <v>0</v>
      </c>
      <c r="J18" s="157">
        <f t="shared" si="0"/>
        <v>0</v>
      </c>
      <c r="K18" s="156">
        <f t="shared" si="1"/>
        <v>0</v>
      </c>
      <c r="L18" s="129" t="str">
        <f t="shared" si="2"/>
        <v>NO</v>
      </c>
    </row>
    <row r="19" spans="1:14" x14ac:dyDescent="0.3">
      <c r="A19" s="98">
        <v>9</v>
      </c>
      <c r="B19" s="100" t="s">
        <v>199</v>
      </c>
      <c r="C19" s="99">
        <v>20232030</v>
      </c>
      <c r="D19" s="135">
        <f>COUNTIF(PRELIM!C18:R18,"A")</f>
        <v>0</v>
      </c>
      <c r="E19" s="136">
        <f>COUNTIF(PRELIM!C18:R18,"L")</f>
        <v>0</v>
      </c>
      <c r="F19" s="143">
        <f>COUNTIF(MIDTERM!C18:R18,"A")</f>
        <v>0</v>
      </c>
      <c r="G19" s="144">
        <f>COUNTIF(MIDTERM!C18:R18,"L")</f>
        <v>0</v>
      </c>
      <c r="H19" s="151">
        <f>COUNTIF(FINALS!C18:R18,"A")</f>
        <v>0</v>
      </c>
      <c r="I19" s="152">
        <f>COUNTIF(FINALS!C18:R18,"L")</f>
        <v>0</v>
      </c>
      <c r="J19" s="157">
        <f t="shared" si="0"/>
        <v>0</v>
      </c>
      <c r="K19" s="156">
        <f t="shared" si="1"/>
        <v>0</v>
      </c>
      <c r="L19" s="129" t="str">
        <f t="shared" si="2"/>
        <v>NO</v>
      </c>
      <c r="N19">
        <v>1</v>
      </c>
    </row>
    <row r="20" spans="1:14" x14ac:dyDescent="0.3">
      <c r="A20" s="98">
        <v>10</v>
      </c>
      <c r="B20" s="100" t="s">
        <v>200</v>
      </c>
      <c r="C20" s="99">
        <v>20230285</v>
      </c>
      <c r="D20" s="135">
        <f>COUNTIF(PRELIM!C19:R19,"A")</f>
        <v>0</v>
      </c>
      <c r="E20" s="136">
        <f>COUNTIF(PRELIM!C19:R19,"L")</f>
        <v>0</v>
      </c>
      <c r="F20" s="143">
        <f>COUNTIF(MIDTERM!C19:R19,"A")</f>
        <v>0</v>
      </c>
      <c r="G20" s="144">
        <f>COUNTIF(MIDTERM!C19:R19,"L")</f>
        <v>0</v>
      </c>
      <c r="H20" s="151">
        <f>COUNTIF(FINALS!C19:R19,"A")</f>
        <v>0</v>
      </c>
      <c r="I20" s="152">
        <f>COUNTIF(FINALS!C19:R19,"L")</f>
        <v>0</v>
      </c>
      <c r="J20" s="157">
        <f t="shared" si="0"/>
        <v>0</v>
      </c>
      <c r="K20" s="156">
        <f t="shared" si="1"/>
        <v>0</v>
      </c>
      <c r="L20" s="129" t="str">
        <f t="shared" si="2"/>
        <v>NO</v>
      </c>
    </row>
    <row r="21" spans="1:14" x14ac:dyDescent="0.3">
      <c r="A21" s="98">
        <v>11</v>
      </c>
      <c r="B21" s="100" t="s">
        <v>201</v>
      </c>
      <c r="C21" s="99">
        <v>20232845</v>
      </c>
      <c r="D21" s="135">
        <f>COUNTIF(PRELIM!C20:R20,"A")</f>
        <v>0</v>
      </c>
      <c r="E21" s="136">
        <f>COUNTIF(PRELIM!C20:R20,"L")</f>
        <v>0</v>
      </c>
      <c r="F21" s="143">
        <f>COUNTIF(MIDTERM!C20:R20,"A")</f>
        <v>3</v>
      </c>
      <c r="G21" s="144">
        <f>COUNTIF(MIDTERM!C20:R20,"L")</f>
        <v>0</v>
      </c>
      <c r="H21" s="151">
        <f>COUNTIF(FINALS!C20:R20,"A")</f>
        <v>0</v>
      </c>
      <c r="I21" s="152">
        <f>COUNTIF(FINALS!C20:R20,"L")</f>
        <v>0</v>
      </c>
      <c r="J21" s="157">
        <f t="shared" si="0"/>
        <v>0</v>
      </c>
      <c r="K21" s="156">
        <f t="shared" si="1"/>
        <v>3</v>
      </c>
      <c r="L21" s="129" t="str">
        <f t="shared" si="2"/>
        <v>NO</v>
      </c>
      <c r="N21">
        <v>1</v>
      </c>
    </row>
    <row r="22" spans="1:14" x14ac:dyDescent="0.3">
      <c r="A22" s="98">
        <v>12</v>
      </c>
      <c r="B22" s="100" t="s">
        <v>202</v>
      </c>
      <c r="C22" s="99">
        <v>20232519</v>
      </c>
      <c r="D22" s="135">
        <f>COUNTIF(PRELIM!C21:R21,"A")</f>
        <v>0</v>
      </c>
      <c r="E22" s="136">
        <f>COUNTIF(PRELIM!C21:R21,"L")</f>
        <v>0</v>
      </c>
      <c r="F22" s="143">
        <f>COUNTIF(MIDTERM!C21:R21,"A")</f>
        <v>0</v>
      </c>
      <c r="G22" s="144">
        <f>COUNTIF(MIDTERM!C21:R21,"L")</f>
        <v>0</v>
      </c>
      <c r="H22" s="151">
        <f>COUNTIF(FINALS!C21:R21,"A")</f>
        <v>0</v>
      </c>
      <c r="I22" s="152">
        <f>COUNTIF(FINALS!C21:R21,"L")</f>
        <v>0</v>
      </c>
      <c r="J22" s="157">
        <f t="shared" si="0"/>
        <v>0</v>
      </c>
      <c r="K22" s="156">
        <f t="shared" si="1"/>
        <v>0</v>
      </c>
      <c r="L22" s="129" t="str">
        <f t="shared" si="2"/>
        <v>NO</v>
      </c>
    </row>
    <row r="23" spans="1:14" x14ac:dyDescent="0.3">
      <c r="A23" s="98">
        <v>13</v>
      </c>
      <c r="B23" s="100" t="s">
        <v>203</v>
      </c>
      <c r="C23" s="99">
        <v>20231671</v>
      </c>
      <c r="D23" s="135">
        <f>COUNTIF(PRELIM!C22:R22,"A")</f>
        <v>0</v>
      </c>
      <c r="E23" s="136">
        <f>COUNTIF(PRELIM!C22:R22,"L")</f>
        <v>0</v>
      </c>
      <c r="F23" s="143">
        <f>COUNTIF(MIDTERM!C22:R22,"A")</f>
        <v>0</v>
      </c>
      <c r="G23" s="144">
        <f>COUNTIF(MIDTERM!C22:R22,"L")</f>
        <v>0</v>
      </c>
      <c r="H23" s="151">
        <f>COUNTIF(FINALS!C22:R22,"A")</f>
        <v>0</v>
      </c>
      <c r="I23" s="152">
        <f>COUNTIF(FINALS!C22:R22,"L")</f>
        <v>0</v>
      </c>
      <c r="J23" s="157">
        <f t="shared" si="0"/>
        <v>0</v>
      </c>
      <c r="K23" s="156">
        <f t="shared" si="1"/>
        <v>0</v>
      </c>
      <c r="L23" s="129" t="str">
        <f t="shared" si="2"/>
        <v>NO</v>
      </c>
    </row>
    <row r="24" spans="1:14" x14ac:dyDescent="0.3">
      <c r="A24" s="98">
        <v>14</v>
      </c>
      <c r="B24" s="100" t="s">
        <v>204</v>
      </c>
      <c r="C24" s="99">
        <v>20232322</v>
      </c>
      <c r="D24" s="135">
        <f>COUNTIF(PRELIM!C23:R23,"A")</f>
        <v>0</v>
      </c>
      <c r="E24" s="136">
        <f>COUNTIF(PRELIM!C23:R23,"L")</f>
        <v>0</v>
      </c>
      <c r="F24" s="143">
        <f>COUNTIF(MIDTERM!C23:R23,"A")</f>
        <v>0</v>
      </c>
      <c r="G24" s="144">
        <f>COUNTIF(MIDTERM!C23:R23,"L")</f>
        <v>0</v>
      </c>
      <c r="H24" s="151">
        <f>COUNTIF(FINALS!C23:R23,"A")</f>
        <v>0</v>
      </c>
      <c r="I24" s="152">
        <f>COUNTIF(FINALS!C23:R23,"L")</f>
        <v>0</v>
      </c>
      <c r="J24" s="157">
        <f t="shared" si="0"/>
        <v>0</v>
      </c>
      <c r="K24" s="156">
        <f t="shared" si="1"/>
        <v>0</v>
      </c>
      <c r="L24" s="129" t="str">
        <f t="shared" si="2"/>
        <v>NO</v>
      </c>
      <c r="N24">
        <v>1</v>
      </c>
    </row>
    <row r="25" spans="1:14" x14ac:dyDescent="0.3">
      <c r="A25" s="98">
        <v>15</v>
      </c>
      <c r="B25" s="100" t="s">
        <v>205</v>
      </c>
      <c r="C25" s="99">
        <v>20230594</v>
      </c>
      <c r="D25" s="135">
        <f>COUNTIF(PRELIM!C24:R24,"A")</f>
        <v>0</v>
      </c>
      <c r="E25" s="136">
        <f>COUNTIF(PRELIM!C24:R24,"L")</f>
        <v>0</v>
      </c>
      <c r="F25" s="143">
        <f>COUNTIF(MIDTERM!C24:R24,"A")</f>
        <v>0</v>
      </c>
      <c r="G25" s="144">
        <f>COUNTIF(MIDTERM!C24:R24,"L")</f>
        <v>0</v>
      </c>
      <c r="H25" s="151">
        <f>COUNTIF(FINALS!C24:R24,"A")</f>
        <v>0</v>
      </c>
      <c r="I25" s="152">
        <f>COUNTIF(FINALS!C24:R24,"L")</f>
        <v>0</v>
      </c>
      <c r="J25" s="157">
        <f t="shared" si="0"/>
        <v>0</v>
      </c>
      <c r="K25" s="156">
        <f t="shared" si="1"/>
        <v>0</v>
      </c>
      <c r="L25" s="129" t="str">
        <f t="shared" si="2"/>
        <v>NO</v>
      </c>
    </row>
    <row r="26" spans="1:14" x14ac:dyDescent="0.3">
      <c r="A26" s="98">
        <v>16</v>
      </c>
      <c r="B26" s="100" t="s">
        <v>206</v>
      </c>
      <c r="C26" s="99">
        <v>20232466</v>
      </c>
      <c r="D26" s="135">
        <f>COUNTIF(PRELIM!C25:R25,"A")</f>
        <v>0</v>
      </c>
      <c r="E26" s="136">
        <f>COUNTIF(PRELIM!C25:R25,"L")</f>
        <v>0</v>
      </c>
      <c r="F26" s="143">
        <f>COUNTIF(MIDTERM!C25:R25,"A")</f>
        <v>0</v>
      </c>
      <c r="G26" s="144">
        <f>COUNTIF(MIDTERM!C25:R25,"L")</f>
        <v>0</v>
      </c>
      <c r="H26" s="151">
        <f>COUNTIF(FINALS!C25:R25,"A")</f>
        <v>0</v>
      </c>
      <c r="I26" s="152">
        <f>COUNTIF(FINALS!C25:R25,"L")</f>
        <v>0</v>
      </c>
      <c r="J26" s="157">
        <f t="shared" si="0"/>
        <v>0</v>
      </c>
      <c r="K26" s="156">
        <f t="shared" si="1"/>
        <v>0</v>
      </c>
      <c r="L26" s="129" t="str">
        <f t="shared" si="2"/>
        <v>NO</v>
      </c>
      <c r="N26">
        <v>1</v>
      </c>
    </row>
    <row r="27" spans="1:14" x14ac:dyDescent="0.3">
      <c r="A27" s="98">
        <v>17</v>
      </c>
      <c r="B27" s="100" t="s">
        <v>207</v>
      </c>
      <c r="C27" s="99">
        <v>20231379</v>
      </c>
      <c r="D27" s="135">
        <f>COUNTIF(PRELIM!C26:R26,"A")</f>
        <v>0</v>
      </c>
      <c r="E27" s="136">
        <f>COUNTIF(PRELIM!C26:R26,"L")</f>
        <v>0</v>
      </c>
      <c r="F27" s="143">
        <f>COUNTIF(MIDTERM!C26:R26,"A")</f>
        <v>0</v>
      </c>
      <c r="G27" s="144">
        <f>COUNTIF(MIDTERM!C26:R26,"L")</f>
        <v>0</v>
      </c>
      <c r="H27" s="151">
        <f>COUNTIF(FINALS!C26:R26,"A")</f>
        <v>0</v>
      </c>
      <c r="I27" s="152">
        <f>COUNTIF(FINALS!C26:R26,"L")</f>
        <v>0</v>
      </c>
      <c r="J27" s="157">
        <f t="shared" si="0"/>
        <v>0</v>
      </c>
      <c r="K27" s="156">
        <f t="shared" si="1"/>
        <v>0</v>
      </c>
      <c r="L27" s="129" t="str">
        <f t="shared" si="2"/>
        <v>NO</v>
      </c>
    </row>
    <row r="28" spans="1:14" x14ac:dyDescent="0.3">
      <c r="A28" s="98">
        <v>18</v>
      </c>
      <c r="B28" s="100" t="s">
        <v>208</v>
      </c>
      <c r="C28" s="99">
        <v>20232409</v>
      </c>
      <c r="D28" s="135">
        <f>COUNTIF(PRELIM!C27:R27,"A")</f>
        <v>0</v>
      </c>
      <c r="E28" s="136">
        <f>COUNTIF(PRELIM!C27:R27,"L")</f>
        <v>0</v>
      </c>
      <c r="F28" s="143">
        <f>COUNTIF(MIDTERM!C27:R27,"A")</f>
        <v>0</v>
      </c>
      <c r="G28" s="144">
        <f>COUNTIF(MIDTERM!C27:R27,"L")</f>
        <v>0</v>
      </c>
      <c r="H28" s="151">
        <f>COUNTIF(FINALS!C27:R27,"A")</f>
        <v>0</v>
      </c>
      <c r="I28" s="152">
        <f>COUNTIF(FINALS!C27:R27,"L")</f>
        <v>0</v>
      </c>
      <c r="J28" s="157">
        <f t="shared" si="0"/>
        <v>0</v>
      </c>
      <c r="K28" s="156">
        <f t="shared" si="1"/>
        <v>0</v>
      </c>
      <c r="L28" s="129" t="str">
        <f t="shared" si="2"/>
        <v>NO</v>
      </c>
    </row>
    <row r="29" spans="1:14" x14ac:dyDescent="0.3">
      <c r="A29" s="98">
        <v>19</v>
      </c>
      <c r="B29" s="100" t="s">
        <v>209</v>
      </c>
      <c r="C29" s="99">
        <v>20232773</v>
      </c>
      <c r="D29" s="135">
        <f>COUNTIF(PRELIM!C28:R28,"A")</f>
        <v>0</v>
      </c>
      <c r="E29" s="136">
        <f>COUNTIF(PRELIM!C28:R28,"L")</f>
        <v>0</v>
      </c>
      <c r="F29" s="143">
        <f>COUNTIF(MIDTERM!C28:R28,"A")</f>
        <v>0</v>
      </c>
      <c r="G29" s="144">
        <f>COUNTIF(MIDTERM!C28:R28,"L")</f>
        <v>0</v>
      </c>
      <c r="H29" s="151">
        <f>COUNTIF(FINALS!C28:R28,"A")</f>
        <v>1</v>
      </c>
      <c r="I29" s="152">
        <f>COUNTIF(FINALS!C28:R28,"L")</f>
        <v>0</v>
      </c>
      <c r="J29" s="157">
        <f t="shared" si="0"/>
        <v>0</v>
      </c>
      <c r="K29" s="156">
        <f t="shared" si="1"/>
        <v>1</v>
      </c>
      <c r="L29" s="129" t="str">
        <f t="shared" si="2"/>
        <v>NO</v>
      </c>
    </row>
    <row r="30" spans="1:14" x14ac:dyDescent="0.3">
      <c r="A30" s="98">
        <v>20</v>
      </c>
      <c r="B30" s="100" t="s">
        <v>210</v>
      </c>
      <c r="C30" s="99">
        <v>20221397</v>
      </c>
      <c r="D30" s="135">
        <f>COUNTIF(PRELIM!C29:R29,"A")</f>
        <v>0</v>
      </c>
      <c r="E30" s="136">
        <f>COUNTIF(PRELIM!C29:R29,"L")</f>
        <v>0</v>
      </c>
      <c r="F30" s="143">
        <f>COUNTIF(MIDTERM!C29:R29,"A")</f>
        <v>1</v>
      </c>
      <c r="G30" s="144">
        <f>COUNTIF(MIDTERM!C29:R29,"L")</f>
        <v>0</v>
      </c>
      <c r="H30" s="151">
        <f>COUNTIF(FINALS!C29:R29,"A")</f>
        <v>0</v>
      </c>
      <c r="I30" s="152">
        <f>COUNTIF(FINALS!C29:R29,"L")</f>
        <v>0</v>
      </c>
      <c r="J30" s="157">
        <f t="shared" si="0"/>
        <v>0</v>
      </c>
      <c r="K30" s="156">
        <f t="shared" si="1"/>
        <v>1</v>
      </c>
      <c r="L30" s="129" t="str">
        <f t="shared" si="2"/>
        <v>NO</v>
      </c>
    </row>
    <row r="31" spans="1:14" x14ac:dyDescent="0.3">
      <c r="A31" s="98">
        <v>21</v>
      </c>
      <c r="B31" s="100" t="s">
        <v>211</v>
      </c>
      <c r="C31" s="99">
        <v>20191129</v>
      </c>
      <c r="D31" s="135">
        <f>COUNTIF(PRELIM!C30:R30,"A")</f>
        <v>0</v>
      </c>
      <c r="E31" s="136">
        <f>COUNTIF(PRELIM!C30:R30,"L")</f>
        <v>0</v>
      </c>
      <c r="F31" s="143">
        <f>COUNTIF(MIDTERM!C30:R30,"A")</f>
        <v>0</v>
      </c>
      <c r="G31" s="144">
        <f>COUNTIF(MIDTERM!C30:R30,"L")</f>
        <v>0</v>
      </c>
      <c r="H31" s="151">
        <f>COUNTIF(FINALS!C30:R30,"A")</f>
        <v>0</v>
      </c>
      <c r="I31" s="152">
        <f>COUNTIF(FINALS!C30:R30,"L")</f>
        <v>0</v>
      </c>
      <c r="J31" s="157">
        <f t="shared" si="0"/>
        <v>0</v>
      </c>
      <c r="K31" s="156">
        <f t="shared" si="1"/>
        <v>0</v>
      </c>
      <c r="L31" s="129" t="str">
        <f t="shared" si="2"/>
        <v>NO</v>
      </c>
    </row>
    <row r="32" spans="1:14" x14ac:dyDescent="0.3">
      <c r="A32" s="98">
        <v>22</v>
      </c>
      <c r="B32" s="100" t="s">
        <v>212</v>
      </c>
      <c r="C32" s="99">
        <v>20230061</v>
      </c>
      <c r="D32" s="135">
        <f>COUNTIF(PRELIM!C31:R31,"A")</f>
        <v>0</v>
      </c>
      <c r="E32" s="136">
        <f>COUNTIF(PRELIM!C31:R31,"L")</f>
        <v>0</v>
      </c>
      <c r="F32" s="143">
        <f>COUNTIF(MIDTERM!C31:R31,"A")</f>
        <v>1</v>
      </c>
      <c r="G32" s="144">
        <f>COUNTIF(MIDTERM!C31:R31,"L")</f>
        <v>0</v>
      </c>
      <c r="H32" s="151">
        <f>COUNTIF(FINALS!C31:R31,"A")</f>
        <v>0</v>
      </c>
      <c r="I32" s="152">
        <f>COUNTIF(FINALS!C31:R31,"L")</f>
        <v>0</v>
      </c>
      <c r="J32" s="157">
        <f t="shared" si="0"/>
        <v>0</v>
      </c>
      <c r="K32" s="156">
        <f t="shared" si="1"/>
        <v>1</v>
      </c>
      <c r="L32" s="129" t="str">
        <f t="shared" si="2"/>
        <v>NO</v>
      </c>
    </row>
    <row r="33" spans="1:14" x14ac:dyDescent="0.3">
      <c r="A33" s="98">
        <v>23</v>
      </c>
      <c r="B33" s="100" t="s">
        <v>213</v>
      </c>
      <c r="C33" s="99">
        <v>20231894</v>
      </c>
      <c r="D33" s="135">
        <f>COUNTIF(PRELIM!C32:R32,"A")</f>
        <v>0</v>
      </c>
      <c r="E33" s="136">
        <f>COUNTIF(PRELIM!C32:R32,"L")</f>
        <v>0</v>
      </c>
      <c r="F33" s="143">
        <f>COUNTIF(MIDTERM!C32:R32,"A")</f>
        <v>1</v>
      </c>
      <c r="G33" s="144">
        <f>COUNTIF(MIDTERM!C32:R32,"L")</f>
        <v>0</v>
      </c>
      <c r="H33" s="151">
        <f>COUNTIF(FINALS!C32:R32,"A")</f>
        <v>0</v>
      </c>
      <c r="I33" s="152">
        <f>COUNTIF(FINALS!C32:R32,"L")</f>
        <v>0</v>
      </c>
      <c r="J33" s="157">
        <f t="shared" si="0"/>
        <v>0</v>
      </c>
      <c r="K33" s="156">
        <f t="shared" si="1"/>
        <v>1</v>
      </c>
      <c r="L33" s="129" t="str">
        <f t="shared" si="2"/>
        <v>NO</v>
      </c>
      <c r="N33">
        <v>2</v>
      </c>
    </row>
    <row r="34" spans="1:14" x14ac:dyDescent="0.3">
      <c r="A34" s="98">
        <v>24</v>
      </c>
      <c r="B34" s="100" t="s">
        <v>214</v>
      </c>
      <c r="C34" s="99">
        <v>20231183</v>
      </c>
      <c r="D34" s="135">
        <f>COUNTIF(PRELIM!C33:R33,"A")</f>
        <v>0</v>
      </c>
      <c r="E34" s="136">
        <f>COUNTIF(PRELIM!C33:R33,"L")</f>
        <v>0</v>
      </c>
      <c r="F34" s="143">
        <f>COUNTIF(MIDTERM!C33:R33,"A")</f>
        <v>2</v>
      </c>
      <c r="G34" s="144">
        <f>COUNTIF(MIDTERM!C33:R33,"L")</f>
        <v>0</v>
      </c>
      <c r="H34" s="151">
        <f>COUNTIF(FINALS!C33:R33,"A")</f>
        <v>0</v>
      </c>
      <c r="I34" s="152">
        <f>COUNTIF(FINALS!C33:R33,"L")</f>
        <v>0</v>
      </c>
      <c r="J34" s="157">
        <f t="shared" si="0"/>
        <v>0</v>
      </c>
      <c r="K34" s="156">
        <f t="shared" si="1"/>
        <v>2</v>
      </c>
      <c r="L34" s="129" t="str">
        <f t="shared" si="2"/>
        <v>NO</v>
      </c>
    </row>
    <row r="35" spans="1:14" x14ac:dyDescent="0.3">
      <c r="A35" s="98">
        <v>25</v>
      </c>
      <c r="B35" s="100" t="s">
        <v>215</v>
      </c>
      <c r="C35" s="99">
        <v>20230598</v>
      </c>
      <c r="D35" s="135">
        <f>COUNTIF(PRELIM!C34:R34,"A")</f>
        <v>0</v>
      </c>
      <c r="E35" s="136">
        <f>COUNTIF(PRELIM!C34:R34,"L")</f>
        <v>0</v>
      </c>
      <c r="F35" s="143">
        <f>COUNTIF(MIDTERM!C34:R34,"A")</f>
        <v>0</v>
      </c>
      <c r="G35" s="144">
        <f>COUNTIF(MIDTERM!C34:R34,"L")</f>
        <v>0</v>
      </c>
      <c r="H35" s="151">
        <f>COUNTIF(FINALS!C34:R34,"A")</f>
        <v>0</v>
      </c>
      <c r="I35" s="152">
        <f>COUNTIF(FINALS!C34:R34,"L")</f>
        <v>0</v>
      </c>
      <c r="J35" s="157">
        <f t="shared" si="0"/>
        <v>0</v>
      </c>
      <c r="K35" s="156">
        <f t="shared" si="1"/>
        <v>0</v>
      </c>
      <c r="L35" s="129" t="str">
        <f t="shared" si="2"/>
        <v>NO</v>
      </c>
    </row>
    <row r="36" spans="1:14" x14ac:dyDescent="0.3">
      <c r="A36" s="98">
        <v>26</v>
      </c>
      <c r="B36" s="100" t="s">
        <v>216</v>
      </c>
      <c r="C36" s="99">
        <v>20230382</v>
      </c>
      <c r="D36" s="135">
        <f>COUNTIF(PRELIM!C35:R35,"A")</f>
        <v>0</v>
      </c>
      <c r="E36" s="136">
        <f>COUNTIF(PRELIM!C35:R35,"L")</f>
        <v>0</v>
      </c>
      <c r="F36" s="143">
        <f>COUNTIF(MIDTERM!C35:R35,"A")</f>
        <v>1</v>
      </c>
      <c r="G36" s="144">
        <f>COUNTIF(MIDTERM!C35:R35,"L")</f>
        <v>0</v>
      </c>
      <c r="H36" s="151">
        <f>COUNTIF(FINALS!C35:R35,"A")</f>
        <v>0</v>
      </c>
      <c r="I36" s="152">
        <f>COUNTIF(FINALS!C35:R35,"L")</f>
        <v>0</v>
      </c>
      <c r="J36" s="157">
        <f t="shared" si="0"/>
        <v>0</v>
      </c>
      <c r="K36" s="156">
        <f t="shared" si="1"/>
        <v>1</v>
      </c>
      <c r="L36" s="129" t="str">
        <f t="shared" si="2"/>
        <v>NO</v>
      </c>
      <c r="N36">
        <v>1</v>
      </c>
    </row>
    <row r="37" spans="1:14" x14ac:dyDescent="0.3">
      <c r="A37" s="98">
        <v>27</v>
      </c>
      <c r="B37" s="100" t="s">
        <v>217</v>
      </c>
      <c r="C37" s="99">
        <v>20230869</v>
      </c>
      <c r="D37" s="135">
        <f>COUNTIF(PRELIM!C36:R36,"A")</f>
        <v>0</v>
      </c>
      <c r="E37" s="136">
        <f>COUNTIF(PRELIM!C36:R36,"L")</f>
        <v>0</v>
      </c>
      <c r="F37" s="143">
        <f>COUNTIF(MIDTERM!C36:R36,"A")</f>
        <v>1</v>
      </c>
      <c r="G37" s="144">
        <f>COUNTIF(MIDTERM!C36:R36,"L")</f>
        <v>0</v>
      </c>
      <c r="H37" s="151">
        <f>COUNTIF(FINALS!C36:R36,"A")</f>
        <v>0</v>
      </c>
      <c r="I37" s="152">
        <f>COUNTIF(FINALS!C36:R36,"L")</f>
        <v>0</v>
      </c>
      <c r="J37" s="157">
        <f t="shared" si="0"/>
        <v>0</v>
      </c>
      <c r="K37" s="156">
        <f t="shared" si="1"/>
        <v>1</v>
      </c>
      <c r="L37" s="129" t="str">
        <f t="shared" si="2"/>
        <v>NO</v>
      </c>
      <c r="N37">
        <v>1</v>
      </c>
    </row>
    <row r="38" spans="1:14" x14ac:dyDescent="0.3">
      <c r="A38" s="98">
        <v>28</v>
      </c>
      <c r="B38" s="100" t="s">
        <v>218</v>
      </c>
      <c r="C38" s="99">
        <v>20230085</v>
      </c>
      <c r="D38" s="135">
        <f>COUNTIF(PRELIM!C37:R37,"A")</f>
        <v>0</v>
      </c>
      <c r="E38" s="136">
        <f>COUNTIF(PRELIM!C37:R37,"L")</f>
        <v>0</v>
      </c>
      <c r="F38" s="143">
        <f>COUNTIF(MIDTERM!C37:R37,"A")</f>
        <v>1</v>
      </c>
      <c r="G38" s="144">
        <f>COUNTIF(MIDTERM!C37:R37,"L")</f>
        <v>0</v>
      </c>
      <c r="H38" s="151">
        <f>COUNTIF(FINALS!C37:R37,"A")</f>
        <v>0</v>
      </c>
      <c r="I38" s="152">
        <f>COUNTIF(FINALS!C37:R37,"L")</f>
        <v>0</v>
      </c>
      <c r="J38" s="157">
        <f t="shared" si="0"/>
        <v>0</v>
      </c>
      <c r="K38" s="156">
        <f t="shared" si="1"/>
        <v>1</v>
      </c>
      <c r="L38" s="129" t="str">
        <f t="shared" si="2"/>
        <v>NO</v>
      </c>
      <c r="N38">
        <v>1</v>
      </c>
    </row>
    <row r="39" spans="1:14" x14ac:dyDescent="0.3">
      <c r="A39" s="98">
        <v>29</v>
      </c>
      <c r="B39" s="100" t="s">
        <v>219</v>
      </c>
      <c r="C39" s="99">
        <v>20232841</v>
      </c>
      <c r="D39" s="135">
        <f>COUNTIF(PRELIM!C38:R38,"A")</f>
        <v>0</v>
      </c>
      <c r="E39" s="136">
        <f>COUNTIF(PRELIM!C38:R38,"L")</f>
        <v>0</v>
      </c>
      <c r="F39" s="143">
        <f>COUNTIF(MIDTERM!C38:R38,"A")</f>
        <v>0</v>
      </c>
      <c r="G39" s="144">
        <f>COUNTIF(MIDTERM!C38:R38,"L")</f>
        <v>0</v>
      </c>
      <c r="H39" s="151">
        <f>COUNTIF(FINALS!C38:R38,"A")</f>
        <v>0</v>
      </c>
      <c r="I39" s="152">
        <f>COUNTIF(FINALS!C38:R38,"L")</f>
        <v>0</v>
      </c>
      <c r="J39" s="157">
        <f t="shared" si="0"/>
        <v>0</v>
      </c>
      <c r="K39" s="156">
        <f t="shared" si="1"/>
        <v>0</v>
      </c>
      <c r="L39" s="129" t="str">
        <f t="shared" si="2"/>
        <v>NO</v>
      </c>
      <c r="N39">
        <v>1</v>
      </c>
    </row>
    <row r="40" spans="1:14" x14ac:dyDescent="0.3">
      <c r="A40" s="98">
        <v>30</v>
      </c>
      <c r="B40" s="100" t="s">
        <v>220</v>
      </c>
      <c r="C40" s="99">
        <v>20231289</v>
      </c>
      <c r="D40" s="135">
        <f>COUNTIF(PRELIM!C39:R39,"A")</f>
        <v>0</v>
      </c>
      <c r="E40" s="136">
        <f>COUNTIF(PRELIM!C39:R39,"L")</f>
        <v>0</v>
      </c>
      <c r="F40" s="143">
        <f>COUNTIF(MIDTERM!C39:R39,"A")</f>
        <v>0</v>
      </c>
      <c r="G40" s="144">
        <f>COUNTIF(MIDTERM!C39:R39,"L")</f>
        <v>0</v>
      </c>
      <c r="H40" s="151">
        <f>COUNTIF(FINALS!C39:R39,"A")</f>
        <v>0</v>
      </c>
      <c r="I40" s="152">
        <f>COUNTIF(FINALS!C39:R39,"L")</f>
        <v>0</v>
      </c>
      <c r="J40" s="157">
        <f t="shared" si="0"/>
        <v>0</v>
      </c>
      <c r="K40" s="156">
        <f t="shared" si="1"/>
        <v>0</v>
      </c>
      <c r="L40" s="129" t="str">
        <f t="shared" si="2"/>
        <v>NO</v>
      </c>
    </row>
    <row r="41" spans="1:14" x14ac:dyDescent="0.3">
      <c r="A41" s="98">
        <v>31</v>
      </c>
      <c r="B41" s="100" t="s">
        <v>221</v>
      </c>
      <c r="C41" s="99">
        <v>20232395</v>
      </c>
      <c r="D41" s="135">
        <f>COUNTIF(PRELIM!C40:R40,"A")</f>
        <v>0</v>
      </c>
      <c r="E41" s="136">
        <f>COUNTIF(PRELIM!C40:R40,"L")</f>
        <v>0</v>
      </c>
      <c r="F41" s="143">
        <f>COUNTIF(MIDTERM!C40:R40,"A")</f>
        <v>0</v>
      </c>
      <c r="G41" s="144">
        <f>COUNTIF(MIDTERM!C40:R40,"L")</f>
        <v>0</v>
      </c>
      <c r="H41" s="151">
        <f>COUNTIF(FINALS!C40:R40,"A")</f>
        <v>0</v>
      </c>
      <c r="I41" s="152">
        <f>COUNTIF(FINALS!C40:R40,"L")</f>
        <v>0</v>
      </c>
      <c r="J41" s="157">
        <f t="shared" si="0"/>
        <v>0</v>
      </c>
      <c r="K41" s="156">
        <f t="shared" si="1"/>
        <v>0</v>
      </c>
      <c r="L41" s="129" t="str">
        <f t="shared" si="2"/>
        <v>NO</v>
      </c>
    </row>
    <row r="42" spans="1:14" x14ac:dyDescent="0.3">
      <c r="A42" s="98">
        <v>32</v>
      </c>
      <c r="B42" s="100" t="s">
        <v>222</v>
      </c>
      <c r="C42" s="99">
        <v>20230843</v>
      </c>
      <c r="D42" s="135">
        <f>COUNTIF(PRELIM!C41:R41,"A")</f>
        <v>0</v>
      </c>
      <c r="E42" s="136">
        <f>COUNTIF(PRELIM!C41:R41,"L")</f>
        <v>0</v>
      </c>
      <c r="F42" s="143">
        <f>COUNTIF(MIDTERM!C41:R41,"A")</f>
        <v>2</v>
      </c>
      <c r="G42" s="144">
        <f>COUNTIF(MIDTERM!C41:R41,"L")</f>
        <v>0</v>
      </c>
      <c r="H42" s="151">
        <f>COUNTIF(FINALS!C41:R41,"A")</f>
        <v>0</v>
      </c>
      <c r="I42" s="152">
        <f>COUNTIF(FINALS!C41:R41,"L")</f>
        <v>0</v>
      </c>
      <c r="J42" s="157">
        <f t="shared" si="0"/>
        <v>0</v>
      </c>
      <c r="K42" s="156">
        <f t="shared" si="1"/>
        <v>2</v>
      </c>
      <c r="L42" s="129" t="str">
        <f t="shared" si="2"/>
        <v>NO</v>
      </c>
    </row>
    <row r="43" spans="1:14" x14ac:dyDescent="0.3">
      <c r="A43" s="98">
        <v>33</v>
      </c>
      <c r="B43" s="100" t="s">
        <v>223</v>
      </c>
      <c r="C43" s="99">
        <v>20232679</v>
      </c>
      <c r="D43" s="135">
        <f>COUNTIF(PRELIM!C42:R42,"A")</f>
        <v>0</v>
      </c>
      <c r="E43" s="136">
        <f>COUNTIF(PRELIM!C42:R42,"L")</f>
        <v>0</v>
      </c>
      <c r="F43" s="143">
        <f>COUNTIF(MIDTERM!C42:R42,"A")</f>
        <v>0</v>
      </c>
      <c r="G43" s="144">
        <f>COUNTIF(MIDTERM!C42:R42,"L")</f>
        <v>0</v>
      </c>
      <c r="H43" s="151">
        <f>COUNTIF(FINALS!C42:R42,"A")</f>
        <v>0</v>
      </c>
      <c r="I43" s="152">
        <f>COUNTIF(FINALS!C42:R42,"L")</f>
        <v>0</v>
      </c>
      <c r="J43" s="157">
        <f t="shared" si="0"/>
        <v>0</v>
      </c>
      <c r="K43" s="156">
        <f t="shared" si="1"/>
        <v>0</v>
      </c>
      <c r="L43" s="129" t="str">
        <f t="shared" si="2"/>
        <v>NO</v>
      </c>
    </row>
    <row r="44" spans="1:14" x14ac:dyDescent="0.3">
      <c r="A44" s="98">
        <v>34</v>
      </c>
      <c r="B44" s="100" t="s">
        <v>224</v>
      </c>
      <c r="C44" s="99">
        <v>20221216</v>
      </c>
      <c r="D44" s="135">
        <f>COUNTIF(PRELIM!C43:R43,"A")</f>
        <v>0</v>
      </c>
      <c r="E44" s="136">
        <f>COUNTIF(PRELIM!C43:R43,"L")</f>
        <v>0</v>
      </c>
      <c r="F44" s="143">
        <f>COUNTIF(MIDTERM!C43:R43,"A")</f>
        <v>1</v>
      </c>
      <c r="G44" s="144">
        <f>COUNTIF(MIDTERM!C43:R43,"L")</f>
        <v>0</v>
      </c>
      <c r="H44" s="151">
        <f>COUNTIF(FINALS!C43:R43,"A")</f>
        <v>0</v>
      </c>
      <c r="I44" s="152">
        <f>COUNTIF(FINALS!C43:R43,"L")</f>
        <v>0</v>
      </c>
      <c r="J44" s="157">
        <f t="shared" si="0"/>
        <v>0</v>
      </c>
      <c r="K44" s="156">
        <f t="shared" si="1"/>
        <v>1</v>
      </c>
      <c r="L44" s="129" t="str">
        <f t="shared" si="2"/>
        <v>NO</v>
      </c>
      <c r="N44">
        <v>1</v>
      </c>
    </row>
    <row r="45" spans="1:14" x14ac:dyDescent="0.3">
      <c r="A45" s="98">
        <v>35</v>
      </c>
      <c r="B45" s="100" t="s">
        <v>225</v>
      </c>
      <c r="C45" s="99">
        <v>20230959</v>
      </c>
      <c r="D45" s="135">
        <f>COUNTIF(PRELIM!C44:R44,"A")</f>
        <v>0</v>
      </c>
      <c r="E45" s="136">
        <f>COUNTIF(PRELIM!C44:R44,"L")</f>
        <v>0</v>
      </c>
      <c r="F45" s="143">
        <f>COUNTIF(MIDTERM!C44:R44,"A")</f>
        <v>0</v>
      </c>
      <c r="G45" s="144">
        <f>COUNTIF(MIDTERM!C44:R44,"L")</f>
        <v>0</v>
      </c>
      <c r="H45" s="151">
        <f>COUNTIF(FINALS!C44:R44,"A")</f>
        <v>0</v>
      </c>
      <c r="I45" s="152">
        <f>COUNTIF(FINALS!C44:R44,"L")</f>
        <v>0</v>
      </c>
      <c r="J45" s="157">
        <f t="shared" si="0"/>
        <v>0</v>
      </c>
      <c r="K45" s="156">
        <f t="shared" si="1"/>
        <v>0</v>
      </c>
      <c r="L45" s="129" t="str">
        <f t="shared" si="2"/>
        <v>NO</v>
      </c>
      <c r="N45">
        <v>1</v>
      </c>
    </row>
    <row r="46" spans="1:14" x14ac:dyDescent="0.3">
      <c r="A46" s="98">
        <v>36</v>
      </c>
      <c r="B46" s="100" t="s">
        <v>226</v>
      </c>
      <c r="C46" s="99">
        <v>20232474</v>
      </c>
      <c r="D46" s="135">
        <f>COUNTIF(PRELIM!C45:R45,"A")</f>
        <v>0</v>
      </c>
      <c r="E46" s="136">
        <f>COUNTIF(PRELIM!C45:R45,"L")</f>
        <v>0</v>
      </c>
      <c r="F46" s="143">
        <f>COUNTIF(MIDTERM!C45:R45,"A")</f>
        <v>0</v>
      </c>
      <c r="G46" s="144">
        <f>COUNTIF(MIDTERM!C45:R45,"L")</f>
        <v>0</v>
      </c>
      <c r="H46" s="151">
        <f>COUNTIF(FINALS!C45:R45,"A")</f>
        <v>0</v>
      </c>
      <c r="I46" s="152">
        <f>COUNTIF(FINALS!C45:R45,"L")</f>
        <v>0</v>
      </c>
      <c r="J46" s="157">
        <f t="shared" si="0"/>
        <v>0</v>
      </c>
      <c r="K46" s="156">
        <f t="shared" si="1"/>
        <v>0</v>
      </c>
      <c r="L46" s="129" t="str">
        <f t="shared" si="2"/>
        <v>NO</v>
      </c>
    </row>
    <row r="47" spans="1:14" x14ac:dyDescent="0.3">
      <c r="A47" s="98">
        <v>37</v>
      </c>
      <c r="B47" s="100" t="s">
        <v>227</v>
      </c>
      <c r="C47" s="99">
        <v>20232644</v>
      </c>
      <c r="D47" s="135">
        <f>COUNTIF(PRELIM!C46:R46,"A")</f>
        <v>0</v>
      </c>
      <c r="E47" s="136">
        <f>COUNTIF(PRELIM!C46:R46,"L")</f>
        <v>0</v>
      </c>
      <c r="F47" s="143">
        <f>COUNTIF(MIDTERM!C46:R46,"A")</f>
        <v>0</v>
      </c>
      <c r="G47" s="144">
        <f>COUNTIF(MIDTERM!C46:R46,"L")</f>
        <v>0</v>
      </c>
      <c r="H47" s="151">
        <f>COUNTIF(FINALS!C46:R46,"A")</f>
        <v>0</v>
      </c>
      <c r="I47" s="152">
        <f>COUNTIF(FINALS!C46:R46,"L")</f>
        <v>0</v>
      </c>
      <c r="J47" s="157">
        <f t="shared" si="0"/>
        <v>0</v>
      </c>
      <c r="K47" s="156">
        <f t="shared" si="1"/>
        <v>0</v>
      </c>
      <c r="L47" s="129" t="str">
        <f t="shared" si="2"/>
        <v>NO</v>
      </c>
      <c r="N47">
        <v>2</v>
      </c>
    </row>
    <row r="48" spans="1:14" x14ac:dyDescent="0.3">
      <c r="A48" s="98">
        <v>38</v>
      </c>
      <c r="B48" s="100"/>
      <c r="C48" s="99"/>
      <c r="D48" s="135">
        <f>COUNTIF(PRELIM!C47:R47,"A")</f>
        <v>0</v>
      </c>
      <c r="E48" s="136">
        <f>COUNTIF(PRELIM!C47:R47,"L")</f>
        <v>0</v>
      </c>
      <c r="F48" s="143">
        <f>COUNTIF(MIDTERM!C47:R47,"A")</f>
        <v>0</v>
      </c>
      <c r="G48" s="144">
        <f>COUNTIF(MIDTERM!C47:R47,"L")</f>
        <v>0</v>
      </c>
      <c r="H48" s="151">
        <f>COUNTIF(FINALS!C47:R47,"A")</f>
        <v>0</v>
      </c>
      <c r="I48" s="152">
        <f>COUNTIF(FINALS!C47:R47,"L")</f>
        <v>0</v>
      </c>
      <c r="J48" s="157">
        <f t="shared" si="0"/>
        <v>0</v>
      </c>
      <c r="K48" s="156">
        <f t="shared" si="1"/>
        <v>0</v>
      </c>
      <c r="L48" s="129" t="str">
        <f t="shared" si="2"/>
        <v>NO</v>
      </c>
    </row>
    <row r="49" spans="1:12" x14ac:dyDescent="0.3">
      <c r="A49" s="98">
        <v>39</v>
      </c>
      <c r="B49" s="100"/>
      <c r="C49" s="99"/>
      <c r="D49" s="135">
        <f>COUNTIF(PRELIM!C48:R48,"A")</f>
        <v>0</v>
      </c>
      <c r="E49" s="136">
        <f>COUNTIF(PRELIM!C48:R48,"L")</f>
        <v>0</v>
      </c>
      <c r="F49" s="143">
        <f>COUNTIF(MIDTERM!C48:R48,"A")</f>
        <v>0</v>
      </c>
      <c r="G49" s="144">
        <f>COUNTIF(MIDTERM!C48:R48,"L")</f>
        <v>0</v>
      </c>
      <c r="H49" s="151">
        <f>COUNTIF(FINALS!C48:R48,"A")</f>
        <v>0</v>
      </c>
      <c r="I49" s="152">
        <f>COUNTIF(FINALS!C48:R48,"L")</f>
        <v>0</v>
      </c>
      <c r="J49" s="157">
        <f t="shared" si="0"/>
        <v>0</v>
      </c>
      <c r="K49" s="156">
        <f t="shared" si="1"/>
        <v>0</v>
      </c>
      <c r="L49" s="129" t="str">
        <f t="shared" si="2"/>
        <v>NO</v>
      </c>
    </row>
    <row r="50" spans="1:12" x14ac:dyDescent="0.3">
      <c r="A50" s="98">
        <v>40</v>
      </c>
      <c r="B50" s="100"/>
      <c r="C50" s="99"/>
      <c r="D50" s="135">
        <f>COUNTIF(PRELIM!C49:R49,"A")</f>
        <v>0</v>
      </c>
      <c r="E50" s="136">
        <f>COUNTIF(PRELIM!C49:R49,"L")</f>
        <v>0</v>
      </c>
      <c r="F50" s="143">
        <f>COUNTIF(MIDTERM!C49:R49,"A")</f>
        <v>0</v>
      </c>
      <c r="G50" s="144">
        <f>COUNTIF(MIDTERM!C49:R49,"L")</f>
        <v>0</v>
      </c>
      <c r="H50" s="151">
        <f>COUNTIF(FINALS!C49:R49,"A")</f>
        <v>0</v>
      </c>
      <c r="I50" s="152">
        <f>COUNTIF(FINALS!C49:R49,"L")</f>
        <v>0</v>
      </c>
      <c r="J50" s="157">
        <f t="shared" si="0"/>
        <v>0</v>
      </c>
      <c r="K50" s="156">
        <f t="shared" si="1"/>
        <v>0</v>
      </c>
      <c r="L50" s="129" t="str">
        <f t="shared" si="2"/>
        <v>NO</v>
      </c>
    </row>
    <row r="51" spans="1:12" x14ac:dyDescent="0.3">
      <c r="A51" s="98">
        <v>41</v>
      </c>
      <c r="B51" s="100"/>
      <c r="C51" s="99"/>
      <c r="D51" s="135">
        <f>COUNTIF(PRELIM!C50:R50,"A")</f>
        <v>0</v>
      </c>
      <c r="E51" s="136">
        <f>COUNTIF(PRELIM!C50:R50,"L")</f>
        <v>0</v>
      </c>
      <c r="F51" s="143">
        <f>COUNTIF(MIDTERM!C50:R50,"A")</f>
        <v>0</v>
      </c>
      <c r="G51" s="144">
        <f>COUNTIF(MIDTERM!C50:R50,"L")</f>
        <v>0</v>
      </c>
      <c r="H51" s="151">
        <f>COUNTIF(FINALS!C50:R50,"A")</f>
        <v>0</v>
      </c>
      <c r="I51" s="152">
        <f>COUNTIF(FINALS!C50:R50,"L")</f>
        <v>0</v>
      </c>
      <c r="J51" s="157">
        <f t="shared" si="0"/>
        <v>0</v>
      </c>
      <c r="K51" s="156">
        <f t="shared" si="1"/>
        <v>0</v>
      </c>
      <c r="L51" s="129" t="str">
        <f t="shared" si="2"/>
        <v>NO</v>
      </c>
    </row>
    <row r="52" spans="1:12" x14ac:dyDescent="0.3">
      <c r="A52" s="98">
        <v>42</v>
      </c>
      <c r="B52" s="100"/>
      <c r="C52" s="99"/>
      <c r="D52" s="135">
        <f>COUNTIF(PRELIM!C51:R51,"A")</f>
        <v>0</v>
      </c>
      <c r="E52" s="136">
        <f>COUNTIF(PRELIM!C51:R51,"L")</f>
        <v>0</v>
      </c>
      <c r="F52" s="143">
        <f>COUNTIF(MIDTERM!C51:R51,"A")</f>
        <v>0</v>
      </c>
      <c r="G52" s="144">
        <f>COUNTIF(MIDTERM!C51:R51,"L")</f>
        <v>0</v>
      </c>
      <c r="H52" s="151">
        <f>COUNTIF(FINALS!C51:R51,"A")</f>
        <v>0</v>
      </c>
      <c r="I52" s="152">
        <f>COUNTIF(FINALS!C51:R51,"L")</f>
        <v>0</v>
      </c>
      <c r="J52" s="157">
        <f t="shared" si="0"/>
        <v>0</v>
      </c>
      <c r="K52" s="156">
        <f t="shared" si="1"/>
        <v>0</v>
      </c>
      <c r="L52" s="129" t="str">
        <f t="shared" si="2"/>
        <v>NO</v>
      </c>
    </row>
    <row r="53" spans="1:12" x14ac:dyDescent="0.3">
      <c r="A53" s="98">
        <v>43</v>
      </c>
      <c r="B53" s="100"/>
      <c r="C53" s="99"/>
      <c r="D53" s="135">
        <f>COUNTIF(PRELIM!C52:R52,"A")</f>
        <v>0</v>
      </c>
      <c r="E53" s="136">
        <f>COUNTIF(PRELIM!C52:R52,"L")</f>
        <v>0</v>
      </c>
      <c r="F53" s="143">
        <f>COUNTIF(MIDTERM!C52:R52,"A")</f>
        <v>0</v>
      </c>
      <c r="G53" s="144">
        <f>COUNTIF(MIDTERM!C52:R52,"L")</f>
        <v>0</v>
      </c>
      <c r="H53" s="151">
        <f>COUNTIF(FINALS!C52:R52,"A")</f>
        <v>0</v>
      </c>
      <c r="I53" s="152">
        <f>COUNTIF(FINALS!C52:R52,"L")</f>
        <v>0</v>
      </c>
      <c r="J53" s="157">
        <f t="shared" si="0"/>
        <v>0</v>
      </c>
      <c r="K53" s="156">
        <f t="shared" si="1"/>
        <v>0</v>
      </c>
      <c r="L53" s="129" t="str">
        <f t="shared" si="2"/>
        <v>NO</v>
      </c>
    </row>
    <row r="54" spans="1:12" x14ac:dyDescent="0.3">
      <c r="A54" s="98">
        <v>44</v>
      </c>
      <c r="B54" s="100"/>
      <c r="C54" s="99"/>
      <c r="D54" s="135">
        <f>COUNTIF(PRELIM!C53:R53,"A")</f>
        <v>0</v>
      </c>
      <c r="E54" s="136">
        <f>COUNTIF(PRELIM!C53:R53,"L")</f>
        <v>0</v>
      </c>
      <c r="F54" s="143">
        <f>COUNTIF(MIDTERM!C53:R53,"A")</f>
        <v>0</v>
      </c>
      <c r="G54" s="144">
        <f>COUNTIF(MIDTERM!C53:R53,"L")</f>
        <v>0</v>
      </c>
      <c r="H54" s="151">
        <f>COUNTIF(FINALS!C53:R53,"A")</f>
        <v>0</v>
      </c>
      <c r="I54" s="152">
        <f>COUNTIF(FINALS!C53:R53,"L")</f>
        <v>0</v>
      </c>
      <c r="J54" s="157">
        <f t="shared" si="0"/>
        <v>0</v>
      </c>
      <c r="K54" s="156">
        <f t="shared" si="1"/>
        <v>0</v>
      </c>
      <c r="L54" s="129" t="str">
        <f t="shared" si="2"/>
        <v>NO</v>
      </c>
    </row>
    <row r="55" spans="1:12" x14ac:dyDescent="0.3">
      <c r="A55" s="98">
        <v>45</v>
      </c>
      <c r="B55" s="100"/>
      <c r="C55" s="99"/>
      <c r="D55" s="135">
        <f>COUNTIF(PRELIM!C54:R54,"A")</f>
        <v>0</v>
      </c>
      <c r="E55" s="136">
        <f>COUNTIF(PRELIM!C54:R54,"L")</f>
        <v>0</v>
      </c>
      <c r="F55" s="143">
        <f>COUNTIF(MIDTERM!C54:R54,"A")</f>
        <v>0</v>
      </c>
      <c r="G55" s="144">
        <f>COUNTIF(MIDTERM!C54:R54,"L")</f>
        <v>0</v>
      </c>
      <c r="H55" s="151">
        <f>COUNTIF(FINALS!C54:R54,"A")</f>
        <v>0</v>
      </c>
      <c r="I55" s="152">
        <f>COUNTIF(FINALS!C54:R54,"L")</f>
        <v>0</v>
      </c>
      <c r="J55" s="157">
        <f t="shared" si="0"/>
        <v>0</v>
      </c>
      <c r="K55" s="156">
        <f t="shared" si="1"/>
        <v>0</v>
      </c>
      <c r="L55" s="129" t="str">
        <f t="shared" si="2"/>
        <v>NO</v>
      </c>
    </row>
    <row r="56" spans="1:12" x14ac:dyDescent="0.3">
      <c r="A56" s="98">
        <v>46</v>
      </c>
      <c r="B56" s="100"/>
      <c r="C56" s="99"/>
      <c r="D56" s="135">
        <f>COUNTIF(PRELIM!C55:R55,"A")</f>
        <v>0</v>
      </c>
      <c r="E56" s="136">
        <f>COUNTIF(PRELIM!C55:R55,"L")</f>
        <v>0</v>
      </c>
      <c r="F56" s="143">
        <f>COUNTIF(MIDTERM!C55:R55,"A")</f>
        <v>0</v>
      </c>
      <c r="G56" s="144">
        <f>COUNTIF(MIDTERM!C55:R55,"L")</f>
        <v>0</v>
      </c>
      <c r="H56" s="151">
        <f>COUNTIF(FINALS!C55:R55,"A")</f>
        <v>0</v>
      </c>
      <c r="I56" s="152">
        <f>COUNTIF(FINALS!C55:R55,"L")</f>
        <v>0</v>
      </c>
      <c r="J56" s="157">
        <f t="shared" si="0"/>
        <v>0</v>
      </c>
      <c r="K56" s="156">
        <f t="shared" si="1"/>
        <v>0</v>
      </c>
      <c r="L56" s="129" t="str">
        <f t="shared" si="2"/>
        <v>NO</v>
      </c>
    </row>
    <row r="57" spans="1:12" x14ac:dyDescent="0.3">
      <c r="A57" s="98">
        <v>47</v>
      </c>
      <c r="B57" s="100"/>
      <c r="C57" s="99"/>
      <c r="D57" s="135">
        <f>COUNTIF(PRELIM!C56:R56,"A")</f>
        <v>0</v>
      </c>
      <c r="E57" s="136">
        <f>COUNTIF(PRELIM!C56:R56,"L")</f>
        <v>0</v>
      </c>
      <c r="F57" s="143">
        <f>COUNTIF(MIDTERM!C56:R56,"A")</f>
        <v>0</v>
      </c>
      <c r="G57" s="144">
        <f>COUNTIF(MIDTERM!C56:R56,"L")</f>
        <v>0</v>
      </c>
      <c r="H57" s="151">
        <f>COUNTIF(FINALS!C56:R56,"A")</f>
        <v>0</v>
      </c>
      <c r="I57" s="152">
        <f>COUNTIF(FINALS!C56:R56,"L")</f>
        <v>0</v>
      </c>
      <c r="J57" s="157">
        <f t="shared" si="0"/>
        <v>0</v>
      </c>
      <c r="K57" s="156">
        <f t="shared" si="1"/>
        <v>0</v>
      </c>
      <c r="L57" s="129" t="str">
        <f t="shared" si="2"/>
        <v>NO</v>
      </c>
    </row>
    <row r="58" spans="1:12" x14ac:dyDescent="0.3">
      <c r="A58" s="98">
        <v>48</v>
      </c>
      <c r="B58" s="100"/>
      <c r="C58" s="99"/>
      <c r="D58" s="135">
        <f>COUNTIF(PRELIM!C57:R57,"A")</f>
        <v>0</v>
      </c>
      <c r="E58" s="136">
        <f>COUNTIF(PRELIM!C57:R57,"L")</f>
        <v>0</v>
      </c>
      <c r="F58" s="143">
        <f>COUNTIF(MIDTERM!C57:R57,"A")</f>
        <v>0</v>
      </c>
      <c r="G58" s="144">
        <f>COUNTIF(MIDTERM!C57:R57,"L")</f>
        <v>0</v>
      </c>
      <c r="H58" s="151">
        <f>COUNTIF(FINALS!C57:R57,"A")</f>
        <v>0</v>
      </c>
      <c r="I58" s="152">
        <f>COUNTIF(FINALS!C57:R57,"L")</f>
        <v>0</v>
      </c>
      <c r="J58" s="157">
        <f t="shared" si="0"/>
        <v>0</v>
      </c>
      <c r="K58" s="156">
        <f t="shared" si="1"/>
        <v>0</v>
      </c>
      <c r="L58" s="129" t="str">
        <f t="shared" si="2"/>
        <v>NO</v>
      </c>
    </row>
    <row r="59" spans="1:12" x14ac:dyDescent="0.3">
      <c r="A59" s="98">
        <v>49</v>
      </c>
      <c r="B59" s="100"/>
      <c r="C59" s="99"/>
      <c r="D59" s="135">
        <f>COUNTIF(PRELIM!C58:R58,"A")</f>
        <v>0</v>
      </c>
      <c r="E59" s="136">
        <f>COUNTIF(PRELIM!C58:R58,"L")</f>
        <v>0</v>
      </c>
      <c r="F59" s="143">
        <f>COUNTIF(MIDTERM!C58:R58,"A")</f>
        <v>0</v>
      </c>
      <c r="G59" s="144">
        <f>COUNTIF(MIDTERM!C58:R58,"L")</f>
        <v>0</v>
      </c>
      <c r="H59" s="151">
        <f>COUNTIF(FINALS!C58:R58,"A")</f>
        <v>0</v>
      </c>
      <c r="I59" s="152">
        <f>COUNTIF(FINALS!C58:R58,"L")</f>
        <v>0</v>
      </c>
      <c r="J59" s="157">
        <f t="shared" si="0"/>
        <v>0</v>
      </c>
      <c r="K59" s="156">
        <f t="shared" si="1"/>
        <v>0</v>
      </c>
      <c r="L59" s="129" t="str">
        <f t="shared" si="2"/>
        <v>NO</v>
      </c>
    </row>
    <row r="60" spans="1:12" ht="15" thickBot="1" x14ac:dyDescent="0.35">
      <c r="A60" s="98">
        <v>50</v>
      </c>
      <c r="B60" s="127"/>
      <c r="C60" s="128"/>
      <c r="D60" s="137">
        <f>COUNTIF(PRELIM!C59:R59,"A")</f>
        <v>0</v>
      </c>
      <c r="E60" s="138">
        <f>COUNTIF(PRELIM!C59:R59,"L")</f>
        <v>0</v>
      </c>
      <c r="F60" s="145">
        <f>COUNTIF(MIDTERM!C59:R59,"A")</f>
        <v>0</v>
      </c>
      <c r="G60" s="146">
        <f>COUNTIF(MIDTERM!C59:R59,"L")</f>
        <v>0</v>
      </c>
      <c r="H60" s="153">
        <f>COUNTIF(FINALS!C59:R59,"A")</f>
        <v>0</v>
      </c>
      <c r="I60" s="154">
        <f>COUNTIF(FINALS!C59:R59,"L")</f>
        <v>0</v>
      </c>
      <c r="J60" s="158">
        <f t="shared" si="0"/>
        <v>0</v>
      </c>
      <c r="K60" s="159">
        <f t="shared" si="1"/>
        <v>0</v>
      </c>
      <c r="L60" s="130" t="str">
        <f t="shared" si="2"/>
        <v>NO</v>
      </c>
    </row>
  </sheetData>
  <mergeCells count="7">
    <mergeCell ref="D8:K8"/>
    <mergeCell ref="L8:L10"/>
    <mergeCell ref="D9:E9"/>
    <mergeCell ref="F9:G9"/>
    <mergeCell ref="H9:I9"/>
    <mergeCell ref="J9:J10"/>
    <mergeCell ref="K9:K10"/>
  </mergeCells>
  <conditionalFormatting sqref="L11:L60">
    <cfRule type="cellIs" dxfId="69" priority="4" operator="equal">
      <formula>"DROPPED"</formula>
    </cfRule>
  </conditionalFormatting>
  <conditionalFormatting sqref="B11:J60">
    <cfRule type="expression" dxfId="68" priority="2">
      <formula>$L11="DROPPED"</formula>
    </cfRule>
  </conditionalFormatting>
  <conditionalFormatting sqref="K11:K60">
    <cfRule type="expression" dxfId="67" priority="1">
      <formula>$L11="DROPPED"</formula>
    </cfRule>
  </conditionalFormatting>
  <dataValidations count="2">
    <dataValidation type="list" allowBlank="1" showInputMessage="1" showErrorMessage="1" sqref="C4" xr:uid="{D4FCACBF-2553-4AF6-8782-F24FF121F2ED}">
      <formula1>"1st Sem, 2nd Sem"</formula1>
    </dataValidation>
    <dataValidation type="list" allowBlank="1" showInputMessage="1" showErrorMessage="1" sqref="C5" xr:uid="{784E2526-FDA4-4BF5-A161-3A996EBD342C}">
      <formula1>"Regular, SP, Evening"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2A665-F2F4-49BE-BB21-BFFADD59221F}">
  <dimension ref="A1:P38"/>
  <sheetViews>
    <sheetView workbookViewId="0">
      <selection activeCell="E2" sqref="E2"/>
    </sheetView>
  </sheetViews>
  <sheetFormatPr defaultRowHeight="14.4" x14ac:dyDescent="0.3"/>
  <cols>
    <col min="2" max="2" width="12" bestFit="1" customWidth="1"/>
    <col min="16" max="16" width="17.77734375" bestFit="1" customWidth="1"/>
  </cols>
  <sheetData>
    <row r="1" spans="1:11" x14ac:dyDescent="0.3">
      <c r="B1" s="160" t="s">
        <v>189</v>
      </c>
      <c r="C1" s="161">
        <v>45827</v>
      </c>
      <c r="D1" s="161">
        <v>45828</v>
      </c>
      <c r="H1" t="s">
        <v>4</v>
      </c>
      <c r="I1" t="s">
        <v>5</v>
      </c>
      <c r="J1" t="s">
        <v>6</v>
      </c>
      <c r="K1" t="s">
        <v>7</v>
      </c>
    </row>
    <row r="2" spans="1:11" x14ac:dyDescent="0.3">
      <c r="A2" t="s">
        <v>191</v>
      </c>
      <c r="B2" t="s">
        <v>173</v>
      </c>
      <c r="C2" t="s">
        <v>190</v>
      </c>
      <c r="D2" t="s">
        <v>190</v>
      </c>
      <c r="H2">
        <v>5</v>
      </c>
      <c r="I2">
        <v>0</v>
      </c>
      <c r="J2">
        <v>7</v>
      </c>
      <c r="K2">
        <v>9</v>
      </c>
    </row>
    <row r="3" spans="1:11" x14ac:dyDescent="0.3">
      <c r="A3" t="s">
        <v>192</v>
      </c>
      <c r="B3" t="s">
        <v>174</v>
      </c>
      <c r="C3" t="s">
        <v>190</v>
      </c>
      <c r="D3" t="s">
        <v>190</v>
      </c>
      <c r="H3">
        <v>6</v>
      </c>
      <c r="I3">
        <v>3</v>
      </c>
      <c r="J3">
        <v>9</v>
      </c>
      <c r="K3">
        <v>9</v>
      </c>
    </row>
    <row r="4" spans="1:11" x14ac:dyDescent="0.3">
      <c r="A4" t="s">
        <v>193</v>
      </c>
      <c r="B4" t="s">
        <v>168</v>
      </c>
      <c r="C4" t="s">
        <v>190</v>
      </c>
      <c r="D4" t="s">
        <v>190</v>
      </c>
      <c r="H4">
        <v>4</v>
      </c>
      <c r="I4">
        <v>0</v>
      </c>
      <c r="J4">
        <v>5</v>
      </c>
      <c r="K4">
        <v>10</v>
      </c>
    </row>
    <row r="5" spans="1:11" x14ac:dyDescent="0.3">
      <c r="A5" t="s">
        <v>194</v>
      </c>
      <c r="B5" t="s">
        <v>165</v>
      </c>
      <c r="C5" t="s">
        <v>190</v>
      </c>
      <c r="D5" t="s">
        <v>190</v>
      </c>
      <c r="H5">
        <v>2</v>
      </c>
      <c r="I5">
        <v>0</v>
      </c>
      <c r="J5">
        <v>3</v>
      </c>
      <c r="K5">
        <v>5</v>
      </c>
    </row>
    <row r="6" spans="1:11" x14ac:dyDescent="0.3">
      <c r="A6" t="s">
        <v>195</v>
      </c>
      <c r="B6" t="s">
        <v>153</v>
      </c>
      <c r="C6" t="s">
        <v>190</v>
      </c>
      <c r="D6" t="s">
        <v>190</v>
      </c>
      <c r="H6">
        <v>9</v>
      </c>
      <c r="I6">
        <v>4</v>
      </c>
      <c r="J6">
        <v>8</v>
      </c>
      <c r="K6">
        <v>10</v>
      </c>
    </row>
    <row r="7" spans="1:11" x14ac:dyDescent="0.3">
      <c r="A7" t="s">
        <v>196</v>
      </c>
      <c r="B7" t="s">
        <v>167</v>
      </c>
      <c r="C7" t="s">
        <v>190</v>
      </c>
      <c r="D7" t="s">
        <v>190</v>
      </c>
      <c r="H7">
        <v>1</v>
      </c>
      <c r="I7">
        <v>0</v>
      </c>
      <c r="J7">
        <v>6</v>
      </c>
      <c r="K7">
        <v>6</v>
      </c>
    </row>
    <row r="8" spans="1:11" x14ac:dyDescent="0.3">
      <c r="A8" t="s">
        <v>197</v>
      </c>
      <c r="B8" t="s">
        <v>177</v>
      </c>
      <c r="C8" t="s">
        <v>190</v>
      </c>
      <c r="D8" t="s">
        <v>190</v>
      </c>
      <c r="H8">
        <v>3</v>
      </c>
      <c r="I8">
        <v>0</v>
      </c>
      <c r="J8">
        <v>6</v>
      </c>
      <c r="K8">
        <v>8</v>
      </c>
    </row>
    <row r="9" spans="1:11" x14ac:dyDescent="0.3">
      <c r="A9" t="s">
        <v>198</v>
      </c>
      <c r="B9" t="s">
        <v>182</v>
      </c>
      <c r="C9" t="s">
        <v>190</v>
      </c>
      <c r="D9" t="s">
        <v>190</v>
      </c>
      <c r="H9">
        <v>4</v>
      </c>
      <c r="I9">
        <v>0</v>
      </c>
      <c r="J9">
        <v>7</v>
      </c>
      <c r="K9">
        <v>6</v>
      </c>
    </row>
    <row r="10" spans="1:11" x14ac:dyDescent="0.3">
      <c r="A10" t="s">
        <v>199</v>
      </c>
      <c r="B10" t="s">
        <v>170</v>
      </c>
      <c r="C10" t="s">
        <v>190</v>
      </c>
      <c r="D10" t="s">
        <v>190</v>
      </c>
      <c r="H10">
        <v>3</v>
      </c>
      <c r="I10">
        <v>1</v>
      </c>
      <c r="J10">
        <v>4</v>
      </c>
      <c r="K10">
        <v>8</v>
      </c>
    </row>
    <row r="11" spans="1:11" x14ac:dyDescent="0.3">
      <c r="A11" t="s">
        <v>200</v>
      </c>
      <c r="B11" t="s">
        <v>187</v>
      </c>
      <c r="C11" t="s">
        <v>190</v>
      </c>
      <c r="D11" t="s">
        <v>190</v>
      </c>
      <c r="H11">
        <v>8</v>
      </c>
      <c r="I11">
        <v>4</v>
      </c>
      <c r="J11">
        <v>6</v>
      </c>
      <c r="K11">
        <v>6</v>
      </c>
    </row>
    <row r="12" spans="1:11" x14ac:dyDescent="0.3">
      <c r="A12" t="s">
        <v>201</v>
      </c>
      <c r="B12" t="s">
        <v>164</v>
      </c>
      <c r="C12" t="s">
        <v>190</v>
      </c>
      <c r="D12" t="s">
        <v>190</v>
      </c>
      <c r="H12">
        <v>5</v>
      </c>
      <c r="I12">
        <v>3</v>
      </c>
      <c r="J12">
        <v>7</v>
      </c>
      <c r="K12">
        <v>7</v>
      </c>
    </row>
    <row r="13" spans="1:11" x14ac:dyDescent="0.3">
      <c r="A13" t="s">
        <v>202</v>
      </c>
      <c r="B13" t="s">
        <v>188</v>
      </c>
      <c r="C13" t="s">
        <v>190</v>
      </c>
      <c r="D13" t="s">
        <v>190</v>
      </c>
      <c r="H13">
        <v>1</v>
      </c>
      <c r="I13">
        <v>2</v>
      </c>
      <c r="J13">
        <v>10</v>
      </c>
      <c r="K13">
        <v>6</v>
      </c>
    </row>
    <row r="14" spans="1:11" x14ac:dyDescent="0.3">
      <c r="A14" t="s">
        <v>203</v>
      </c>
      <c r="B14" t="s">
        <v>183</v>
      </c>
      <c r="C14" t="s">
        <v>190</v>
      </c>
      <c r="D14" t="s">
        <v>190</v>
      </c>
      <c r="H14">
        <v>8</v>
      </c>
      <c r="I14">
        <v>5</v>
      </c>
      <c r="J14">
        <v>10</v>
      </c>
      <c r="K14">
        <v>10</v>
      </c>
    </row>
    <row r="15" spans="1:11" x14ac:dyDescent="0.3">
      <c r="A15" t="s">
        <v>204</v>
      </c>
      <c r="B15" t="s">
        <v>186</v>
      </c>
      <c r="C15" t="s">
        <v>190</v>
      </c>
      <c r="D15" t="s">
        <v>190</v>
      </c>
      <c r="H15">
        <v>6</v>
      </c>
      <c r="I15">
        <v>4</v>
      </c>
      <c r="J15">
        <v>6</v>
      </c>
      <c r="K15">
        <v>7</v>
      </c>
    </row>
    <row r="16" spans="1:11" x14ac:dyDescent="0.3">
      <c r="A16" t="s">
        <v>205</v>
      </c>
      <c r="B16" t="s">
        <v>178</v>
      </c>
      <c r="C16" t="s">
        <v>190</v>
      </c>
      <c r="D16" t="s">
        <v>190</v>
      </c>
      <c r="H16">
        <v>6</v>
      </c>
      <c r="I16">
        <v>2</v>
      </c>
      <c r="J16">
        <v>4</v>
      </c>
      <c r="K16">
        <v>7</v>
      </c>
    </row>
    <row r="17" spans="1:16" x14ac:dyDescent="0.3">
      <c r="A17" t="s">
        <v>206</v>
      </c>
      <c r="B17" t="s">
        <v>162</v>
      </c>
      <c r="C17" t="s">
        <v>190</v>
      </c>
      <c r="D17" t="s">
        <v>190</v>
      </c>
      <c r="H17">
        <v>2</v>
      </c>
      <c r="I17">
        <v>1</v>
      </c>
      <c r="J17">
        <v>5</v>
      </c>
      <c r="K17">
        <v>6</v>
      </c>
    </row>
    <row r="18" spans="1:16" x14ac:dyDescent="0.3">
      <c r="A18" t="s">
        <v>207</v>
      </c>
      <c r="B18" t="s">
        <v>171</v>
      </c>
      <c r="C18" t="s">
        <v>190</v>
      </c>
      <c r="D18" t="s">
        <v>190</v>
      </c>
      <c r="H18">
        <v>8</v>
      </c>
      <c r="I18">
        <v>2</v>
      </c>
      <c r="J18">
        <v>6</v>
      </c>
      <c r="K18">
        <v>7</v>
      </c>
    </row>
    <row r="19" spans="1:16" x14ac:dyDescent="0.3">
      <c r="A19" t="s">
        <v>208</v>
      </c>
      <c r="B19" t="s">
        <v>180</v>
      </c>
      <c r="C19" t="s">
        <v>190</v>
      </c>
      <c r="D19" t="s">
        <v>190</v>
      </c>
      <c r="H19">
        <v>4</v>
      </c>
      <c r="I19">
        <v>2</v>
      </c>
      <c r="J19">
        <v>10</v>
      </c>
      <c r="K19">
        <v>9</v>
      </c>
    </row>
    <row r="20" spans="1:16" x14ac:dyDescent="0.3">
      <c r="A20" t="s">
        <v>209</v>
      </c>
      <c r="B20" t="s">
        <v>163</v>
      </c>
      <c r="C20" t="s">
        <v>190</v>
      </c>
      <c r="D20" t="s">
        <v>190</v>
      </c>
      <c r="H20">
        <v>1</v>
      </c>
      <c r="I20">
        <v>1</v>
      </c>
      <c r="J20">
        <v>8</v>
      </c>
      <c r="K20">
        <v>5</v>
      </c>
    </row>
    <row r="21" spans="1:16" x14ac:dyDescent="0.3">
      <c r="A21" t="s">
        <v>210</v>
      </c>
      <c r="B21" t="s">
        <v>155</v>
      </c>
      <c r="C21" t="s">
        <v>190</v>
      </c>
      <c r="D21" t="s">
        <v>190</v>
      </c>
      <c r="H21">
        <v>10</v>
      </c>
      <c r="I21">
        <v>5</v>
      </c>
      <c r="J21">
        <v>7</v>
      </c>
      <c r="K21">
        <v>8</v>
      </c>
    </row>
    <row r="22" spans="1:16" x14ac:dyDescent="0.3">
      <c r="A22" t="s">
        <v>211</v>
      </c>
      <c r="B22" t="s">
        <v>176</v>
      </c>
      <c r="C22" t="s">
        <v>190</v>
      </c>
      <c r="D22" t="s">
        <v>190</v>
      </c>
      <c r="H22">
        <v>3</v>
      </c>
      <c r="I22">
        <v>2</v>
      </c>
      <c r="J22">
        <v>4</v>
      </c>
      <c r="K22">
        <v>9</v>
      </c>
    </row>
    <row r="23" spans="1:16" x14ac:dyDescent="0.3">
      <c r="A23" t="s">
        <v>212</v>
      </c>
      <c r="B23" t="s">
        <v>172</v>
      </c>
      <c r="C23" t="s">
        <v>190</v>
      </c>
      <c r="D23" t="s">
        <v>190</v>
      </c>
      <c r="H23">
        <v>3</v>
      </c>
      <c r="I23">
        <v>2</v>
      </c>
      <c r="J23">
        <v>5</v>
      </c>
      <c r="K23">
        <v>9</v>
      </c>
    </row>
    <row r="24" spans="1:16" ht="15.6" x14ac:dyDescent="0.3">
      <c r="A24" t="s">
        <v>213</v>
      </c>
      <c r="B24" t="s">
        <v>154</v>
      </c>
      <c r="C24" t="s">
        <v>190</v>
      </c>
      <c r="D24" t="s">
        <v>190</v>
      </c>
      <c r="H24">
        <v>6</v>
      </c>
      <c r="I24">
        <v>1</v>
      </c>
      <c r="J24">
        <v>3</v>
      </c>
      <c r="K24">
        <v>6</v>
      </c>
      <c r="P24" s="162"/>
    </row>
    <row r="25" spans="1:16" ht="15.6" x14ac:dyDescent="0.3">
      <c r="A25" t="s">
        <v>214</v>
      </c>
      <c r="B25" t="s">
        <v>166</v>
      </c>
      <c r="C25" t="s">
        <v>190</v>
      </c>
      <c r="D25" t="s">
        <v>190</v>
      </c>
      <c r="H25">
        <v>5</v>
      </c>
      <c r="I25">
        <v>3</v>
      </c>
      <c r="J25">
        <v>6</v>
      </c>
      <c r="K25">
        <v>9</v>
      </c>
      <c r="P25" s="163"/>
    </row>
    <row r="26" spans="1:16" ht="15.6" x14ac:dyDescent="0.3">
      <c r="A26" t="s">
        <v>215</v>
      </c>
      <c r="B26" t="s">
        <v>175</v>
      </c>
      <c r="C26" t="s">
        <v>190</v>
      </c>
      <c r="D26" t="s">
        <v>190</v>
      </c>
      <c r="H26">
        <v>8</v>
      </c>
      <c r="I26">
        <v>2</v>
      </c>
      <c r="J26">
        <v>7</v>
      </c>
      <c r="K26">
        <v>5</v>
      </c>
      <c r="P26" s="163"/>
    </row>
    <row r="27" spans="1:16" x14ac:dyDescent="0.3">
      <c r="A27" t="s">
        <v>216</v>
      </c>
      <c r="B27" t="s">
        <v>179</v>
      </c>
      <c r="C27" t="s">
        <v>190</v>
      </c>
      <c r="D27" t="s">
        <v>190</v>
      </c>
      <c r="H27">
        <v>5</v>
      </c>
      <c r="I27">
        <v>1</v>
      </c>
      <c r="J27">
        <v>3</v>
      </c>
      <c r="K27">
        <v>8</v>
      </c>
    </row>
    <row r="28" spans="1:16" x14ac:dyDescent="0.3">
      <c r="A28" t="s">
        <v>217</v>
      </c>
      <c r="B28" t="s">
        <v>169</v>
      </c>
      <c r="C28" t="s">
        <v>190</v>
      </c>
      <c r="D28" t="s">
        <v>190</v>
      </c>
      <c r="H28">
        <v>3</v>
      </c>
      <c r="I28">
        <v>0</v>
      </c>
      <c r="J28">
        <v>4</v>
      </c>
      <c r="K28">
        <v>8</v>
      </c>
    </row>
    <row r="29" spans="1:16" x14ac:dyDescent="0.3">
      <c r="A29" t="s">
        <v>218</v>
      </c>
      <c r="B29" t="s">
        <v>152</v>
      </c>
      <c r="C29" t="s">
        <v>190</v>
      </c>
      <c r="D29" t="s">
        <v>190</v>
      </c>
      <c r="H29">
        <v>2</v>
      </c>
      <c r="I29">
        <v>3</v>
      </c>
      <c r="J29">
        <v>7</v>
      </c>
      <c r="K29">
        <v>8</v>
      </c>
    </row>
    <row r="30" spans="1:16" x14ac:dyDescent="0.3">
      <c r="A30" t="s">
        <v>219</v>
      </c>
      <c r="B30" t="s">
        <v>159</v>
      </c>
      <c r="C30" t="s">
        <v>190</v>
      </c>
      <c r="D30" t="s">
        <v>190</v>
      </c>
      <c r="H30">
        <v>4</v>
      </c>
      <c r="I30">
        <v>1</v>
      </c>
      <c r="J30">
        <v>7</v>
      </c>
      <c r="K30">
        <v>9</v>
      </c>
    </row>
    <row r="31" spans="1:16" x14ac:dyDescent="0.3">
      <c r="A31" t="s">
        <v>220</v>
      </c>
      <c r="B31" t="s">
        <v>181</v>
      </c>
      <c r="C31" t="s">
        <v>190</v>
      </c>
      <c r="D31" t="s">
        <v>190</v>
      </c>
      <c r="H31">
        <v>3</v>
      </c>
      <c r="I31">
        <v>0</v>
      </c>
      <c r="J31">
        <v>6</v>
      </c>
      <c r="K31">
        <v>2</v>
      </c>
    </row>
    <row r="32" spans="1:16" x14ac:dyDescent="0.3">
      <c r="A32" t="s">
        <v>221</v>
      </c>
      <c r="B32" t="s">
        <v>184</v>
      </c>
      <c r="C32" t="s">
        <v>190</v>
      </c>
      <c r="D32" t="s">
        <v>190</v>
      </c>
      <c r="H32">
        <v>3</v>
      </c>
      <c r="I32">
        <v>2</v>
      </c>
      <c r="J32">
        <v>5</v>
      </c>
      <c r="K32">
        <v>8</v>
      </c>
    </row>
    <row r="33" spans="1:11" x14ac:dyDescent="0.3">
      <c r="A33" t="s">
        <v>222</v>
      </c>
      <c r="B33" t="s">
        <v>160</v>
      </c>
      <c r="C33" t="s">
        <v>190</v>
      </c>
      <c r="D33" t="s">
        <v>190</v>
      </c>
      <c r="H33">
        <v>5</v>
      </c>
      <c r="I33">
        <v>2</v>
      </c>
      <c r="J33">
        <v>4</v>
      </c>
      <c r="K33">
        <v>9</v>
      </c>
    </row>
    <row r="34" spans="1:11" x14ac:dyDescent="0.3">
      <c r="A34" t="s">
        <v>223</v>
      </c>
      <c r="B34" t="s">
        <v>157</v>
      </c>
      <c r="C34" t="s">
        <v>190</v>
      </c>
      <c r="D34" t="s">
        <v>190</v>
      </c>
      <c r="H34">
        <v>5</v>
      </c>
      <c r="I34">
        <v>4</v>
      </c>
      <c r="J34">
        <v>5</v>
      </c>
      <c r="K34">
        <v>10</v>
      </c>
    </row>
    <row r="35" spans="1:11" x14ac:dyDescent="0.3">
      <c r="A35" t="s">
        <v>224</v>
      </c>
      <c r="B35" t="s">
        <v>156</v>
      </c>
      <c r="C35" t="s">
        <v>190</v>
      </c>
      <c r="D35" t="s">
        <v>190</v>
      </c>
      <c r="H35">
        <v>4</v>
      </c>
      <c r="I35">
        <v>2</v>
      </c>
      <c r="J35">
        <v>7</v>
      </c>
      <c r="K35">
        <v>10</v>
      </c>
    </row>
    <row r="36" spans="1:11" x14ac:dyDescent="0.3">
      <c r="A36" t="s">
        <v>225</v>
      </c>
      <c r="B36" t="s">
        <v>158</v>
      </c>
      <c r="C36" t="s">
        <v>190</v>
      </c>
      <c r="D36" t="s">
        <v>190</v>
      </c>
      <c r="H36">
        <v>6</v>
      </c>
      <c r="I36">
        <v>2</v>
      </c>
      <c r="J36">
        <v>6</v>
      </c>
      <c r="K36">
        <v>8</v>
      </c>
    </row>
    <row r="37" spans="1:11" x14ac:dyDescent="0.3">
      <c r="A37" t="s">
        <v>226</v>
      </c>
      <c r="B37" t="s">
        <v>185</v>
      </c>
      <c r="C37" t="s">
        <v>190</v>
      </c>
      <c r="D37" t="s">
        <v>190</v>
      </c>
      <c r="H37">
        <v>7</v>
      </c>
      <c r="I37">
        <v>3</v>
      </c>
      <c r="J37">
        <v>8</v>
      </c>
      <c r="K37">
        <v>9</v>
      </c>
    </row>
    <row r="38" spans="1:11" x14ac:dyDescent="0.3">
      <c r="A38" t="s">
        <v>227</v>
      </c>
      <c r="B38" t="s">
        <v>161</v>
      </c>
      <c r="C38" t="s">
        <v>190</v>
      </c>
      <c r="D38" t="s">
        <v>190</v>
      </c>
      <c r="H38">
        <v>2</v>
      </c>
      <c r="I38">
        <v>1</v>
      </c>
      <c r="J38">
        <v>4</v>
      </c>
      <c r="K38">
        <v>7</v>
      </c>
    </row>
  </sheetData>
  <sortState xmlns:xlrd2="http://schemas.microsoft.com/office/spreadsheetml/2017/richdata2" ref="B2:B38">
    <sortCondition ref="B1:B3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57C5-C481-4571-B7F9-5886615DA777}">
  <dimension ref="I2:I8"/>
  <sheetViews>
    <sheetView zoomScale="205" zoomScaleNormal="205" workbookViewId="0">
      <selection activeCell="I2" sqref="I2:I8"/>
    </sheetView>
  </sheetViews>
  <sheetFormatPr defaultRowHeight="14.4" x14ac:dyDescent="0.3"/>
  <sheetData>
    <row r="2" spans="9:9" x14ac:dyDescent="0.3">
      <c r="I2" t="s">
        <v>196</v>
      </c>
    </row>
    <row r="3" spans="9:9" x14ac:dyDescent="0.3">
      <c r="I3" t="s">
        <v>219</v>
      </c>
    </row>
    <row r="4" spans="9:9" x14ac:dyDescent="0.3">
      <c r="I4" t="s">
        <v>194</v>
      </c>
    </row>
    <row r="5" spans="9:9" x14ac:dyDescent="0.3">
      <c r="I5" t="s">
        <v>199</v>
      </c>
    </row>
    <row r="6" spans="9:9" x14ac:dyDescent="0.3">
      <c r="I6" t="s">
        <v>217</v>
      </c>
    </row>
    <row r="7" spans="9:9" x14ac:dyDescent="0.3">
      <c r="I7" t="s">
        <v>201</v>
      </c>
    </row>
    <row r="8" spans="9:9" x14ac:dyDescent="0.3">
      <c r="I8" t="s">
        <v>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J663"/>
  <sheetViews>
    <sheetView zoomScale="175" zoomScaleNormal="175" workbookViewId="0">
      <pane xSplit="2" ySplit="9" topLeftCell="C10" activePane="bottomRight" state="frozen"/>
      <selection activeCell="L16" sqref="L16"/>
      <selection pane="topRight" activeCell="L16" sqref="L16"/>
      <selection pane="bottomLeft" activeCell="L16" sqref="L16"/>
      <selection pane="bottomRight" activeCell="B29" sqref="B29"/>
    </sheetView>
  </sheetViews>
  <sheetFormatPr defaultColWidth="9.109375" defaultRowHeight="11.7" customHeight="1" x14ac:dyDescent="0.3"/>
  <cols>
    <col min="1" max="1" width="2.33203125" style="12" customWidth="1"/>
    <col min="2" max="2" width="16.6640625" style="13" customWidth="1"/>
    <col min="3" max="18" width="1.44140625" style="12" customWidth="1"/>
    <col min="19" max="22" width="1.6640625" style="12" customWidth="1"/>
    <col min="23" max="23" width="3.6640625" style="47" customWidth="1"/>
    <col min="24" max="29" width="1.6640625" style="12" customWidth="1"/>
    <col min="30" max="32" width="2.6640625" style="12" bestFit="1" customWidth="1"/>
    <col min="33" max="33" width="3.109375" style="12" bestFit="1" customWidth="1"/>
    <col min="34" max="36" width="3.33203125" style="14" customWidth="1"/>
    <col min="37" max="38" width="3.33203125" style="12" customWidth="1"/>
    <col min="39" max="43" width="2.5546875" style="12" bestFit="1" customWidth="1"/>
    <col min="44" max="44" width="3.6640625" style="48" customWidth="1"/>
    <col min="45" max="54" width="1.6640625" style="12" customWidth="1"/>
    <col min="55" max="60" width="3.33203125" style="12" customWidth="1"/>
    <col min="61" max="64" width="3.6640625" style="12" customWidth="1"/>
    <col min="65" max="65" width="3.6640625" style="14" customWidth="1"/>
    <col min="66" max="66" width="3.6640625" style="12" customWidth="1"/>
    <col min="67" max="67" width="3.6640625" style="14" customWidth="1"/>
    <col min="68" max="68" width="0.88671875" style="12" customWidth="1"/>
    <col min="69" max="69" width="3.6640625" style="14" customWidth="1"/>
    <col min="70" max="70" width="4.33203125" style="12" customWidth="1"/>
    <col min="71" max="71" width="16.6640625" style="12" customWidth="1"/>
    <col min="72" max="72" width="0.77734375" style="12" customWidth="1"/>
    <col min="73" max="73" width="7.88671875" style="12" customWidth="1"/>
    <col min="74" max="74" width="8" style="12" customWidth="1"/>
    <col min="75" max="94" width="2.6640625" style="49" hidden="1" customWidth="1"/>
    <col min="95" max="95" width="7.88671875" style="49" hidden="1" customWidth="1"/>
    <col min="96" max="117" width="9.109375" style="49" hidden="1" customWidth="1"/>
    <col min="118" max="127" width="3.6640625" style="15" hidden="1" customWidth="1"/>
    <col min="128" max="128" width="9.109375" style="12" hidden="1" customWidth="1"/>
    <col min="129" max="138" width="3.6640625" style="12" hidden="1" customWidth="1"/>
    <col min="139" max="140" width="9.109375" style="12" hidden="1" customWidth="1"/>
    <col min="141" max="16384" width="9.109375" style="12"/>
  </cols>
  <sheetData>
    <row r="1" spans="1:140" ht="11.7" customHeight="1" x14ac:dyDescent="0.2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196" t="s">
        <v>107</v>
      </c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</row>
    <row r="2" spans="1:140" ht="1.8" customHeight="1" x14ac:dyDescent="0.3">
      <c r="W2" s="14"/>
      <c r="AI2" s="198" t="s">
        <v>74</v>
      </c>
      <c r="AJ2" s="198"/>
      <c r="AK2" s="198"/>
      <c r="AL2" s="198"/>
      <c r="AM2" s="198"/>
      <c r="AN2" s="198"/>
      <c r="AO2" s="198"/>
      <c r="AP2" s="198"/>
      <c r="AQ2" s="198"/>
      <c r="AR2" s="198"/>
      <c r="AS2" s="198"/>
      <c r="AT2" s="198"/>
      <c r="AU2" s="198"/>
      <c r="AV2" s="198"/>
      <c r="AW2" s="198"/>
      <c r="AX2" s="198"/>
      <c r="AY2" s="198"/>
      <c r="AZ2" s="198"/>
      <c r="BA2" s="198"/>
      <c r="BB2" s="198"/>
      <c r="BC2" s="198"/>
      <c r="BD2" s="198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</row>
    <row r="3" spans="1:140" ht="11.7" customHeight="1" x14ac:dyDescent="0.3">
      <c r="B3" s="113" t="s">
        <v>109</v>
      </c>
      <c r="C3" s="184" t="s">
        <v>234</v>
      </c>
      <c r="D3" s="184"/>
      <c r="E3" s="184"/>
      <c r="F3" s="184"/>
      <c r="G3" s="184"/>
      <c r="H3" s="184"/>
      <c r="I3" s="184"/>
      <c r="J3" s="184"/>
      <c r="K3" s="184"/>
      <c r="L3" s="184"/>
      <c r="W3" s="14"/>
      <c r="AK3" s="68" t="s">
        <v>230</v>
      </c>
      <c r="AL3" s="113" t="s">
        <v>119</v>
      </c>
      <c r="AR3" s="183" t="s">
        <v>231</v>
      </c>
      <c r="AS3" s="183"/>
      <c r="AT3" s="183"/>
      <c r="AU3" s="183"/>
      <c r="AV3" s="183"/>
      <c r="AW3" s="183"/>
      <c r="BQ3" s="182" t="s">
        <v>111</v>
      </c>
      <c r="BR3" s="182"/>
      <c r="BS3" s="13" t="e">
        <f>IF(#REF!="","",#REF!)</f>
        <v>#REF!</v>
      </c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</row>
    <row r="4" spans="1:140" ht="11.7" customHeight="1" x14ac:dyDescent="0.3">
      <c r="B4" s="113" t="s">
        <v>108</v>
      </c>
      <c r="C4" s="184" t="s">
        <v>232</v>
      </c>
      <c r="D4" s="184"/>
      <c r="E4" s="184"/>
      <c r="F4" s="184"/>
      <c r="G4" s="184"/>
      <c r="H4" s="184"/>
      <c r="I4" s="184"/>
      <c r="J4" s="184"/>
      <c r="K4" s="184"/>
      <c r="L4" s="184"/>
      <c r="W4" s="14"/>
      <c r="AH4" s="194" t="s">
        <v>233</v>
      </c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Q4" s="182" t="s">
        <v>112</v>
      </c>
      <c r="BR4" s="182"/>
      <c r="BS4" s="13" t="e">
        <f>IF(#REF!="","",#REF!)</f>
        <v>#REF!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</row>
    <row r="5" spans="1:140" ht="11.4" customHeight="1" x14ac:dyDescent="0.3">
      <c r="W5" s="14"/>
      <c r="AI5" s="195" t="s">
        <v>110</v>
      </c>
      <c r="AJ5" s="195"/>
      <c r="AK5" s="195"/>
      <c r="AL5" s="195"/>
      <c r="AM5" s="195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</row>
    <row r="6" spans="1:140" ht="15" customHeight="1" x14ac:dyDescent="0.3">
      <c r="A6" s="208"/>
      <c r="B6" s="215" t="s">
        <v>0</v>
      </c>
      <c r="C6" s="209" t="s">
        <v>1</v>
      </c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1"/>
      <c r="W6" s="212" t="s">
        <v>3</v>
      </c>
      <c r="X6" s="219" t="s">
        <v>36</v>
      </c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16"/>
      <c r="AN6" s="16"/>
      <c r="AO6" s="16"/>
      <c r="AP6" s="16"/>
      <c r="AQ6" s="17"/>
      <c r="AR6" s="200" t="s">
        <v>106</v>
      </c>
      <c r="AS6" s="221" t="s">
        <v>127</v>
      </c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18"/>
      <c r="BI6" s="18"/>
      <c r="BJ6" s="18"/>
      <c r="BK6" s="18"/>
      <c r="BL6" s="19"/>
      <c r="BM6" s="204" t="s">
        <v>106</v>
      </c>
      <c r="BN6" s="206" t="s">
        <v>2</v>
      </c>
      <c r="BO6" s="185" t="s">
        <v>37</v>
      </c>
      <c r="BP6" s="20"/>
      <c r="BQ6" s="202" t="s">
        <v>52</v>
      </c>
      <c r="BR6" s="203" t="s">
        <v>35</v>
      </c>
      <c r="BS6" s="199" t="s">
        <v>72</v>
      </c>
      <c r="BU6" s="218"/>
      <c r="BV6" s="218"/>
      <c r="BW6" s="21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23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23"/>
      <c r="EJ6" s="23"/>
    </row>
    <row r="7" spans="1:140" ht="15" customHeight="1" x14ac:dyDescent="0.3">
      <c r="A7" s="208"/>
      <c r="B7" s="216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213"/>
      <c r="X7" s="25"/>
      <c r="Y7" s="25"/>
      <c r="Z7" s="25"/>
      <c r="AA7" s="25"/>
      <c r="AB7" s="25"/>
      <c r="AC7" s="119"/>
      <c r="AD7" s="24"/>
      <c r="AE7" s="24"/>
      <c r="AF7" s="24"/>
      <c r="AG7" s="24"/>
      <c r="AH7" s="188" t="s">
        <v>38</v>
      </c>
      <c r="AI7" s="188" t="s">
        <v>39</v>
      </c>
      <c r="AJ7" s="188" t="s">
        <v>40</v>
      </c>
      <c r="AK7" s="192" t="s">
        <v>41</v>
      </c>
      <c r="AL7" s="192" t="s">
        <v>42</v>
      </c>
      <c r="AM7" s="192" t="s">
        <v>43</v>
      </c>
      <c r="AN7" s="188" t="s">
        <v>44</v>
      </c>
      <c r="AO7" s="188" t="s">
        <v>45</v>
      </c>
      <c r="AP7" s="192" t="s">
        <v>56</v>
      </c>
      <c r="AQ7" s="192" t="s">
        <v>57</v>
      </c>
      <c r="AR7" s="201"/>
      <c r="AS7" s="25"/>
      <c r="AT7" s="24" t="s">
        <v>120</v>
      </c>
      <c r="AU7" s="25"/>
      <c r="AV7" s="24"/>
      <c r="AW7" s="24"/>
      <c r="AX7" s="24"/>
      <c r="AY7" s="24"/>
      <c r="AZ7" s="24"/>
      <c r="BA7" s="24"/>
      <c r="BB7" s="24"/>
      <c r="BC7" s="192" t="s">
        <v>46</v>
      </c>
      <c r="BD7" s="192" t="s">
        <v>47</v>
      </c>
      <c r="BE7" s="192" t="s">
        <v>48</v>
      </c>
      <c r="BF7" s="192" t="s">
        <v>49</v>
      </c>
      <c r="BG7" s="192" t="s">
        <v>50</v>
      </c>
      <c r="BH7" s="192" t="s">
        <v>51</v>
      </c>
      <c r="BI7" s="192" t="s">
        <v>66</v>
      </c>
      <c r="BJ7" s="192" t="s">
        <v>67</v>
      </c>
      <c r="BK7" s="192" t="s">
        <v>68</v>
      </c>
      <c r="BL7" s="192" t="s">
        <v>69</v>
      </c>
      <c r="BM7" s="205"/>
      <c r="BN7" s="207"/>
      <c r="BO7" s="186"/>
      <c r="BP7" s="20"/>
      <c r="BQ7" s="202"/>
      <c r="BR7" s="203"/>
      <c r="BS7" s="199"/>
      <c r="BU7" s="218"/>
      <c r="BV7" s="218"/>
      <c r="BW7" s="21">
        <f t="shared" ref="BW7:CP7" si="0">IF(C7="",0,1)</f>
        <v>0</v>
      </c>
      <c r="BX7" s="22">
        <f t="shared" si="0"/>
        <v>0</v>
      </c>
      <c r="BY7" s="22">
        <f t="shared" si="0"/>
        <v>0</v>
      </c>
      <c r="BZ7" s="22">
        <f t="shared" si="0"/>
        <v>0</v>
      </c>
      <c r="CA7" s="22">
        <f t="shared" si="0"/>
        <v>0</v>
      </c>
      <c r="CB7" s="22">
        <f t="shared" si="0"/>
        <v>0</v>
      </c>
      <c r="CC7" s="22">
        <f t="shared" si="0"/>
        <v>0</v>
      </c>
      <c r="CD7" s="22">
        <f t="shared" si="0"/>
        <v>0</v>
      </c>
      <c r="CE7" s="22">
        <f t="shared" si="0"/>
        <v>0</v>
      </c>
      <c r="CF7" s="22">
        <f t="shared" si="0"/>
        <v>0</v>
      </c>
      <c r="CG7" s="22">
        <f t="shared" si="0"/>
        <v>0</v>
      </c>
      <c r="CH7" s="22">
        <f t="shared" si="0"/>
        <v>0</v>
      </c>
      <c r="CI7" s="22">
        <f t="shared" si="0"/>
        <v>0</v>
      </c>
      <c r="CJ7" s="22">
        <f t="shared" si="0"/>
        <v>0</v>
      </c>
      <c r="CK7" s="22">
        <f t="shared" si="0"/>
        <v>0</v>
      </c>
      <c r="CL7" s="22">
        <f t="shared" si="0"/>
        <v>0</v>
      </c>
      <c r="CM7" s="22">
        <f t="shared" si="0"/>
        <v>0</v>
      </c>
      <c r="CN7" s="22">
        <f t="shared" si="0"/>
        <v>0</v>
      </c>
      <c r="CO7" s="22">
        <f t="shared" si="0"/>
        <v>0</v>
      </c>
      <c r="CP7" s="22">
        <f t="shared" si="0"/>
        <v>0</v>
      </c>
      <c r="CQ7" s="22">
        <f>SUM(BW7:CP7)</f>
        <v>0</v>
      </c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6">
        <v>1</v>
      </c>
      <c r="DO7" s="26">
        <v>2</v>
      </c>
      <c r="DP7" s="26">
        <v>3</v>
      </c>
      <c r="DQ7" s="26">
        <v>4</v>
      </c>
      <c r="DR7" s="26">
        <v>5</v>
      </c>
      <c r="DS7" s="26">
        <v>6</v>
      </c>
      <c r="DT7" s="26">
        <v>7</v>
      </c>
      <c r="DU7" s="26">
        <v>8</v>
      </c>
      <c r="DV7" s="26">
        <v>9</v>
      </c>
      <c r="DW7" s="26">
        <v>10</v>
      </c>
      <c r="DX7" s="23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3"/>
      <c r="EJ7" s="23"/>
    </row>
    <row r="8" spans="1:140" ht="11.7" customHeight="1" x14ac:dyDescent="0.3">
      <c r="A8" s="208"/>
      <c r="B8" s="216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213"/>
      <c r="X8" s="38" t="s">
        <v>4</v>
      </c>
      <c r="Y8" s="38" t="s">
        <v>5</v>
      </c>
      <c r="Z8" s="38" t="s">
        <v>6</v>
      </c>
      <c r="AA8" s="38" t="s">
        <v>7</v>
      </c>
      <c r="AB8" s="38" t="s">
        <v>8</v>
      </c>
      <c r="AC8" s="38" t="s">
        <v>12</v>
      </c>
      <c r="AD8" s="38" t="s">
        <v>13</v>
      </c>
      <c r="AE8" s="38" t="s">
        <v>14</v>
      </c>
      <c r="AF8" s="38" t="s">
        <v>54</v>
      </c>
      <c r="AG8" s="38" t="s">
        <v>55</v>
      </c>
      <c r="AH8" s="189"/>
      <c r="AI8" s="189"/>
      <c r="AJ8" s="189"/>
      <c r="AK8" s="193"/>
      <c r="AL8" s="193"/>
      <c r="AM8" s="193"/>
      <c r="AN8" s="189"/>
      <c r="AO8" s="189"/>
      <c r="AP8" s="193"/>
      <c r="AQ8" s="193"/>
      <c r="AR8" s="28"/>
      <c r="AS8" s="38" t="s">
        <v>9</v>
      </c>
      <c r="AT8" s="38" t="s">
        <v>10</v>
      </c>
      <c r="AU8" s="38" t="s">
        <v>11</v>
      </c>
      <c r="AV8" s="38" t="s">
        <v>15</v>
      </c>
      <c r="AW8" s="38" t="s">
        <v>16</v>
      </c>
      <c r="AX8" s="38" t="s">
        <v>17</v>
      </c>
      <c r="AY8" s="38" t="s">
        <v>62</v>
      </c>
      <c r="AZ8" s="38" t="s">
        <v>63</v>
      </c>
      <c r="BA8" s="38" t="s">
        <v>64</v>
      </c>
      <c r="BB8" s="38" t="s">
        <v>65</v>
      </c>
      <c r="BC8" s="193"/>
      <c r="BD8" s="193"/>
      <c r="BE8" s="193"/>
      <c r="BF8" s="193"/>
      <c r="BG8" s="193"/>
      <c r="BH8" s="193"/>
      <c r="BI8" s="193"/>
      <c r="BJ8" s="193"/>
      <c r="BK8" s="193"/>
      <c r="BL8" s="193"/>
      <c r="BM8" s="29"/>
      <c r="BN8" s="121"/>
      <c r="BO8" s="186"/>
      <c r="BP8" s="20"/>
      <c r="BQ8" s="202"/>
      <c r="BR8" s="203"/>
      <c r="BS8" s="199"/>
      <c r="BU8" s="218"/>
      <c r="BV8" s="218"/>
      <c r="BW8" s="21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3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3"/>
      <c r="EJ8" s="23"/>
    </row>
    <row r="9" spans="1:140" ht="11.7" customHeight="1" x14ac:dyDescent="0.3">
      <c r="A9" s="208"/>
      <c r="B9" s="217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214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1">
        <f t="shared" ref="AH9:AQ9" si="1">IF(X9="",0,X9/X9)</f>
        <v>0</v>
      </c>
      <c r="AI9" s="31">
        <f t="shared" si="1"/>
        <v>0</v>
      </c>
      <c r="AJ9" s="31">
        <f t="shared" si="1"/>
        <v>0</v>
      </c>
      <c r="AK9" s="31">
        <f t="shared" si="1"/>
        <v>0</v>
      </c>
      <c r="AL9" s="31">
        <f t="shared" si="1"/>
        <v>0</v>
      </c>
      <c r="AM9" s="31">
        <f t="shared" si="1"/>
        <v>0</v>
      </c>
      <c r="AN9" s="31">
        <f t="shared" si="1"/>
        <v>0</v>
      </c>
      <c r="AO9" s="31">
        <f t="shared" si="1"/>
        <v>0</v>
      </c>
      <c r="AP9" s="31">
        <f t="shared" si="1"/>
        <v>0</v>
      </c>
      <c r="AQ9" s="31">
        <f t="shared" si="1"/>
        <v>0</v>
      </c>
      <c r="AR9" s="32">
        <f>SUM(AH9:AQ9)</f>
        <v>0</v>
      </c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1">
        <f t="shared" ref="BC9:BL9" si="2">IF(AS9="",0,AS9/AS9)</f>
        <v>0</v>
      </c>
      <c r="BD9" s="31">
        <f t="shared" si="2"/>
        <v>0</v>
      </c>
      <c r="BE9" s="31">
        <f t="shared" si="2"/>
        <v>0</v>
      </c>
      <c r="BF9" s="31">
        <f t="shared" si="2"/>
        <v>0</v>
      </c>
      <c r="BG9" s="31">
        <f t="shared" si="2"/>
        <v>0</v>
      </c>
      <c r="BH9" s="31">
        <f t="shared" si="2"/>
        <v>0</v>
      </c>
      <c r="BI9" s="31">
        <f t="shared" si="2"/>
        <v>0</v>
      </c>
      <c r="BJ9" s="31">
        <f t="shared" si="2"/>
        <v>0</v>
      </c>
      <c r="BK9" s="31">
        <f t="shared" si="2"/>
        <v>0</v>
      </c>
      <c r="BL9" s="31">
        <f t="shared" si="2"/>
        <v>0</v>
      </c>
      <c r="BM9" s="34">
        <f>SUM(BC9:BL9)</f>
        <v>0</v>
      </c>
      <c r="BN9" s="35"/>
      <c r="BO9" s="187"/>
      <c r="BP9" s="20"/>
      <c r="BQ9" s="202"/>
      <c r="BR9" s="203"/>
      <c r="BS9" s="199"/>
      <c r="BU9" s="218"/>
      <c r="BV9" s="218"/>
      <c r="BW9" s="21" t="s">
        <v>18</v>
      </c>
      <c r="BX9" s="22" t="s">
        <v>19</v>
      </c>
      <c r="BY9" s="22" t="s">
        <v>20</v>
      </c>
      <c r="BZ9" s="22" t="s">
        <v>21</v>
      </c>
      <c r="CA9" s="22" t="s">
        <v>22</v>
      </c>
      <c r="CB9" s="22" t="s">
        <v>23</v>
      </c>
      <c r="CC9" s="22" t="s">
        <v>24</v>
      </c>
      <c r="CD9" s="22" t="s">
        <v>25</v>
      </c>
      <c r="CE9" s="22" t="s">
        <v>26</v>
      </c>
      <c r="CF9" s="22" t="s">
        <v>27</v>
      </c>
      <c r="CG9" s="22" t="s">
        <v>28</v>
      </c>
      <c r="CH9" s="22" t="s">
        <v>29</v>
      </c>
      <c r="CI9" s="22" t="s">
        <v>30</v>
      </c>
      <c r="CJ9" s="22" t="s">
        <v>31</v>
      </c>
      <c r="CK9" s="22" t="s">
        <v>32</v>
      </c>
      <c r="CL9" s="22" t="s">
        <v>33</v>
      </c>
      <c r="CM9" s="22" t="s">
        <v>58</v>
      </c>
      <c r="CN9" s="22" t="s">
        <v>59</v>
      </c>
      <c r="CO9" s="22" t="s">
        <v>60</v>
      </c>
      <c r="CP9" s="22" t="s">
        <v>61</v>
      </c>
      <c r="CQ9" s="22" t="s">
        <v>34</v>
      </c>
      <c r="CR9" s="22">
        <f t="shared" ref="CR9:CR40" si="3">$CQ$7</f>
        <v>0</v>
      </c>
      <c r="CS9" s="22" t="s">
        <v>85</v>
      </c>
      <c r="CT9" s="22" t="s">
        <v>86</v>
      </c>
      <c r="CU9" s="22" t="s">
        <v>87</v>
      </c>
      <c r="CV9" s="22" t="s">
        <v>88</v>
      </c>
      <c r="CW9" s="22" t="s">
        <v>89</v>
      </c>
      <c r="CX9" s="22" t="s">
        <v>90</v>
      </c>
      <c r="CY9" s="22" t="s">
        <v>91</v>
      </c>
      <c r="CZ9" s="22" t="s">
        <v>92</v>
      </c>
      <c r="DA9" s="22" t="s">
        <v>93</v>
      </c>
      <c r="DB9" s="22" t="s">
        <v>94</v>
      </c>
      <c r="DC9" s="22" t="s">
        <v>95</v>
      </c>
      <c r="DD9" s="22" t="s">
        <v>96</v>
      </c>
      <c r="DE9" s="22" t="s">
        <v>97</v>
      </c>
      <c r="DF9" s="22" t="s">
        <v>98</v>
      </c>
      <c r="DG9" s="22" t="s">
        <v>99</v>
      </c>
      <c r="DH9" s="22" t="s">
        <v>100</v>
      </c>
      <c r="DI9" s="22" t="s">
        <v>101</v>
      </c>
      <c r="DJ9" s="22" t="s">
        <v>102</v>
      </c>
      <c r="DK9" s="22" t="s">
        <v>103</v>
      </c>
      <c r="DL9" s="22" t="s">
        <v>104</v>
      </c>
      <c r="DM9" s="22" t="s">
        <v>105</v>
      </c>
      <c r="DN9" s="36">
        <f t="shared" ref="DN9:DW9" si="4">X9</f>
        <v>0</v>
      </c>
      <c r="DO9" s="36">
        <f t="shared" si="4"/>
        <v>0</v>
      </c>
      <c r="DP9" s="36">
        <f t="shared" si="4"/>
        <v>0</v>
      </c>
      <c r="DQ9" s="36">
        <f t="shared" si="4"/>
        <v>0</v>
      </c>
      <c r="DR9" s="36">
        <f t="shared" si="4"/>
        <v>0</v>
      </c>
      <c r="DS9" s="36">
        <f t="shared" si="4"/>
        <v>0</v>
      </c>
      <c r="DT9" s="36">
        <f t="shared" si="4"/>
        <v>0</v>
      </c>
      <c r="DU9" s="36">
        <f t="shared" si="4"/>
        <v>0</v>
      </c>
      <c r="DV9" s="36">
        <f t="shared" si="4"/>
        <v>0</v>
      </c>
      <c r="DW9" s="36">
        <f t="shared" si="4"/>
        <v>0</v>
      </c>
      <c r="DX9" s="23"/>
      <c r="DY9" s="23">
        <f t="shared" ref="DY9:EH9" si="5">AS9</f>
        <v>0</v>
      </c>
      <c r="DZ9" s="23">
        <f t="shared" si="5"/>
        <v>0</v>
      </c>
      <c r="EA9" s="23">
        <f t="shared" si="5"/>
        <v>0</v>
      </c>
      <c r="EB9" s="23">
        <f t="shared" si="5"/>
        <v>0</v>
      </c>
      <c r="EC9" s="23">
        <f t="shared" si="5"/>
        <v>0</v>
      </c>
      <c r="ED9" s="23">
        <f t="shared" si="5"/>
        <v>0</v>
      </c>
      <c r="EE9" s="23">
        <f t="shared" si="5"/>
        <v>0</v>
      </c>
      <c r="EF9" s="23">
        <f t="shared" si="5"/>
        <v>0</v>
      </c>
      <c r="EG9" s="23">
        <f t="shared" si="5"/>
        <v>0</v>
      </c>
      <c r="EH9" s="23">
        <f t="shared" si="5"/>
        <v>0</v>
      </c>
      <c r="EI9" s="23">
        <f>BM9</f>
        <v>0</v>
      </c>
      <c r="EJ9" s="23">
        <f>BN9</f>
        <v>0</v>
      </c>
    </row>
    <row r="10" spans="1:140" ht="9.9" customHeight="1" x14ac:dyDescent="0.3">
      <c r="A10" s="23">
        <v>1</v>
      </c>
      <c r="B10" s="37" t="str">
        <f>IF(ISBLANK(Informations!B11),"",Informations!B11)</f>
        <v>AIDAROS, ANALIE B.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38"/>
      <c r="P10" s="38"/>
      <c r="Q10" s="38"/>
      <c r="R10" s="38"/>
      <c r="S10" s="38"/>
      <c r="T10" s="38"/>
      <c r="U10" s="38"/>
      <c r="V10" s="38"/>
      <c r="W10" s="39" t="e">
        <f t="shared" ref="W10:W41" si="6">((CQ10/CR10)*60)+40</f>
        <v>#DIV/0!</v>
      </c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40" t="str">
        <f t="shared" ref="AH10:AH41" si="7">IF(DN10&gt;=1,(((X10/DN10)*60)+40)," ")</f>
        <v xml:space="preserve"> </v>
      </c>
      <c r="AI10" s="40" t="str">
        <f t="shared" ref="AI10:AI41" si="8">IF(DO10&gt;=1,(((Y10/DO10)*60)+40)," ")</f>
        <v xml:space="preserve"> </v>
      </c>
      <c r="AJ10" s="40" t="str">
        <f t="shared" ref="AJ10:AJ41" si="9">IF(DP10&gt;=1,(((Z10/DP10)*60)+40)," ")</f>
        <v xml:space="preserve"> </v>
      </c>
      <c r="AK10" s="40" t="str">
        <f t="shared" ref="AK10:AK41" si="10">IF(DQ10&gt;=1,(((AA10/DQ10)*60)+40)," ")</f>
        <v xml:space="preserve"> </v>
      </c>
      <c r="AL10" s="40" t="str">
        <f t="shared" ref="AL10:AL41" si="11">IF(DR10&gt;=1,(((AB10/DR10)*60)+40)," ")</f>
        <v xml:space="preserve"> </v>
      </c>
      <c r="AM10" s="40" t="str">
        <f t="shared" ref="AM10:AM41" si="12">IF(DS10&gt;=1,(((AC10/DS10)*60)+40)," ")</f>
        <v xml:space="preserve"> </v>
      </c>
      <c r="AN10" s="40" t="str">
        <f t="shared" ref="AN10:AN41" si="13">IF(DT10&gt;=1,(((AD10/DT10)*60)+40)," ")</f>
        <v xml:space="preserve"> </v>
      </c>
      <c r="AO10" s="40" t="str">
        <f t="shared" ref="AO10:AO41" si="14">IF(DU10&gt;=1,(((AE10/DU10)*60)+40)," ")</f>
        <v xml:space="preserve"> </v>
      </c>
      <c r="AP10" s="40" t="str">
        <f t="shared" ref="AP10:AP41" si="15">IF(DV10&gt;=1,(((AF10/DV10)*60)+40)," ")</f>
        <v xml:space="preserve"> </v>
      </c>
      <c r="AQ10" s="40" t="str">
        <f t="shared" ref="AQ10:AQ41" si="16">IF(DW10&gt;=1,(((AG10/DW10)*60)+40)," ")</f>
        <v xml:space="preserve"> </v>
      </c>
      <c r="AR10" s="41" t="e">
        <f t="shared" ref="AR10:AR41" si="17">(SUM(AH10:AQ10))/DX10</f>
        <v>#DIV/0!</v>
      </c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42" t="str">
        <f t="shared" ref="BC10:BC41" si="18">IF(DY10&gt;=1,(((AS10/DY10)*60)+40)," ")</f>
        <v xml:space="preserve"> </v>
      </c>
      <c r="BD10" s="42" t="str">
        <f t="shared" ref="BD10:BD41" si="19">IF(DZ10&gt;=1,(((AT10/DZ10)*60)+40)," ")</f>
        <v xml:space="preserve"> </v>
      </c>
      <c r="BE10" s="42" t="str">
        <f t="shared" ref="BE10:BE41" si="20">IF(EA10&gt;=1,(((AU10/EA10)*60)+40)," ")</f>
        <v xml:space="preserve"> </v>
      </c>
      <c r="BF10" s="42" t="str">
        <f t="shared" ref="BF10:BF41" si="21">IF(EB10&gt;=1,(((AV10/EB10)*60)+40)," ")</f>
        <v xml:space="preserve"> </v>
      </c>
      <c r="BG10" s="42" t="str">
        <f t="shared" ref="BG10:BG41" si="22">IF(EC10&gt;=1,(((AW10/EC10)*60)+40)," ")</f>
        <v xml:space="preserve"> </v>
      </c>
      <c r="BH10" s="42" t="str">
        <f t="shared" ref="BH10:BH41" si="23">IF(ED10&gt;=1,(((AX10/ED10)*60)+40)," ")</f>
        <v xml:space="preserve"> </v>
      </c>
      <c r="BI10" s="42" t="str">
        <f t="shared" ref="BI10:BI41" si="24">IF(EE10&gt;=1,(((AY10/EE10)*60)+40)," ")</f>
        <v xml:space="preserve"> </v>
      </c>
      <c r="BJ10" s="42" t="str">
        <f t="shared" ref="BJ10:BJ41" si="25">IF(EF10&gt;=1,(((AZ10/EF10)*60)+40)," ")</f>
        <v xml:space="preserve"> </v>
      </c>
      <c r="BK10" s="42" t="str">
        <f t="shared" ref="BK10:BK41" si="26">IF(EG10&gt;=1,(((BA10/EG10)*60)+40)," ")</f>
        <v xml:space="preserve"> </v>
      </c>
      <c r="BL10" s="42" t="str">
        <f t="shared" ref="BL10:BL41" si="27">IF(EH10&gt;=1,(((BB10/EH10)*60)+40)," ")</f>
        <v xml:space="preserve"> </v>
      </c>
      <c r="BM10" s="43" t="e">
        <f t="shared" ref="BM10:BM41" si="28">(SUM(BC10:BL10))/EI10</f>
        <v>#DIV/0!</v>
      </c>
      <c r="BN10" s="38"/>
      <c r="BO10" s="44" t="e">
        <f t="shared" ref="BO10:BO41" si="29">((BN10/EJ10)*60)+40</f>
        <v>#DIV/0!</v>
      </c>
      <c r="BP10" s="20"/>
      <c r="BQ10" s="39" t="e">
        <f>(W10*0.05)+(AR10*0.25)+(BM10*0.15)+(BO10*0.55)</f>
        <v>#DIV/0!</v>
      </c>
      <c r="BR10" s="23" t="e">
        <f>IF(BQ10&gt;=74.5,"PASSED","FAILED")</f>
        <v>#DIV/0!</v>
      </c>
      <c r="BS10" s="45"/>
      <c r="BT10" s="46"/>
      <c r="BU10" s="46"/>
      <c r="BV10" s="46"/>
      <c r="BW10" s="21" t="str">
        <f t="shared" ref="BW10:BW41" si="30">IF(C10="P",1,IF(C10="L",1,""))</f>
        <v/>
      </c>
      <c r="BX10" s="22" t="str">
        <f t="shared" ref="BX10:BX41" si="31">IF(D10="P",1,IF(D10="L",1,""))</f>
        <v/>
      </c>
      <c r="BY10" s="22" t="str">
        <f t="shared" ref="BY10:BY41" si="32">IF(E10="P",1,IF(E10="L",1,""))</f>
        <v/>
      </c>
      <c r="BZ10" s="22" t="str">
        <f t="shared" ref="BZ10:BZ41" si="33">IF(F10="P",1,IF(F10="L",1,""))</f>
        <v/>
      </c>
      <c r="CA10" s="22" t="str">
        <f t="shared" ref="CA10:CA41" si="34">IF(G10="P",1,IF(G10="L",1,""))</f>
        <v/>
      </c>
      <c r="CB10" s="22" t="str">
        <f t="shared" ref="CB10:CB41" si="35">IF(H10="P",1,IF(H10="L",1,""))</f>
        <v/>
      </c>
      <c r="CC10" s="22" t="str">
        <f t="shared" ref="CC10:CC41" si="36">IF(I10="P",1,IF(I10="L",1,""))</f>
        <v/>
      </c>
      <c r="CD10" s="22" t="str">
        <f t="shared" ref="CD10:CD41" si="37">IF(J10="P",1,IF(J10="L",1,""))</f>
        <v/>
      </c>
      <c r="CE10" s="22" t="str">
        <f t="shared" ref="CE10:CE41" si="38">IF(K10="P",1,IF(K10="L",1,""))</f>
        <v/>
      </c>
      <c r="CF10" s="22" t="str">
        <f t="shared" ref="CF10:CF41" si="39">IF(L10="P",1,IF(L10="L",1,""))</f>
        <v/>
      </c>
      <c r="CG10" s="22" t="str">
        <f t="shared" ref="CG10:CG41" si="40">IF(M10="P",1,IF(M10="L",1,""))</f>
        <v/>
      </c>
      <c r="CH10" s="22" t="str">
        <f t="shared" ref="CH10:CH41" si="41">IF(N10="P",1,IF(N10="L",1,""))</f>
        <v/>
      </c>
      <c r="CI10" s="22" t="str">
        <f t="shared" ref="CI10:CI41" si="42">IF(O10="P",1,IF(O10="L",1,""))</f>
        <v/>
      </c>
      <c r="CJ10" s="22" t="str">
        <f t="shared" ref="CJ10:CJ41" si="43">IF(P10="P",1,IF(P10="L",1,""))</f>
        <v/>
      </c>
      <c r="CK10" s="22" t="str">
        <f t="shared" ref="CK10:CK41" si="44">IF(Q10="P",1,IF(Q10="L",1,""))</f>
        <v/>
      </c>
      <c r="CL10" s="22" t="str">
        <f t="shared" ref="CL10:CL41" si="45">IF(R10="P",1,IF(R10="L",1,""))</f>
        <v/>
      </c>
      <c r="CM10" s="22" t="str">
        <f t="shared" ref="CM10:CM41" si="46">IF(S10="P",1,IF(S10="L",1,""))</f>
        <v/>
      </c>
      <c r="CN10" s="22" t="str">
        <f t="shared" ref="CN10:CN41" si="47">IF(T10="P",1,IF(T10="L",1,""))</f>
        <v/>
      </c>
      <c r="CO10" s="22" t="str">
        <f t="shared" ref="CO10:CO41" si="48">IF(U10="P",1,IF(U10="L",1,""))</f>
        <v/>
      </c>
      <c r="CP10" s="22" t="str">
        <f t="shared" ref="CP10:CP41" si="49">IF(V10="P",1,IF(V10="L",1,""))</f>
        <v/>
      </c>
      <c r="CQ10" s="22">
        <f>(SUM(BW10:CP10))-DM10</f>
        <v>0</v>
      </c>
      <c r="CR10" s="22">
        <f t="shared" si="3"/>
        <v>0</v>
      </c>
      <c r="CS10" s="22" t="str">
        <f t="shared" ref="CS10:CS41" si="50">IF(C10="l",1,"")</f>
        <v/>
      </c>
      <c r="CT10" s="22" t="str">
        <f t="shared" ref="CT10:CT41" si="51">IF(D10="l",1,"")</f>
        <v/>
      </c>
      <c r="CU10" s="22" t="str">
        <f t="shared" ref="CU10:CU41" si="52">IF(E10="l",1,"")</f>
        <v/>
      </c>
      <c r="CV10" s="22" t="str">
        <f t="shared" ref="CV10:CV41" si="53">IF(F10="l",1,"")</f>
        <v/>
      </c>
      <c r="CW10" s="22" t="str">
        <f t="shared" ref="CW10:CW41" si="54">IF(G10="l",1,"")</f>
        <v/>
      </c>
      <c r="CX10" s="22" t="str">
        <f t="shared" ref="CX10:CX41" si="55">IF(H10="l",1,"")</f>
        <v/>
      </c>
      <c r="CY10" s="22" t="str">
        <f t="shared" ref="CY10:CY41" si="56">IF(I10="l",1,"")</f>
        <v/>
      </c>
      <c r="CZ10" s="22" t="str">
        <f t="shared" ref="CZ10:CZ41" si="57">IF(J10="l",1,"")</f>
        <v/>
      </c>
      <c r="DA10" s="22" t="str">
        <f t="shared" ref="DA10:DA41" si="58">IF(K10="l",1,"")</f>
        <v/>
      </c>
      <c r="DB10" s="22" t="str">
        <f t="shared" ref="DB10:DB41" si="59">IF(L10="l",1,"")</f>
        <v/>
      </c>
      <c r="DC10" s="22" t="str">
        <f t="shared" ref="DC10:DC41" si="60">IF(M10="l",1,"")</f>
        <v/>
      </c>
      <c r="DD10" s="22" t="str">
        <f t="shared" ref="DD10:DD41" si="61">IF(N10="l",1,"")</f>
        <v/>
      </c>
      <c r="DE10" s="22" t="str">
        <f t="shared" ref="DE10:DE41" si="62">IF(O10="l",1,"")</f>
        <v/>
      </c>
      <c r="DF10" s="22" t="str">
        <f t="shared" ref="DF10:DF41" si="63">IF(P10="l",1,"")</f>
        <v/>
      </c>
      <c r="DG10" s="22" t="str">
        <f t="shared" ref="DG10:DG41" si="64">IF(Q10="l",1,"")</f>
        <v/>
      </c>
      <c r="DH10" s="22" t="str">
        <f t="shared" ref="DH10:DH41" si="65">IF(R10="l",1,"")</f>
        <v/>
      </c>
      <c r="DI10" s="22" t="str">
        <f t="shared" ref="DI10:DI41" si="66">IF(S10="l",1,"")</f>
        <v/>
      </c>
      <c r="DJ10" s="22" t="str">
        <f t="shared" ref="DJ10:DJ41" si="67">IF(T10="l",1,"")</f>
        <v/>
      </c>
      <c r="DK10" s="22" t="str">
        <f t="shared" ref="DK10:DK41" si="68">IF(U10="l",1,"")</f>
        <v/>
      </c>
      <c r="DL10" s="22" t="str">
        <f t="shared" ref="DL10:DL41" si="69">IF(V10="l",1,"")</f>
        <v/>
      </c>
      <c r="DM10" s="22">
        <f t="shared" ref="DM10:DM41" si="70">TRUNC(((SUM(CS10:DL10))/3),0)</f>
        <v>0</v>
      </c>
      <c r="DN10" s="36">
        <f t="shared" ref="DN10:DW10" si="71">DN9</f>
        <v>0</v>
      </c>
      <c r="DO10" s="36">
        <f t="shared" si="71"/>
        <v>0</v>
      </c>
      <c r="DP10" s="36">
        <f t="shared" si="71"/>
        <v>0</v>
      </c>
      <c r="DQ10" s="36">
        <f t="shared" si="71"/>
        <v>0</v>
      </c>
      <c r="DR10" s="36">
        <f t="shared" si="71"/>
        <v>0</v>
      </c>
      <c r="DS10" s="36">
        <f t="shared" si="71"/>
        <v>0</v>
      </c>
      <c r="DT10" s="36">
        <f t="shared" si="71"/>
        <v>0</v>
      </c>
      <c r="DU10" s="36">
        <f t="shared" si="71"/>
        <v>0</v>
      </c>
      <c r="DV10" s="36">
        <f t="shared" si="71"/>
        <v>0</v>
      </c>
      <c r="DW10" s="36">
        <f t="shared" si="71"/>
        <v>0</v>
      </c>
      <c r="DX10" s="23">
        <f>AR9</f>
        <v>0</v>
      </c>
      <c r="DY10" s="23">
        <f>DY9</f>
        <v>0</v>
      </c>
      <c r="DZ10" s="23">
        <f t="shared" ref="DZ10:EH10" si="72">DZ9</f>
        <v>0</v>
      </c>
      <c r="EA10" s="23">
        <f t="shared" si="72"/>
        <v>0</v>
      </c>
      <c r="EB10" s="23">
        <f t="shared" si="72"/>
        <v>0</v>
      </c>
      <c r="EC10" s="23">
        <f t="shared" si="72"/>
        <v>0</v>
      </c>
      <c r="ED10" s="23">
        <f t="shared" si="72"/>
        <v>0</v>
      </c>
      <c r="EE10" s="23">
        <f t="shared" si="72"/>
        <v>0</v>
      </c>
      <c r="EF10" s="23">
        <f t="shared" si="72"/>
        <v>0</v>
      </c>
      <c r="EG10" s="23">
        <f t="shared" si="72"/>
        <v>0</v>
      </c>
      <c r="EH10" s="23">
        <f t="shared" si="72"/>
        <v>0</v>
      </c>
      <c r="EI10" s="23">
        <f>EI9</f>
        <v>0</v>
      </c>
      <c r="EJ10" s="23">
        <f>EJ9</f>
        <v>0</v>
      </c>
    </row>
    <row r="11" spans="1:140" ht="9.9" customHeight="1" x14ac:dyDescent="0.3">
      <c r="A11" s="23">
        <v>2</v>
      </c>
      <c r="B11" s="37" t="str">
        <f>IF(ISBLANK(Informations!B12),"",Informations!B12)</f>
        <v>ALILI, JAIDE LOU D.</v>
      </c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9" t="e">
        <f t="shared" si="6"/>
        <v>#DIV/0!</v>
      </c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40" t="str">
        <f t="shared" si="7"/>
        <v xml:space="preserve"> </v>
      </c>
      <c r="AI11" s="40" t="str">
        <f t="shared" si="8"/>
        <v xml:space="preserve"> </v>
      </c>
      <c r="AJ11" s="40" t="str">
        <f t="shared" si="9"/>
        <v xml:space="preserve"> </v>
      </c>
      <c r="AK11" s="40" t="str">
        <f t="shared" si="10"/>
        <v xml:space="preserve"> </v>
      </c>
      <c r="AL11" s="40" t="str">
        <f t="shared" si="11"/>
        <v xml:space="preserve"> </v>
      </c>
      <c r="AM11" s="40" t="str">
        <f t="shared" si="12"/>
        <v xml:space="preserve"> </v>
      </c>
      <c r="AN11" s="40" t="str">
        <f t="shared" si="13"/>
        <v xml:space="preserve"> </v>
      </c>
      <c r="AO11" s="40" t="str">
        <f t="shared" si="14"/>
        <v xml:space="preserve"> </v>
      </c>
      <c r="AP11" s="40" t="str">
        <f t="shared" si="15"/>
        <v xml:space="preserve"> </v>
      </c>
      <c r="AQ11" s="40" t="str">
        <f t="shared" si="16"/>
        <v xml:space="preserve"> </v>
      </c>
      <c r="AR11" s="41" t="e">
        <f t="shared" si="17"/>
        <v>#DIV/0!</v>
      </c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42" t="str">
        <f t="shared" si="18"/>
        <v xml:space="preserve"> </v>
      </c>
      <c r="BD11" s="42" t="str">
        <f t="shared" si="19"/>
        <v xml:space="preserve"> </v>
      </c>
      <c r="BE11" s="42" t="str">
        <f t="shared" si="20"/>
        <v xml:space="preserve"> </v>
      </c>
      <c r="BF11" s="42" t="str">
        <f t="shared" si="21"/>
        <v xml:space="preserve"> </v>
      </c>
      <c r="BG11" s="42" t="str">
        <f t="shared" si="22"/>
        <v xml:space="preserve"> </v>
      </c>
      <c r="BH11" s="42" t="str">
        <f t="shared" si="23"/>
        <v xml:space="preserve"> </v>
      </c>
      <c r="BI11" s="42" t="str">
        <f t="shared" si="24"/>
        <v xml:space="preserve"> </v>
      </c>
      <c r="BJ11" s="42" t="str">
        <f t="shared" si="25"/>
        <v xml:space="preserve"> </v>
      </c>
      <c r="BK11" s="42" t="str">
        <f t="shared" si="26"/>
        <v xml:space="preserve"> </v>
      </c>
      <c r="BL11" s="42" t="str">
        <f t="shared" si="27"/>
        <v xml:space="preserve"> </v>
      </c>
      <c r="BM11" s="43" t="e">
        <f t="shared" si="28"/>
        <v>#DIV/0!</v>
      </c>
      <c r="BN11" s="38"/>
      <c r="BO11" s="44" t="e">
        <f t="shared" si="29"/>
        <v>#DIV/0!</v>
      </c>
      <c r="BP11" s="20"/>
      <c r="BQ11" s="39" t="e">
        <f t="shared" ref="BQ11:BQ59" si="73">(W11*0.05)+(AR11*0.25)+(BM11*0.15)+(BO11*0.55)</f>
        <v>#DIV/0!</v>
      </c>
      <c r="BR11" s="23" t="e">
        <f t="shared" ref="BR11:BR17" si="74">IF(BQ11&gt;=74.5,"PASSED","FAILED")</f>
        <v>#DIV/0!</v>
      </c>
      <c r="BS11" s="45"/>
      <c r="BT11" s="46"/>
      <c r="BU11" s="46"/>
      <c r="BV11" s="46"/>
      <c r="BW11" s="21" t="str">
        <f t="shared" si="30"/>
        <v/>
      </c>
      <c r="BX11" s="22" t="str">
        <f t="shared" si="31"/>
        <v/>
      </c>
      <c r="BY11" s="22" t="str">
        <f t="shared" si="32"/>
        <v/>
      </c>
      <c r="BZ11" s="22" t="str">
        <f t="shared" si="33"/>
        <v/>
      </c>
      <c r="CA11" s="22" t="str">
        <f t="shared" si="34"/>
        <v/>
      </c>
      <c r="CB11" s="22" t="str">
        <f t="shared" si="35"/>
        <v/>
      </c>
      <c r="CC11" s="22" t="str">
        <f t="shared" si="36"/>
        <v/>
      </c>
      <c r="CD11" s="22" t="str">
        <f t="shared" si="37"/>
        <v/>
      </c>
      <c r="CE11" s="22" t="str">
        <f t="shared" si="38"/>
        <v/>
      </c>
      <c r="CF11" s="22" t="str">
        <f t="shared" si="39"/>
        <v/>
      </c>
      <c r="CG11" s="22" t="str">
        <f t="shared" si="40"/>
        <v/>
      </c>
      <c r="CH11" s="22" t="str">
        <f t="shared" si="41"/>
        <v/>
      </c>
      <c r="CI11" s="22" t="str">
        <f t="shared" si="42"/>
        <v/>
      </c>
      <c r="CJ11" s="22" t="str">
        <f t="shared" si="43"/>
        <v/>
      </c>
      <c r="CK11" s="22" t="str">
        <f t="shared" si="44"/>
        <v/>
      </c>
      <c r="CL11" s="22" t="str">
        <f t="shared" si="45"/>
        <v/>
      </c>
      <c r="CM11" s="22" t="str">
        <f t="shared" si="46"/>
        <v/>
      </c>
      <c r="CN11" s="22" t="str">
        <f t="shared" si="47"/>
        <v/>
      </c>
      <c r="CO11" s="22" t="str">
        <f t="shared" si="48"/>
        <v/>
      </c>
      <c r="CP11" s="22" t="str">
        <f t="shared" si="49"/>
        <v/>
      </c>
      <c r="CQ11" s="22">
        <f t="shared" ref="CQ11:CQ59" si="75">(SUM(BW11:CP11))-DM11</f>
        <v>0</v>
      </c>
      <c r="CR11" s="22">
        <f t="shared" si="3"/>
        <v>0</v>
      </c>
      <c r="CS11" s="22" t="str">
        <f t="shared" si="50"/>
        <v/>
      </c>
      <c r="CT11" s="22" t="str">
        <f t="shared" si="51"/>
        <v/>
      </c>
      <c r="CU11" s="22" t="str">
        <f t="shared" si="52"/>
        <v/>
      </c>
      <c r="CV11" s="22" t="str">
        <f t="shared" si="53"/>
        <v/>
      </c>
      <c r="CW11" s="22" t="str">
        <f t="shared" si="54"/>
        <v/>
      </c>
      <c r="CX11" s="22" t="str">
        <f t="shared" si="55"/>
        <v/>
      </c>
      <c r="CY11" s="22" t="str">
        <f t="shared" si="56"/>
        <v/>
      </c>
      <c r="CZ11" s="22" t="str">
        <f t="shared" si="57"/>
        <v/>
      </c>
      <c r="DA11" s="22" t="str">
        <f t="shared" si="58"/>
        <v/>
      </c>
      <c r="DB11" s="22" t="str">
        <f t="shared" si="59"/>
        <v/>
      </c>
      <c r="DC11" s="22" t="str">
        <f t="shared" si="60"/>
        <v/>
      </c>
      <c r="DD11" s="22" t="str">
        <f t="shared" si="61"/>
        <v/>
      </c>
      <c r="DE11" s="22" t="str">
        <f t="shared" si="62"/>
        <v/>
      </c>
      <c r="DF11" s="22" t="str">
        <f t="shared" si="63"/>
        <v/>
      </c>
      <c r="DG11" s="22" t="str">
        <f t="shared" si="64"/>
        <v/>
      </c>
      <c r="DH11" s="22" t="str">
        <f t="shared" si="65"/>
        <v/>
      </c>
      <c r="DI11" s="22" t="str">
        <f t="shared" si="66"/>
        <v/>
      </c>
      <c r="DJ11" s="22" t="str">
        <f t="shared" si="67"/>
        <v/>
      </c>
      <c r="DK11" s="22" t="str">
        <f t="shared" si="68"/>
        <v/>
      </c>
      <c r="DL11" s="22" t="str">
        <f t="shared" si="69"/>
        <v/>
      </c>
      <c r="DM11" s="22">
        <f t="shared" si="70"/>
        <v>0</v>
      </c>
      <c r="DN11" s="36">
        <f t="shared" ref="DN11:DW11" si="76">DN10</f>
        <v>0</v>
      </c>
      <c r="DO11" s="36">
        <f t="shared" si="76"/>
        <v>0</v>
      </c>
      <c r="DP11" s="36">
        <f t="shared" si="76"/>
        <v>0</v>
      </c>
      <c r="DQ11" s="36">
        <f t="shared" si="76"/>
        <v>0</v>
      </c>
      <c r="DR11" s="36">
        <f t="shared" si="76"/>
        <v>0</v>
      </c>
      <c r="DS11" s="36">
        <f t="shared" si="76"/>
        <v>0</v>
      </c>
      <c r="DT11" s="36">
        <f t="shared" si="76"/>
        <v>0</v>
      </c>
      <c r="DU11" s="36">
        <f t="shared" si="76"/>
        <v>0</v>
      </c>
      <c r="DV11" s="36">
        <f t="shared" si="76"/>
        <v>0</v>
      </c>
      <c r="DW11" s="36">
        <f t="shared" si="76"/>
        <v>0</v>
      </c>
      <c r="DX11" s="23">
        <f>DX10</f>
        <v>0</v>
      </c>
      <c r="DY11" s="23">
        <f t="shared" ref="DY11:DY17" si="77">DY10</f>
        <v>0</v>
      </c>
      <c r="DZ11" s="23">
        <f t="shared" ref="DZ11:DZ17" si="78">DZ10</f>
        <v>0</v>
      </c>
      <c r="EA11" s="23">
        <f t="shared" ref="EA11:EA17" si="79">EA10</f>
        <v>0</v>
      </c>
      <c r="EB11" s="23">
        <f t="shared" ref="EB11:EB17" si="80">EB10</f>
        <v>0</v>
      </c>
      <c r="EC11" s="23">
        <f t="shared" ref="EC11:EC17" si="81">EC10</f>
        <v>0</v>
      </c>
      <c r="ED11" s="23">
        <f t="shared" ref="ED11:ED17" si="82">ED10</f>
        <v>0</v>
      </c>
      <c r="EE11" s="23">
        <f t="shared" ref="EE11:EE17" si="83">EE10</f>
        <v>0</v>
      </c>
      <c r="EF11" s="23">
        <f t="shared" ref="EF11:EF17" si="84">EF10</f>
        <v>0</v>
      </c>
      <c r="EG11" s="23">
        <f t="shared" ref="EG11:EG17" si="85">EG10</f>
        <v>0</v>
      </c>
      <c r="EH11" s="23">
        <f t="shared" ref="EH11:EH17" si="86">EH10</f>
        <v>0</v>
      </c>
      <c r="EI11" s="23">
        <f t="shared" ref="EI11:EI59" si="87">EI10</f>
        <v>0</v>
      </c>
      <c r="EJ11" s="23">
        <f t="shared" ref="EJ11:EJ59" si="88">EJ10</f>
        <v>0</v>
      </c>
    </row>
    <row r="12" spans="1:140" ht="9.9" customHeight="1" x14ac:dyDescent="0.3">
      <c r="A12" s="23">
        <v>3</v>
      </c>
      <c r="B12" s="37" t="str">
        <f>IF(ISBLANK(Informations!B13),"",Informations!B13)</f>
        <v>ALLOSO, RICHELLE MAE</v>
      </c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9" t="e">
        <f t="shared" si="6"/>
        <v>#DIV/0!</v>
      </c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40" t="str">
        <f t="shared" si="7"/>
        <v xml:space="preserve"> </v>
      </c>
      <c r="AI12" s="40" t="str">
        <f t="shared" si="8"/>
        <v xml:space="preserve"> </v>
      </c>
      <c r="AJ12" s="40" t="str">
        <f t="shared" si="9"/>
        <v xml:space="preserve"> </v>
      </c>
      <c r="AK12" s="40" t="str">
        <f t="shared" si="10"/>
        <v xml:space="preserve"> </v>
      </c>
      <c r="AL12" s="40" t="str">
        <f t="shared" si="11"/>
        <v xml:space="preserve"> </v>
      </c>
      <c r="AM12" s="40" t="str">
        <f t="shared" si="12"/>
        <v xml:space="preserve"> </v>
      </c>
      <c r="AN12" s="40" t="str">
        <f t="shared" si="13"/>
        <v xml:space="preserve"> </v>
      </c>
      <c r="AO12" s="40" t="str">
        <f t="shared" si="14"/>
        <v xml:space="preserve"> </v>
      </c>
      <c r="AP12" s="40" t="str">
        <f t="shared" si="15"/>
        <v xml:space="preserve"> </v>
      </c>
      <c r="AQ12" s="40" t="str">
        <f t="shared" si="16"/>
        <v xml:space="preserve"> </v>
      </c>
      <c r="AR12" s="41" t="e">
        <f t="shared" si="17"/>
        <v>#DIV/0!</v>
      </c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42" t="str">
        <f t="shared" si="18"/>
        <v xml:space="preserve"> </v>
      </c>
      <c r="BD12" s="42" t="str">
        <f t="shared" si="19"/>
        <v xml:space="preserve"> </v>
      </c>
      <c r="BE12" s="42" t="str">
        <f t="shared" si="20"/>
        <v xml:space="preserve"> </v>
      </c>
      <c r="BF12" s="42" t="str">
        <f t="shared" si="21"/>
        <v xml:space="preserve"> </v>
      </c>
      <c r="BG12" s="42" t="str">
        <f t="shared" si="22"/>
        <v xml:space="preserve"> </v>
      </c>
      <c r="BH12" s="42" t="str">
        <f t="shared" si="23"/>
        <v xml:space="preserve"> </v>
      </c>
      <c r="BI12" s="42" t="str">
        <f t="shared" si="24"/>
        <v xml:space="preserve"> </v>
      </c>
      <c r="BJ12" s="42" t="str">
        <f t="shared" si="25"/>
        <v xml:space="preserve"> </v>
      </c>
      <c r="BK12" s="42" t="str">
        <f t="shared" si="26"/>
        <v xml:space="preserve"> </v>
      </c>
      <c r="BL12" s="42" t="str">
        <f t="shared" si="27"/>
        <v xml:space="preserve"> </v>
      </c>
      <c r="BM12" s="43" t="e">
        <f t="shared" si="28"/>
        <v>#DIV/0!</v>
      </c>
      <c r="BN12" s="38"/>
      <c r="BO12" s="44" t="e">
        <f t="shared" si="29"/>
        <v>#DIV/0!</v>
      </c>
      <c r="BP12" s="20"/>
      <c r="BQ12" s="39" t="e">
        <f t="shared" si="73"/>
        <v>#DIV/0!</v>
      </c>
      <c r="BR12" s="23" t="e">
        <f t="shared" si="74"/>
        <v>#DIV/0!</v>
      </c>
      <c r="BS12" s="45"/>
      <c r="BT12" s="46"/>
      <c r="BU12" s="46"/>
      <c r="BV12" s="46"/>
      <c r="BW12" s="21" t="str">
        <f t="shared" si="30"/>
        <v/>
      </c>
      <c r="BX12" s="22" t="str">
        <f t="shared" si="31"/>
        <v/>
      </c>
      <c r="BY12" s="22" t="str">
        <f t="shared" si="32"/>
        <v/>
      </c>
      <c r="BZ12" s="22" t="str">
        <f t="shared" si="33"/>
        <v/>
      </c>
      <c r="CA12" s="22" t="str">
        <f t="shared" si="34"/>
        <v/>
      </c>
      <c r="CB12" s="22" t="str">
        <f t="shared" si="35"/>
        <v/>
      </c>
      <c r="CC12" s="22" t="str">
        <f t="shared" si="36"/>
        <v/>
      </c>
      <c r="CD12" s="22" t="str">
        <f t="shared" si="37"/>
        <v/>
      </c>
      <c r="CE12" s="22" t="str">
        <f t="shared" si="38"/>
        <v/>
      </c>
      <c r="CF12" s="22" t="str">
        <f t="shared" si="39"/>
        <v/>
      </c>
      <c r="CG12" s="22" t="str">
        <f t="shared" si="40"/>
        <v/>
      </c>
      <c r="CH12" s="22" t="str">
        <f t="shared" si="41"/>
        <v/>
      </c>
      <c r="CI12" s="22" t="str">
        <f t="shared" si="42"/>
        <v/>
      </c>
      <c r="CJ12" s="22" t="str">
        <f t="shared" si="43"/>
        <v/>
      </c>
      <c r="CK12" s="22" t="str">
        <f t="shared" si="44"/>
        <v/>
      </c>
      <c r="CL12" s="22" t="str">
        <f t="shared" si="45"/>
        <v/>
      </c>
      <c r="CM12" s="22" t="str">
        <f t="shared" si="46"/>
        <v/>
      </c>
      <c r="CN12" s="22" t="str">
        <f t="shared" si="47"/>
        <v/>
      </c>
      <c r="CO12" s="22" t="str">
        <f t="shared" si="48"/>
        <v/>
      </c>
      <c r="CP12" s="22" t="str">
        <f t="shared" si="49"/>
        <v/>
      </c>
      <c r="CQ12" s="22">
        <f t="shared" si="75"/>
        <v>0</v>
      </c>
      <c r="CR12" s="22">
        <f t="shared" si="3"/>
        <v>0</v>
      </c>
      <c r="CS12" s="22" t="str">
        <f t="shared" si="50"/>
        <v/>
      </c>
      <c r="CT12" s="22" t="str">
        <f t="shared" si="51"/>
        <v/>
      </c>
      <c r="CU12" s="22" t="str">
        <f t="shared" si="52"/>
        <v/>
      </c>
      <c r="CV12" s="22" t="str">
        <f t="shared" si="53"/>
        <v/>
      </c>
      <c r="CW12" s="22" t="str">
        <f t="shared" si="54"/>
        <v/>
      </c>
      <c r="CX12" s="22" t="str">
        <f t="shared" si="55"/>
        <v/>
      </c>
      <c r="CY12" s="22" t="str">
        <f t="shared" si="56"/>
        <v/>
      </c>
      <c r="CZ12" s="22" t="str">
        <f t="shared" si="57"/>
        <v/>
      </c>
      <c r="DA12" s="22" t="str">
        <f t="shared" si="58"/>
        <v/>
      </c>
      <c r="DB12" s="22" t="str">
        <f t="shared" si="59"/>
        <v/>
      </c>
      <c r="DC12" s="22" t="str">
        <f t="shared" si="60"/>
        <v/>
      </c>
      <c r="DD12" s="22" t="str">
        <f t="shared" si="61"/>
        <v/>
      </c>
      <c r="DE12" s="22" t="str">
        <f t="shared" si="62"/>
        <v/>
      </c>
      <c r="DF12" s="22" t="str">
        <f t="shared" si="63"/>
        <v/>
      </c>
      <c r="DG12" s="22" t="str">
        <f t="shared" si="64"/>
        <v/>
      </c>
      <c r="DH12" s="22" t="str">
        <f t="shared" si="65"/>
        <v/>
      </c>
      <c r="DI12" s="22" t="str">
        <f t="shared" si="66"/>
        <v/>
      </c>
      <c r="DJ12" s="22" t="str">
        <f t="shared" si="67"/>
        <v/>
      </c>
      <c r="DK12" s="22" t="str">
        <f t="shared" si="68"/>
        <v/>
      </c>
      <c r="DL12" s="22" t="str">
        <f t="shared" si="69"/>
        <v/>
      </c>
      <c r="DM12" s="22">
        <f t="shared" si="70"/>
        <v>0</v>
      </c>
      <c r="DN12" s="36">
        <f t="shared" ref="DN12:DW12" si="89">DN11</f>
        <v>0</v>
      </c>
      <c r="DO12" s="36">
        <f t="shared" si="89"/>
        <v>0</v>
      </c>
      <c r="DP12" s="36">
        <f t="shared" si="89"/>
        <v>0</v>
      </c>
      <c r="DQ12" s="36">
        <f t="shared" si="89"/>
        <v>0</v>
      </c>
      <c r="DR12" s="36">
        <f t="shared" si="89"/>
        <v>0</v>
      </c>
      <c r="DS12" s="36">
        <f t="shared" si="89"/>
        <v>0</v>
      </c>
      <c r="DT12" s="36">
        <f t="shared" si="89"/>
        <v>0</v>
      </c>
      <c r="DU12" s="36">
        <f t="shared" si="89"/>
        <v>0</v>
      </c>
      <c r="DV12" s="36">
        <f t="shared" si="89"/>
        <v>0</v>
      </c>
      <c r="DW12" s="36">
        <f t="shared" si="89"/>
        <v>0</v>
      </c>
      <c r="DX12" s="23">
        <f t="shared" ref="DX12:DX59" si="90">DX11</f>
        <v>0</v>
      </c>
      <c r="DY12" s="23">
        <f t="shared" si="77"/>
        <v>0</v>
      </c>
      <c r="DZ12" s="23">
        <f t="shared" si="78"/>
        <v>0</v>
      </c>
      <c r="EA12" s="23">
        <f t="shared" si="79"/>
        <v>0</v>
      </c>
      <c r="EB12" s="23">
        <f t="shared" si="80"/>
        <v>0</v>
      </c>
      <c r="EC12" s="23">
        <f t="shared" si="81"/>
        <v>0</v>
      </c>
      <c r="ED12" s="23">
        <f t="shared" si="82"/>
        <v>0</v>
      </c>
      <c r="EE12" s="23">
        <f t="shared" si="83"/>
        <v>0</v>
      </c>
      <c r="EF12" s="23">
        <f t="shared" si="84"/>
        <v>0</v>
      </c>
      <c r="EG12" s="23">
        <f t="shared" si="85"/>
        <v>0</v>
      </c>
      <c r="EH12" s="23">
        <f t="shared" si="86"/>
        <v>0</v>
      </c>
      <c r="EI12" s="23">
        <f t="shared" si="87"/>
        <v>0</v>
      </c>
      <c r="EJ12" s="23">
        <f t="shared" si="88"/>
        <v>0</v>
      </c>
    </row>
    <row r="13" spans="1:140" ht="9.9" customHeight="1" x14ac:dyDescent="0.3">
      <c r="A13" s="23">
        <v>4</v>
      </c>
      <c r="B13" s="37" t="str">
        <f>IF(ISBLANK(Informations!B14),"",Informations!B14)</f>
        <v>AUTIDA, MHARK ANGELOU E.</v>
      </c>
      <c r="C13" s="6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9" t="e">
        <f t="shared" si="6"/>
        <v>#DIV/0!</v>
      </c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40" t="str">
        <f t="shared" si="7"/>
        <v xml:space="preserve"> </v>
      </c>
      <c r="AI13" s="40" t="str">
        <f t="shared" si="8"/>
        <v xml:space="preserve"> </v>
      </c>
      <c r="AJ13" s="40" t="str">
        <f t="shared" si="9"/>
        <v xml:space="preserve"> </v>
      </c>
      <c r="AK13" s="40" t="str">
        <f t="shared" si="10"/>
        <v xml:space="preserve"> </v>
      </c>
      <c r="AL13" s="40" t="str">
        <f t="shared" si="11"/>
        <v xml:space="preserve"> </v>
      </c>
      <c r="AM13" s="40" t="str">
        <f t="shared" si="12"/>
        <v xml:space="preserve"> </v>
      </c>
      <c r="AN13" s="40" t="str">
        <f t="shared" si="13"/>
        <v xml:space="preserve"> </v>
      </c>
      <c r="AO13" s="40" t="str">
        <f t="shared" si="14"/>
        <v xml:space="preserve"> </v>
      </c>
      <c r="AP13" s="40" t="str">
        <f t="shared" si="15"/>
        <v xml:space="preserve"> </v>
      </c>
      <c r="AQ13" s="40" t="str">
        <f t="shared" si="16"/>
        <v xml:space="preserve"> </v>
      </c>
      <c r="AR13" s="41" t="e">
        <f t="shared" si="17"/>
        <v>#DIV/0!</v>
      </c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42" t="str">
        <f t="shared" si="18"/>
        <v xml:space="preserve"> </v>
      </c>
      <c r="BD13" s="42" t="str">
        <f t="shared" si="19"/>
        <v xml:space="preserve"> </v>
      </c>
      <c r="BE13" s="42" t="str">
        <f t="shared" si="20"/>
        <v xml:space="preserve"> </v>
      </c>
      <c r="BF13" s="42" t="str">
        <f t="shared" si="21"/>
        <v xml:space="preserve"> </v>
      </c>
      <c r="BG13" s="42" t="str">
        <f t="shared" si="22"/>
        <v xml:space="preserve"> </v>
      </c>
      <c r="BH13" s="42" t="str">
        <f t="shared" si="23"/>
        <v xml:space="preserve"> </v>
      </c>
      <c r="BI13" s="42" t="str">
        <f t="shared" si="24"/>
        <v xml:space="preserve"> </v>
      </c>
      <c r="BJ13" s="42" t="str">
        <f t="shared" si="25"/>
        <v xml:space="preserve"> </v>
      </c>
      <c r="BK13" s="42" t="str">
        <f t="shared" si="26"/>
        <v xml:space="preserve"> </v>
      </c>
      <c r="BL13" s="42" t="str">
        <f t="shared" si="27"/>
        <v xml:space="preserve"> </v>
      </c>
      <c r="BM13" s="43" t="e">
        <f t="shared" si="28"/>
        <v>#DIV/0!</v>
      </c>
      <c r="BN13" s="38"/>
      <c r="BO13" s="44" t="e">
        <f t="shared" si="29"/>
        <v>#DIV/0!</v>
      </c>
      <c r="BP13" s="20"/>
      <c r="BQ13" s="39" t="e">
        <f t="shared" si="73"/>
        <v>#DIV/0!</v>
      </c>
      <c r="BR13" s="23" t="e">
        <f t="shared" si="74"/>
        <v>#DIV/0!</v>
      </c>
      <c r="BS13" s="45"/>
      <c r="BT13" s="46"/>
      <c r="BU13" s="46"/>
      <c r="BV13" s="46"/>
      <c r="BW13" s="21" t="str">
        <f t="shared" si="30"/>
        <v/>
      </c>
      <c r="BX13" s="22" t="str">
        <f t="shared" si="31"/>
        <v/>
      </c>
      <c r="BY13" s="22" t="str">
        <f t="shared" si="32"/>
        <v/>
      </c>
      <c r="BZ13" s="22" t="str">
        <f t="shared" si="33"/>
        <v/>
      </c>
      <c r="CA13" s="22" t="str">
        <f t="shared" si="34"/>
        <v/>
      </c>
      <c r="CB13" s="22" t="str">
        <f t="shared" si="35"/>
        <v/>
      </c>
      <c r="CC13" s="22" t="str">
        <f t="shared" si="36"/>
        <v/>
      </c>
      <c r="CD13" s="22" t="str">
        <f t="shared" si="37"/>
        <v/>
      </c>
      <c r="CE13" s="22" t="str">
        <f t="shared" si="38"/>
        <v/>
      </c>
      <c r="CF13" s="22" t="str">
        <f t="shared" si="39"/>
        <v/>
      </c>
      <c r="CG13" s="22" t="str">
        <f t="shared" si="40"/>
        <v/>
      </c>
      <c r="CH13" s="22" t="str">
        <f t="shared" si="41"/>
        <v/>
      </c>
      <c r="CI13" s="22" t="str">
        <f t="shared" si="42"/>
        <v/>
      </c>
      <c r="CJ13" s="22" t="str">
        <f t="shared" si="43"/>
        <v/>
      </c>
      <c r="CK13" s="22" t="str">
        <f t="shared" si="44"/>
        <v/>
      </c>
      <c r="CL13" s="22" t="str">
        <f t="shared" si="45"/>
        <v/>
      </c>
      <c r="CM13" s="22" t="str">
        <f t="shared" si="46"/>
        <v/>
      </c>
      <c r="CN13" s="22" t="str">
        <f t="shared" si="47"/>
        <v/>
      </c>
      <c r="CO13" s="22" t="str">
        <f t="shared" si="48"/>
        <v/>
      </c>
      <c r="CP13" s="22" t="str">
        <f t="shared" si="49"/>
        <v/>
      </c>
      <c r="CQ13" s="22">
        <f t="shared" si="75"/>
        <v>0</v>
      </c>
      <c r="CR13" s="22">
        <f t="shared" si="3"/>
        <v>0</v>
      </c>
      <c r="CS13" s="22" t="str">
        <f t="shared" si="50"/>
        <v/>
      </c>
      <c r="CT13" s="22" t="str">
        <f t="shared" si="51"/>
        <v/>
      </c>
      <c r="CU13" s="22" t="str">
        <f t="shared" si="52"/>
        <v/>
      </c>
      <c r="CV13" s="22" t="str">
        <f t="shared" si="53"/>
        <v/>
      </c>
      <c r="CW13" s="22" t="str">
        <f t="shared" si="54"/>
        <v/>
      </c>
      <c r="CX13" s="22" t="str">
        <f t="shared" si="55"/>
        <v/>
      </c>
      <c r="CY13" s="22" t="str">
        <f t="shared" si="56"/>
        <v/>
      </c>
      <c r="CZ13" s="22" t="str">
        <f t="shared" si="57"/>
        <v/>
      </c>
      <c r="DA13" s="22" t="str">
        <f t="shared" si="58"/>
        <v/>
      </c>
      <c r="DB13" s="22" t="str">
        <f t="shared" si="59"/>
        <v/>
      </c>
      <c r="DC13" s="22" t="str">
        <f t="shared" si="60"/>
        <v/>
      </c>
      <c r="DD13" s="22" t="str">
        <f t="shared" si="61"/>
        <v/>
      </c>
      <c r="DE13" s="22" t="str">
        <f t="shared" si="62"/>
        <v/>
      </c>
      <c r="DF13" s="22" t="str">
        <f t="shared" si="63"/>
        <v/>
      </c>
      <c r="DG13" s="22" t="str">
        <f t="shared" si="64"/>
        <v/>
      </c>
      <c r="DH13" s="22" t="str">
        <f t="shared" si="65"/>
        <v/>
      </c>
      <c r="DI13" s="22" t="str">
        <f t="shared" si="66"/>
        <v/>
      </c>
      <c r="DJ13" s="22" t="str">
        <f t="shared" si="67"/>
        <v/>
      </c>
      <c r="DK13" s="22" t="str">
        <f t="shared" si="68"/>
        <v/>
      </c>
      <c r="DL13" s="22" t="str">
        <f t="shared" si="69"/>
        <v/>
      </c>
      <c r="DM13" s="22">
        <f t="shared" si="70"/>
        <v>0</v>
      </c>
      <c r="DN13" s="36">
        <f t="shared" ref="DN13:DW13" si="91">DN12</f>
        <v>0</v>
      </c>
      <c r="DO13" s="36">
        <f t="shared" si="91"/>
        <v>0</v>
      </c>
      <c r="DP13" s="36">
        <f t="shared" si="91"/>
        <v>0</v>
      </c>
      <c r="DQ13" s="36">
        <f t="shared" si="91"/>
        <v>0</v>
      </c>
      <c r="DR13" s="36">
        <f t="shared" si="91"/>
        <v>0</v>
      </c>
      <c r="DS13" s="36">
        <f t="shared" si="91"/>
        <v>0</v>
      </c>
      <c r="DT13" s="36">
        <f t="shared" si="91"/>
        <v>0</v>
      </c>
      <c r="DU13" s="36">
        <f t="shared" si="91"/>
        <v>0</v>
      </c>
      <c r="DV13" s="36">
        <f t="shared" si="91"/>
        <v>0</v>
      </c>
      <c r="DW13" s="36">
        <f t="shared" si="91"/>
        <v>0</v>
      </c>
      <c r="DX13" s="23">
        <f t="shared" si="90"/>
        <v>0</v>
      </c>
      <c r="DY13" s="23">
        <f t="shared" si="77"/>
        <v>0</v>
      </c>
      <c r="DZ13" s="23">
        <f t="shared" si="78"/>
        <v>0</v>
      </c>
      <c r="EA13" s="23">
        <f t="shared" si="79"/>
        <v>0</v>
      </c>
      <c r="EB13" s="23">
        <f t="shared" si="80"/>
        <v>0</v>
      </c>
      <c r="EC13" s="23">
        <f t="shared" si="81"/>
        <v>0</v>
      </c>
      <c r="ED13" s="23">
        <f t="shared" si="82"/>
        <v>0</v>
      </c>
      <c r="EE13" s="23">
        <f t="shared" si="83"/>
        <v>0</v>
      </c>
      <c r="EF13" s="23">
        <f t="shared" si="84"/>
        <v>0</v>
      </c>
      <c r="EG13" s="23">
        <f t="shared" si="85"/>
        <v>0</v>
      </c>
      <c r="EH13" s="23">
        <f t="shared" si="86"/>
        <v>0</v>
      </c>
      <c r="EI13" s="23">
        <f t="shared" si="87"/>
        <v>0</v>
      </c>
      <c r="EJ13" s="23">
        <f t="shared" si="88"/>
        <v>0</v>
      </c>
    </row>
    <row r="14" spans="1:140" ht="9.9" customHeight="1" x14ac:dyDescent="0.3">
      <c r="A14" s="23">
        <v>5</v>
      </c>
      <c r="B14" s="37" t="str">
        <f>IF(ISBLANK(Informations!B15),"",Informations!B15)</f>
        <v>BENITO, FADEL C.</v>
      </c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9" t="e">
        <f t="shared" si="6"/>
        <v>#DIV/0!</v>
      </c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40" t="str">
        <f t="shared" si="7"/>
        <v xml:space="preserve"> </v>
      </c>
      <c r="AI14" s="40" t="str">
        <f t="shared" si="8"/>
        <v xml:space="preserve"> </v>
      </c>
      <c r="AJ14" s="40" t="str">
        <f t="shared" si="9"/>
        <v xml:space="preserve"> </v>
      </c>
      <c r="AK14" s="40" t="str">
        <f t="shared" si="10"/>
        <v xml:space="preserve"> </v>
      </c>
      <c r="AL14" s="40" t="str">
        <f t="shared" si="11"/>
        <v xml:space="preserve"> </v>
      </c>
      <c r="AM14" s="40" t="str">
        <f t="shared" si="12"/>
        <v xml:space="preserve"> </v>
      </c>
      <c r="AN14" s="40" t="str">
        <f t="shared" si="13"/>
        <v xml:space="preserve"> </v>
      </c>
      <c r="AO14" s="40" t="str">
        <f t="shared" si="14"/>
        <v xml:space="preserve"> </v>
      </c>
      <c r="AP14" s="40" t="str">
        <f t="shared" si="15"/>
        <v xml:space="preserve"> </v>
      </c>
      <c r="AQ14" s="40" t="str">
        <f t="shared" si="16"/>
        <v xml:space="preserve"> </v>
      </c>
      <c r="AR14" s="41" t="e">
        <f t="shared" si="17"/>
        <v>#DIV/0!</v>
      </c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42" t="str">
        <f t="shared" si="18"/>
        <v xml:space="preserve"> </v>
      </c>
      <c r="BD14" s="42" t="str">
        <f t="shared" si="19"/>
        <v xml:space="preserve"> </v>
      </c>
      <c r="BE14" s="42" t="str">
        <f t="shared" si="20"/>
        <v xml:space="preserve"> </v>
      </c>
      <c r="BF14" s="42" t="str">
        <f t="shared" si="21"/>
        <v xml:space="preserve"> </v>
      </c>
      <c r="BG14" s="42" t="str">
        <f t="shared" si="22"/>
        <v xml:space="preserve"> </v>
      </c>
      <c r="BH14" s="42" t="str">
        <f t="shared" si="23"/>
        <v xml:space="preserve"> </v>
      </c>
      <c r="BI14" s="42" t="str">
        <f t="shared" si="24"/>
        <v xml:space="preserve"> </v>
      </c>
      <c r="BJ14" s="42" t="str">
        <f t="shared" si="25"/>
        <v xml:space="preserve"> </v>
      </c>
      <c r="BK14" s="42" t="str">
        <f t="shared" si="26"/>
        <v xml:space="preserve"> </v>
      </c>
      <c r="BL14" s="42" t="str">
        <f t="shared" si="27"/>
        <v xml:space="preserve"> </v>
      </c>
      <c r="BM14" s="43" t="e">
        <f t="shared" si="28"/>
        <v>#DIV/0!</v>
      </c>
      <c r="BN14" s="38"/>
      <c r="BO14" s="44" t="e">
        <f t="shared" si="29"/>
        <v>#DIV/0!</v>
      </c>
      <c r="BP14" s="20"/>
      <c r="BQ14" s="39" t="e">
        <f t="shared" si="73"/>
        <v>#DIV/0!</v>
      </c>
      <c r="BR14" s="23" t="e">
        <f t="shared" si="74"/>
        <v>#DIV/0!</v>
      </c>
      <c r="BS14" s="45"/>
      <c r="BT14" s="46"/>
      <c r="BU14" s="46"/>
      <c r="BV14" s="46"/>
      <c r="BW14" s="21" t="str">
        <f t="shared" si="30"/>
        <v/>
      </c>
      <c r="BX14" s="22" t="str">
        <f t="shared" si="31"/>
        <v/>
      </c>
      <c r="BY14" s="22" t="str">
        <f t="shared" si="32"/>
        <v/>
      </c>
      <c r="BZ14" s="22" t="str">
        <f t="shared" si="33"/>
        <v/>
      </c>
      <c r="CA14" s="22" t="str">
        <f t="shared" si="34"/>
        <v/>
      </c>
      <c r="CB14" s="22" t="str">
        <f t="shared" si="35"/>
        <v/>
      </c>
      <c r="CC14" s="22" t="str">
        <f t="shared" si="36"/>
        <v/>
      </c>
      <c r="CD14" s="22" t="str">
        <f t="shared" si="37"/>
        <v/>
      </c>
      <c r="CE14" s="22" t="str">
        <f t="shared" si="38"/>
        <v/>
      </c>
      <c r="CF14" s="22" t="str">
        <f t="shared" si="39"/>
        <v/>
      </c>
      <c r="CG14" s="22" t="str">
        <f t="shared" si="40"/>
        <v/>
      </c>
      <c r="CH14" s="22" t="str">
        <f t="shared" si="41"/>
        <v/>
      </c>
      <c r="CI14" s="22" t="str">
        <f t="shared" si="42"/>
        <v/>
      </c>
      <c r="CJ14" s="22" t="str">
        <f t="shared" si="43"/>
        <v/>
      </c>
      <c r="CK14" s="22" t="str">
        <f t="shared" si="44"/>
        <v/>
      </c>
      <c r="CL14" s="22" t="str">
        <f t="shared" si="45"/>
        <v/>
      </c>
      <c r="CM14" s="22" t="str">
        <f t="shared" si="46"/>
        <v/>
      </c>
      <c r="CN14" s="22" t="str">
        <f t="shared" si="47"/>
        <v/>
      </c>
      <c r="CO14" s="22" t="str">
        <f t="shared" si="48"/>
        <v/>
      </c>
      <c r="CP14" s="22" t="str">
        <f t="shared" si="49"/>
        <v/>
      </c>
      <c r="CQ14" s="22">
        <f t="shared" si="75"/>
        <v>0</v>
      </c>
      <c r="CR14" s="22">
        <f t="shared" si="3"/>
        <v>0</v>
      </c>
      <c r="CS14" s="22" t="str">
        <f t="shared" si="50"/>
        <v/>
      </c>
      <c r="CT14" s="22" t="str">
        <f t="shared" si="51"/>
        <v/>
      </c>
      <c r="CU14" s="22" t="str">
        <f t="shared" si="52"/>
        <v/>
      </c>
      <c r="CV14" s="22" t="str">
        <f t="shared" si="53"/>
        <v/>
      </c>
      <c r="CW14" s="22" t="str">
        <f t="shared" si="54"/>
        <v/>
      </c>
      <c r="CX14" s="22" t="str">
        <f t="shared" si="55"/>
        <v/>
      </c>
      <c r="CY14" s="22" t="str">
        <f t="shared" si="56"/>
        <v/>
      </c>
      <c r="CZ14" s="22" t="str">
        <f t="shared" si="57"/>
        <v/>
      </c>
      <c r="DA14" s="22" t="str">
        <f t="shared" si="58"/>
        <v/>
      </c>
      <c r="DB14" s="22" t="str">
        <f t="shared" si="59"/>
        <v/>
      </c>
      <c r="DC14" s="22" t="str">
        <f t="shared" si="60"/>
        <v/>
      </c>
      <c r="DD14" s="22" t="str">
        <f t="shared" si="61"/>
        <v/>
      </c>
      <c r="DE14" s="22" t="str">
        <f t="shared" si="62"/>
        <v/>
      </c>
      <c r="DF14" s="22" t="str">
        <f t="shared" si="63"/>
        <v/>
      </c>
      <c r="DG14" s="22" t="str">
        <f t="shared" si="64"/>
        <v/>
      </c>
      <c r="DH14" s="22" t="str">
        <f t="shared" si="65"/>
        <v/>
      </c>
      <c r="DI14" s="22" t="str">
        <f t="shared" si="66"/>
        <v/>
      </c>
      <c r="DJ14" s="22" t="str">
        <f t="shared" si="67"/>
        <v/>
      </c>
      <c r="DK14" s="22" t="str">
        <f t="shared" si="68"/>
        <v/>
      </c>
      <c r="DL14" s="22" t="str">
        <f t="shared" si="69"/>
        <v/>
      </c>
      <c r="DM14" s="22">
        <f t="shared" si="70"/>
        <v>0</v>
      </c>
      <c r="DN14" s="36">
        <f t="shared" ref="DN14:DW14" si="92">DN13</f>
        <v>0</v>
      </c>
      <c r="DO14" s="36">
        <f t="shared" si="92"/>
        <v>0</v>
      </c>
      <c r="DP14" s="36">
        <f t="shared" si="92"/>
        <v>0</v>
      </c>
      <c r="DQ14" s="36">
        <f t="shared" si="92"/>
        <v>0</v>
      </c>
      <c r="DR14" s="36">
        <f t="shared" si="92"/>
        <v>0</v>
      </c>
      <c r="DS14" s="36">
        <f t="shared" si="92"/>
        <v>0</v>
      </c>
      <c r="DT14" s="36">
        <f t="shared" si="92"/>
        <v>0</v>
      </c>
      <c r="DU14" s="36">
        <f t="shared" si="92"/>
        <v>0</v>
      </c>
      <c r="DV14" s="36">
        <f t="shared" si="92"/>
        <v>0</v>
      </c>
      <c r="DW14" s="36">
        <f t="shared" si="92"/>
        <v>0</v>
      </c>
      <c r="DX14" s="23">
        <f t="shared" si="90"/>
        <v>0</v>
      </c>
      <c r="DY14" s="23">
        <f t="shared" si="77"/>
        <v>0</v>
      </c>
      <c r="DZ14" s="23">
        <f t="shared" si="78"/>
        <v>0</v>
      </c>
      <c r="EA14" s="23">
        <f t="shared" si="79"/>
        <v>0</v>
      </c>
      <c r="EB14" s="23">
        <f t="shared" si="80"/>
        <v>0</v>
      </c>
      <c r="EC14" s="23">
        <f t="shared" si="81"/>
        <v>0</v>
      </c>
      <c r="ED14" s="23">
        <f t="shared" si="82"/>
        <v>0</v>
      </c>
      <c r="EE14" s="23">
        <f t="shared" si="83"/>
        <v>0</v>
      </c>
      <c r="EF14" s="23">
        <f t="shared" si="84"/>
        <v>0</v>
      </c>
      <c r="EG14" s="23">
        <f t="shared" si="85"/>
        <v>0</v>
      </c>
      <c r="EH14" s="23">
        <f t="shared" si="86"/>
        <v>0</v>
      </c>
      <c r="EI14" s="23">
        <f t="shared" si="87"/>
        <v>0</v>
      </c>
      <c r="EJ14" s="23">
        <f t="shared" si="88"/>
        <v>0</v>
      </c>
    </row>
    <row r="15" spans="1:140" ht="9.9" customHeight="1" x14ac:dyDescent="0.3">
      <c r="A15" s="23">
        <v>6</v>
      </c>
      <c r="B15" s="37" t="str">
        <f>IF(ISBLANK(Informations!B16),"",Informations!B16)</f>
        <v>BESTUDIO, JERBY BRIX T.</v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9" t="e">
        <f t="shared" si="6"/>
        <v>#DIV/0!</v>
      </c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40" t="str">
        <f t="shared" si="7"/>
        <v xml:space="preserve"> </v>
      </c>
      <c r="AI15" s="40" t="str">
        <f t="shared" si="8"/>
        <v xml:space="preserve"> </v>
      </c>
      <c r="AJ15" s="40" t="str">
        <f t="shared" si="9"/>
        <v xml:space="preserve"> </v>
      </c>
      <c r="AK15" s="40" t="str">
        <f t="shared" si="10"/>
        <v xml:space="preserve"> </v>
      </c>
      <c r="AL15" s="40" t="str">
        <f t="shared" si="11"/>
        <v xml:space="preserve"> </v>
      </c>
      <c r="AM15" s="40" t="str">
        <f t="shared" si="12"/>
        <v xml:space="preserve"> </v>
      </c>
      <c r="AN15" s="40" t="str">
        <f t="shared" si="13"/>
        <v xml:space="preserve"> </v>
      </c>
      <c r="AO15" s="40" t="str">
        <f t="shared" si="14"/>
        <v xml:space="preserve"> </v>
      </c>
      <c r="AP15" s="40" t="str">
        <f t="shared" si="15"/>
        <v xml:space="preserve"> </v>
      </c>
      <c r="AQ15" s="40" t="str">
        <f t="shared" si="16"/>
        <v xml:space="preserve"> </v>
      </c>
      <c r="AR15" s="41" t="e">
        <f t="shared" si="17"/>
        <v>#DIV/0!</v>
      </c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42" t="str">
        <f t="shared" si="18"/>
        <v xml:space="preserve"> </v>
      </c>
      <c r="BD15" s="42" t="str">
        <f t="shared" si="19"/>
        <v xml:space="preserve"> </v>
      </c>
      <c r="BE15" s="42" t="str">
        <f t="shared" si="20"/>
        <v xml:space="preserve"> </v>
      </c>
      <c r="BF15" s="42" t="str">
        <f t="shared" si="21"/>
        <v xml:space="preserve"> </v>
      </c>
      <c r="BG15" s="42" t="str">
        <f t="shared" si="22"/>
        <v xml:space="preserve"> </v>
      </c>
      <c r="BH15" s="42" t="str">
        <f t="shared" si="23"/>
        <v xml:space="preserve"> </v>
      </c>
      <c r="BI15" s="42" t="str">
        <f t="shared" si="24"/>
        <v xml:space="preserve"> </v>
      </c>
      <c r="BJ15" s="42" t="str">
        <f t="shared" si="25"/>
        <v xml:space="preserve"> </v>
      </c>
      <c r="BK15" s="42" t="str">
        <f t="shared" si="26"/>
        <v xml:space="preserve"> </v>
      </c>
      <c r="BL15" s="42" t="str">
        <f t="shared" si="27"/>
        <v xml:space="preserve"> </v>
      </c>
      <c r="BM15" s="43" t="e">
        <f t="shared" si="28"/>
        <v>#DIV/0!</v>
      </c>
      <c r="BN15" s="38"/>
      <c r="BO15" s="44" t="e">
        <f t="shared" si="29"/>
        <v>#DIV/0!</v>
      </c>
      <c r="BP15" s="20"/>
      <c r="BQ15" s="39" t="e">
        <f t="shared" si="73"/>
        <v>#DIV/0!</v>
      </c>
      <c r="BR15" s="23" t="e">
        <f t="shared" si="74"/>
        <v>#DIV/0!</v>
      </c>
      <c r="BS15" s="45"/>
      <c r="BT15" s="46"/>
      <c r="BU15" s="46"/>
      <c r="BV15" s="46"/>
      <c r="BW15" s="21" t="str">
        <f t="shared" si="30"/>
        <v/>
      </c>
      <c r="BX15" s="22" t="str">
        <f t="shared" si="31"/>
        <v/>
      </c>
      <c r="BY15" s="22" t="str">
        <f t="shared" si="32"/>
        <v/>
      </c>
      <c r="BZ15" s="22" t="str">
        <f t="shared" si="33"/>
        <v/>
      </c>
      <c r="CA15" s="22" t="str">
        <f t="shared" si="34"/>
        <v/>
      </c>
      <c r="CB15" s="22" t="str">
        <f t="shared" si="35"/>
        <v/>
      </c>
      <c r="CC15" s="22" t="str">
        <f t="shared" si="36"/>
        <v/>
      </c>
      <c r="CD15" s="22" t="str">
        <f t="shared" si="37"/>
        <v/>
      </c>
      <c r="CE15" s="22" t="str">
        <f t="shared" si="38"/>
        <v/>
      </c>
      <c r="CF15" s="22" t="str">
        <f t="shared" si="39"/>
        <v/>
      </c>
      <c r="CG15" s="22" t="str">
        <f t="shared" si="40"/>
        <v/>
      </c>
      <c r="CH15" s="22" t="str">
        <f t="shared" si="41"/>
        <v/>
      </c>
      <c r="CI15" s="22" t="str">
        <f t="shared" si="42"/>
        <v/>
      </c>
      <c r="CJ15" s="22" t="str">
        <f t="shared" si="43"/>
        <v/>
      </c>
      <c r="CK15" s="22" t="str">
        <f t="shared" si="44"/>
        <v/>
      </c>
      <c r="CL15" s="22" t="str">
        <f t="shared" si="45"/>
        <v/>
      </c>
      <c r="CM15" s="22" t="str">
        <f t="shared" si="46"/>
        <v/>
      </c>
      <c r="CN15" s="22" t="str">
        <f t="shared" si="47"/>
        <v/>
      </c>
      <c r="CO15" s="22" t="str">
        <f t="shared" si="48"/>
        <v/>
      </c>
      <c r="CP15" s="22" t="str">
        <f t="shared" si="49"/>
        <v/>
      </c>
      <c r="CQ15" s="22">
        <f t="shared" si="75"/>
        <v>0</v>
      </c>
      <c r="CR15" s="22">
        <f t="shared" si="3"/>
        <v>0</v>
      </c>
      <c r="CS15" s="22" t="str">
        <f t="shared" si="50"/>
        <v/>
      </c>
      <c r="CT15" s="22" t="str">
        <f t="shared" si="51"/>
        <v/>
      </c>
      <c r="CU15" s="22" t="str">
        <f t="shared" si="52"/>
        <v/>
      </c>
      <c r="CV15" s="22" t="str">
        <f t="shared" si="53"/>
        <v/>
      </c>
      <c r="CW15" s="22" t="str">
        <f t="shared" si="54"/>
        <v/>
      </c>
      <c r="CX15" s="22" t="str">
        <f t="shared" si="55"/>
        <v/>
      </c>
      <c r="CY15" s="22" t="str">
        <f t="shared" si="56"/>
        <v/>
      </c>
      <c r="CZ15" s="22" t="str">
        <f t="shared" si="57"/>
        <v/>
      </c>
      <c r="DA15" s="22" t="str">
        <f t="shared" si="58"/>
        <v/>
      </c>
      <c r="DB15" s="22" t="str">
        <f t="shared" si="59"/>
        <v/>
      </c>
      <c r="DC15" s="22" t="str">
        <f t="shared" si="60"/>
        <v/>
      </c>
      <c r="DD15" s="22" t="str">
        <f t="shared" si="61"/>
        <v/>
      </c>
      <c r="DE15" s="22" t="str">
        <f t="shared" si="62"/>
        <v/>
      </c>
      <c r="DF15" s="22" t="str">
        <f t="shared" si="63"/>
        <v/>
      </c>
      <c r="DG15" s="22" t="str">
        <f t="shared" si="64"/>
        <v/>
      </c>
      <c r="DH15" s="22" t="str">
        <f t="shared" si="65"/>
        <v/>
      </c>
      <c r="DI15" s="22" t="str">
        <f t="shared" si="66"/>
        <v/>
      </c>
      <c r="DJ15" s="22" t="str">
        <f t="shared" si="67"/>
        <v/>
      </c>
      <c r="DK15" s="22" t="str">
        <f t="shared" si="68"/>
        <v/>
      </c>
      <c r="DL15" s="22" t="str">
        <f t="shared" si="69"/>
        <v/>
      </c>
      <c r="DM15" s="22">
        <f t="shared" si="70"/>
        <v>0</v>
      </c>
      <c r="DN15" s="36">
        <f t="shared" ref="DN15:DW15" si="93">DN14</f>
        <v>0</v>
      </c>
      <c r="DO15" s="36">
        <f t="shared" si="93"/>
        <v>0</v>
      </c>
      <c r="DP15" s="36">
        <f t="shared" si="93"/>
        <v>0</v>
      </c>
      <c r="DQ15" s="36">
        <f t="shared" si="93"/>
        <v>0</v>
      </c>
      <c r="DR15" s="36">
        <f t="shared" si="93"/>
        <v>0</v>
      </c>
      <c r="DS15" s="36">
        <f t="shared" si="93"/>
        <v>0</v>
      </c>
      <c r="DT15" s="36">
        <f t="shared" si="93"/>
        <v>0</v>
      </c>
      <c r="DU15" s="36">
        <f t="shared" si="93"/>
        <v>0</v>
      </c>
      <c r="DV15" s="36">
        <f t="shared" si="93"/>
        <v>0</v>
      </c>
      <c r="DW15" s="36">
        <f t="shared" si="93"/>
        <v>0</v>
      </c>
      <c r="DX15" s="23">
        <f t="shared" si="90"/>
        <v>0</v>
      </c>
      <c r="DY15" s="23">
        <f t="shared" si="77"/>
        <v>0</v>
      </c>
      <c r="DZ15" s="23">
        <f t="shared" si="78"/>
        <v>0</v>
      </c>
      <c r="EA15" s="23">
        <f t="shared" si="79"/>
        <v>0</v>
      </c>
      <c r="EB15" s="23">
        <f t="shared" si="80"/>
        <v>0</v>
      </c>
      <c r="EC15" s="23">
        <f t="shared" si="81"/>
        <v>0</v>
      </c>
      <c r="ED15" s="23">
        <f t="shared" si="82"/>
        <v>0</v>
      </c>
      <c r="EE15" s="23">
        <f t="shared" si="83"/>
        <v>0</v>
      </c>
      <c r="EF15" s="23">
        <f t="shared" si="84"/>
        <v>0</v>
      </c>
      <c r="EG15" s="23">
        <f t="shared" si="85"/>
        <v>0</v>
      </c>
      <c r="EH15" s="23">
        <f t="shared" si="86"/>
        <v>0</v>
      </c>
      <c r="EI15" s="23">
        <f t="shared" si="87"/>
        <v>0</v>
      </c>
      <c r="EJ15" s="23">
        <f t="shared" si="88"/>
        <v>0</v>
      </c>
    </row>
    <row r="16" spans="1:140" ht="9.9" customHeight="1" x14ac:dyDescent="0.3">
      <c r="A16" s="23">
        <v>7</v>
      </c>
      <c r="B16" s="37" t="str">
        <f>IF(ISBLANK(Informations!B17),"",Informations!B17)</f>
        <v>BONGGALON, ROSELYN M.</v>
      </c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9" t="e">
        <f t="shared" si="6"/>
        <v>#DIV/0!</v>
      </c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40" t="str">
        <f t="shared" si="7"/>
        <v xml:space="preserve"> </v>
      </c>
      <c r="AI16" s="40" t="str">
        <f t="shared" si="8"/>
        <v xml:space="preserve"> </v>
      </c>
      <c r="AJ16" s="40" t="str">
        <f t="shared" si="9"/>
        <v xml:space="preserve"> </v>
      </c>
      <c r="AK16" s="40" t="str">
        <f t="shared" si="10"/>
        <v xml:space="preserve"> </v>
      </c>
      <c r="AL16" s="40" t="str">
        <f t="shared" si="11"/>
        <v xml:space="preserve"> </v>
      </c>
      <c r="AM16" s="40" t="str">
        <f t="shared" si="12"/>
        <v xml:space="preserve"> </v>
      </c>
      <c r="AN16" s="40" t="str">
        <f t="shared" si="13"/>
        <v xml:space="preserve"> </v>
      </c>
      <c r="AO16" s="40" t="str">
        <f t="shared" si="14"/>
        <v xml:space="preserve"> </v>
      </c>
      <c r="AP16" s="40" t="str">
        <f t="shared" si="15"/>
        <v xml:space="preserve"> </v>
      </c>
      <c r="AQ16" s="40" t="str">
        <f t="shared" si="16"/>
        <v xml:space="preserve"> </v>
      </c>
      <c r="AR16" s="41" t="e">
        <f t="shared" si="17"/>
        <v>#DIV/0!</v>
      </c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42" t="str">
        <f t="shared" si="18"/>
        <v xml:space="preserve"> </v>
      </c>
      <c r="BD16" s="42" t="str">
        <f t="shared" si="19"/>
        <v xml:space="preserve"> </v>
      </c>
      <c r="BE16" s="42" t="str">
        <f t="shared" si="20"/>
        <v xml:space="preserve"> </v>
      </c>
      <c r="BF16" s="42" t="str">
        <f t="shared" si="21"/>
        <v xml:space="preserve"> </v>
      </c>
      <c r="BG16" s="42" t="str">
        <f t="shared" si="22"/>
        <v xml:space="preserve"> </v>
      </c>
      <c r="BH16" s="42" t="str">
        <f t="shared" si="23"/>
        <v xml:space="preserve"> </v>
      </c>
      <c r="BI16" s="42" t="str">
        <f t="shared" si="24"/>
        <v xml:space="preserve"> </v>
      </c>
      <c r="BJ16" s="42" t="str">
        <f t="shared" si="25"/>
        <v xml:space="preserve"> </v>
      </c>
      <c r="BK16" s="42" t="str">
        <f t="shared" si="26"/>
        <v xml:space="preserve"> </v>
      </c>
      <c r="BL16" s="42" t="str">
        <f t="shared" si="27"/>
        <v xml:space="preserve"> </v>
      </c>
      <c r="BM16" s="43" t="e">
        <f t="shared" si="28"/>
        <v>#DIV/0!</v>
      </c>
      <c r="BN16" s="38"/>
      <c r="BO16" s="44" t="e">
        <f t="shared" si="29"/>
        <v>#DIV/0!</v>
      </c>
      <c r="BP16" s="20"/>
      <c r="BQ16" s="39" t="e">
        <f t="shared" si="73"/>
        <v>#DIV/0!</v>
      </c>
      <c r="BR16" s="23" t="e">
        <f t="shared" si="74"/>
        <v>#DIV/0!</v>
      </c>
      <c r="BS16" s="45"/>
      <c r="BT16" s="46"/>
      <c r="BU16" s="46"/>
      <c r="BV16" s="46"/>
      <c r="BW16" s="21" t="str">
        <f t="shared" si="30"/>
        <v/>
      </c>
      <c r="BX16" s="22" t="str">
        <f t="shared" si="31"/>
        <v/>
      </c>
      <c r="BY16" s="22" t="str">
        <f t="shared" si="32"/>
        <v/>
      </c>
      <c r="BZ16" s="22" t="str">
        <f t="shared" si="33"/>
        <v/>
      </c>
      <c r="CA16" s="22" t="str">
        <f t="shared" si="34"/>
        <v/>
      </c>
      <c r="CB16" s="22" t="str">
        <f t="shared" si="35"/>
        <v/>
      </c>
      <c r="CC16" s="22" t="str">
        <f t="shared" si="36"/>
        <v/>
      </c>
      <c r="CD16" s="22" t="str">
        <f t="shared" si="37"/>
        <v/>
      </c>
      <c r="CE16" s="22" t="str">
        <f t="shared" si="38"/>
        <v/>
      </c>
      <c r="CF16" s="22" t="str">
        <f t="shared" si="39"/>
        <v/>
      </c>
      <c r="CG16" s="22" t="str">
        <f t="shared" si="40"/>
        <v/>
      </c>
      <c r="CH16" s="22" t="str">
        <f t="shared" si="41"/>
        <v/>
      </c>
      <c r="CI16" s="22" t="str">
        <f t="shared" si="42"/>
        <v/>
      </c>
      <c r="CJ16" s="22" t="str">
        <f t="shared" si="43"/>
        <v/>
      </c>
      <c r="CK16" s="22" t="str">
        <f t="shared" si="44"/>
        <v/>
      </c>
      <c r="CL16" s="22" t="str">
        <f t="shared" si="45"/>
        <v/>
      </c>
      <c r="CM16" s="22" t="str">
        <f t="shared" si="46"/>
        <v/>
      </c>
      <c r="CN16" s="22" t="str">
        <f t="shared" si="47"/>
        <v/>
      </c>
      <c r="CO16" s="22" t="str">
        <f t="shared" si="48"/>
        <v/>
      </c>
      <c r="CP16" s="22" t="str">
        <f t="shared" si="49"/>
        <v/>
      </c>
      <c r="CQ16" s="22">
        <f t="shared" si="75"/>
        <v>0</v>
      </c>
      <c r="CR16" s="22">
        <f t="shared" si="3"/>
        <v>0</v>
      </c>
      <c r="CS16" s="22" t="str">
        <f t="shared" si="50"/>
        <v/>
      </c>
      <c r="CT16" s="22" t="str">
        <f t="shared" si="51"/>
        <v/>
      </c>
      <c r="CU16" s="22" t="str">
        <f t="shared" si="52"/>
        <v/>
      </c>
      <c r="CV16" s="22" t="str">
        <f t="shared" si="53"/>
        <v/>
      </c>
      <c r="CW16" s="22" t="str">
        <f t="shared" si="54"/>
        <v/>
      </c>
      <c r="CX16" s="22" t="str">
        <f t="shared" si="55"/>
        <v/>
      </c>
      <c r="CY16" s="22" t="str">
        <f t="shared" si="56"/>
        <v/>
      </c>
      <c r="CZ16" s="22" t="str">
        <f t="shared" si="57"/>
        <v/>
      </c>
      <c r="DA16" s="22" t="str">
        <f t="shared" si="58"/>
        <v/>
      </c>
      <c r="DB16" s="22" t="str">
        <f t="shared" si="59"/>
        <v/>
      </c>
      <c r="DC16" s="22" t="str">
        <f t="shared" si="60"/>
        <v/>
      </c>
      <c r="DD16" s="22" t="str">
        <f t="shared" si="61"/>
        <v/>
      </c>
      <c r="DE16" s="22" t="str">
        <f t="shared" si="62"/>
        <v/>
      </c>
      <c r="DF16" s="22" t="str">
        <f t="shared" si="63"/>
        <v/>
      </c>
      <c r="DG16" s="22" t="str">
        <f t="shared" si="64"/>
        <v/>
      </c>
      <c r="DH16" s="22" t="str">
        <f t="shared" si="65"/>
        <v/>
      </c>
      <c r="DI16" s="22" t="str">
        <f t="shared" si="66"/>
        <v/>
      </c>
      <c r="DJ16" s="22" t="str">
        <f t="shared" si="67"/>
        <v/>
      </c>
      <c r="DK16" s="22" t="str">
        <f t="shared" si="68"/>
        <v/>
      </c>
      <c r="DL16" s="22" t="str">
        <f t="shared" si="69"/>
        <v/>
      </c>
      <c r="DM16" s="22">
        <f t="shared" si="70"/>
        <v>0</v>
      </c>
      <c r="DN16" s="36">
        <f t="shared" ref="DN16:DW16" si="94">DN15</f>
        <v>0</v>
      </c>
      <c r="DO16" s="36">
        <f t="shared" si="94"/>
        <v>0</v>
      </c>
      <c r="DP16" s="36">
        <f t="shared" si="94"/>
        <v>0</v>
      </c>
      <c r="DQ16" s="36">
        <f t="shared" si="94"/>
        <v>0</v>
      </c>
      <c r="DR16" s="36">
        <f t="shared" si="94"/>
        <v>0</v>
      </c>
      <c r="DS16" s="36">
        <f t="shared" si="94"/>
        <v>0</v>
      </c>
      <c r="DT16" s="36">
        <f t="shared" si="94"/>
        <v>0</v>
      </c>
      <c r="DU16" s="36">
        <f t="shared" si="94"/>
        <v>0</v>
      </c>
      <c r="DV16" s="36">
        <f t="shared" si="94"/>
        <v>0</v>
      </c>
      <c r="DW16" s="36">
        <f t="shared" si="94"/>
        <v>0</v>
      </c>
      <c r="DX16" s="23">
        <f t="shared" si="90"/>
        <v>0</v>
      </c>
      <c r="DY16" s="23">
        <f t="shared" si="77"/>
        <v>0</v>
      </c>
      <c r="DZ16" s="23">
        <f t="shared" si="78"/>
        <v>0</v>
      </c>
      <c r="EA16" s="23">
        <f t="shared" si="79"/>
        <v>0</v>
      </c>
      <c r="EB16" s="23">
        <f t="shared" si="80"/>
        <v>0</v>
      </c>
      <c r="EC16" s="23">
        <f t="shared" si="81"/>
        <v>0</v>
      </c>
      <c r="ED16" s="23">
        <f t="shared" si="82"/>
        <v>0</v>
      </c>
      <c r="EE16" s="23">
        <f t="shared" si="83"/>
        <v>0</v>
      </c>
      <c r="EF16" s="23">
        <f t="shared" si="84"/>
        <v>0</v>
      </c>
      <c r="EG16" s="23">
        <f t="shared" si="85"/>
        <v>0</v>
      </c>
      <c r="EH16" s="23">
        <f t="shared" si="86"/>
        <v>0</v>
      </c>
      <c r="EI16" s="23">
        <f t="shared" si="87"/>
        <v>0</v>
      </c>
      <c r="EJ16" s="23">
        <f t="shared" si="88"/>
        <v>0</v>
      </c>
    </row>
    <row r="17" spans="1:140" ht="9.9" customHeight="1" x14ac:dyDescent="0.3">
      <c r="A17" s="23">
        <v>8</v>
      </c>
      <c r="B17" s="37" t="str">
        <f>IF(ISBLANK(Informations!B18),"",Informations!B18)</f>
        <v>CABANIG, JOYCE D.</v>
      </c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9" t="e">
        <f t="shared" si="6"/>
        <v>#DIV/0!</v>
      </c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40" t="str">
        <f t="shared" si="7"/>
        <v xml:space="preserve"> </v>
      </c>
      <c r="AI17" s="40" t="str">
        <f t="shared" si="8"/>
        <v xml:space="preserve"> </v>
      </c>
      <c r="AJ17" s="40" t="str">
        <f t="shared" si="9"/>
        <v xml:space="preserve"> </v>
      </c>
      <c r="AK17" s="40" t="str">
        <f t="shared" si="10"/>
        <v xml:space="preserve"> </v>
      </c>
      <c r="AL17" s="40" t="str">
        <f t="shared" si="11"/>
        <v xml:space="preserve"> </v>
      </c>
      <c r="AM17" s="40" t="str">
        <f t="shared" si="12"/>
        <v xml:space="preserve"> </v>
      </c>
      <c r="AN17" s="40" t="str">
        <f t="shared" si="13"/>
        <v xml:space="preserve"> </v>
      </c>
      <c r="AO17" s="40" t="str">
        <f t="shared" si="14"/>
        <v xml:space="preserve"> </v>
      </c>
      <c r="AP17" s="40" t="str">
        <f t="shared" si="15"/>
        <v xml:space="preserve"> </v>
      </c>
      <c r="AQ17" s="40" t="str">
        <f t="shared" si="16"/>
        <v xml:space="preserve"> </v>
      </c>
      <c r="AR17" s="41" t="e">
        <f t="shared" si="17"/>
        <v>#DIV/0!</v>
      </c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42" t="str">
        <f t="shared" si="18"/>
        <v xml:space="preserve"> </v>
      </c>
      <c r="BD17" s="42" t="str">
        <f t="shared" si="19"/>
        <v xml:space="preserve"> </v>
      </c>
      <c r="BE17" s="42" t="str">
        <f t="shared" si="20"/>
        <v xml:space="preserve"> </v>
      </c>
      <c r="BF17" s="42" t="str">
        <f t="shared" si="21"/>
        <v xml:space="preserve"> </v>
      </c>
      <c r="BG17" s="42" t="str">
        <f t="shared" si="22"/>
        <v xml:space="preserve"> </v>
      </c>
      <c r="BH17" s="42" t="str">
        <f t="shared" si="23"/>
        <v xml:space="preserve"> </v>
      </c>
      <c r="BI17" s="42" t="str">
        <f t="shared" si="24"/>
        <v xml:space="preserve"> </v>
      </c>
      <c r="BJ17" s="42" t="str">
        <f t="shared" si="25"/>
        <v xml:space="preserve"> </v>
      </c>
      <c r="BK17" s="42" t="str">
        <f t="shared" si="26"/>
        <v xml:space="preserve"> </v>
      </c>
      <c r="BL17" s="42" t="str">
        <f t="shared" si="27"/>
        <v xml:space="preserve"> </v>
      </c>
      <c r="BM17" s="43" t="e">
        <f t="shared" si="28"/>
        <v>#DIV/0!</v>
      </c>
      <c r="BN17" s="38"/>
      <c r="BO17" s="44" t="e">
        <f t="shared" si="29"/>
        <v>#DIV/0!</v>
      </c>
      <c r="BP17" s="20"/>
      <c r="BQ17" s="39" t="e">
        <f t="shared" si="73"/>
        <v>#DIV/0!</v>
      </c>
      <c r="BR17" s="23" t="e">
        <f t="shared" si="74"/>
        <v>#DIV/0!</v>
      </c>
      <c r="BS17" s="45"/>
      <c r="BT17" s="46"/>
      <c r="BU17" s="46"/>
      <c r="BV17" s="46"/>
      <c r="BW17" s="21" t="str">
        <f t="shared" si="30"/>
        <v/>
      </c>
      <c r="BX17" s="22" t="str">
        <f t="shared" si="31"/>
        <v/>
      </c>
      <c r="BY17" s="22" t="str">
        <f t="shared" si="32"/>
        <v/>
      </c>
      <c r="BZ17" s="22" t="str">
        <f t="shared" si="33"/>
        <v/>
      </c>
      <c r="CA17" s="22" t="str">
        <f t="shared" si="34"/>
        <v/>
      </c>
      <c r="CB17" s="22" t="str">
        <f t="shared" si="35"/>
        <v/>
      </c>
      <c r="CC17" s="22" t="str">
        <f t="shared" si="36"/>
        <v/>
      </c>
      <c r="CD17" s="22" t="str">
        <f t="shared" si="37"/>
        <v/>
      </c>
      <c r="CE17" s="22" t="str">
        <f t="shared" si="38"/>
        <v/>
      </c>
      <c r="CF17" s="22" t="str">
        <f t="shared" si="39"/>
        <v/>
      </c>
      <c r="CG17" s="22" t="str">
        <f t="shared" si="40"/>
        <v/>
      </c>
      <c r="CH17" s="22" t="str">
        <f t="shared" si="41"/>
        <v/>
      </c>
      <c r="CI17" s="22" t="str">
        <f t="shared" si="42"/>
        <v/>
      </c>
      <c r="CJ17" s="22" t="str">
        <f t="shared" si="43"/>
        <v/>
      </c>
      <c r="CK17" s="22" t="str">
        <f t="shared" si="44"/>
        <v/>
      </c>
      <c r="CL17" s="22" t="str">
        <f t="shared" si="45"/>
        <v/>
      </c>
      <c r="CM17" s="22" t="str">
        <f t="shared" si="46"/>
        <v/>
      </c>
      <c r="CN17" s="22" t="str">
        <f t="shared" si="47"/>
        <v/>
      </c>
      <c r="CO17" s="22" t="str">
        <f t="shared" si="48"/>
        <v/>
      </c>
      <c r="CP17" s="22" t="str">
        <f t="shared" si="49"/>
        <v/>
      </c>
      <c r="CQ17" s="22">
        <f t="shared" si="75"/>
        <v>0</v>
      </c>
      <c r="CR17" s="22">
        <f t="shared" si="3"/>
        <v>0</v>
      </c>
      <c r="CS17" s="22" t="str">
        <f t="shared" si="50"/>
        <v/>
      </c>
      <c r="CT17" s="22" t="str">
        <f t="shared" si="51"/>
        <v/>
      </c>
      <c r="CU17" s="22" t="str">
        <f t="shared" si="52"/>
        <v/>
      </c>
      <c r="CV17" s="22" t="str">
        <f t="shared" si="53"/>
        <v/>
      </c>
      <c r="CW17" s="22" t="str">
        <f t="shared" si="54"/>
        <v/>
      </c>
      <c r="CX17" s="22" t="str">
        <f t="shared" si="55"/>
        <v/>
      </c>
      <c r="CY17" s="22" t="str">
        <f t="shared" si="56"/>
        <v/>
      </c>
      <c r="CZ17" s="22" t="str">
        <f t="shared" si="57"/>
        <v/>
      </c>
      <c r="DA17" s="22" t="str">
        <f t="shared" si="58"/>
        <v/>
      </c>
      <c r="DB17" s="22" t="str">
        <f t="shared" si="59"/>
        <v/>
      </c>
      <c r="DC17" s="22" t="str">
        <f t="shared" si="60"/>
        <v/>
      </c>
      <c r="DD17" s="22" t="str">
        <f t="shared" si="61"/>
        <v/>
      </c>
      <c r="DE17" s="22" t="str">
        <f t="shared" si="62"/>
        <v/>
      </c>
      <c r="DF17" s="22" t="str">
        <f t="shared" si="63"/>
        <v/>
      </c>
      <c r="DG17" s="22" t="str">
        <f t="shared" si="64"/>
        <v/>
      </c>
      <c r="DH17" s="22" t="str">
        <f t="shared" si="65"/>
        <v/>
      </c>
      <c r="DI17" s="22" t="str">
        <f t="shared" si="66"/>
        <v/>
      </c>
      <c r="DJ17" s="22" t="str">
        <f t="shared" si="67"/>
        <v/>
      </c>
      <c r="DK17" s="22" t="str">
        <f t="shared" si="68"/>
        <v/>
      </c>
      <c r="DL17" s="22" t="str">
        <f t="shared" si="69"/>
        <v/>
      </c>
      <c r="DM17" s="22">
        <f t="shared" si="70"/>
        <v>0</v>
      </c>
      <c r="DN17" s="36">
        <f t="shared" ref="DN17:DW17" si="95">DN16</f>
        <v>0</v>
      </c>
      <c r="DO17" s="36">
        <f t="shared" si="95"/>
        <v>0</v>
      </c>
      <c r="DP17" s="36">
        <f t="shared" si="95"/>
        <v>0</v>
      </c>
      <c r="DQ17" s="36">
        <f t="shared" si="95"/>
        <v>0</v>
      </c>
      <c r="DR17" s="36">
        <f t="shared" si="95"/>
        <v>0</v>
      </c>
      <c r="DS17" s="36">
        <f t="shared" si="95"/>
        <v>0</v>
      </c>
      <c r="DT17" s="36">
        <f t="shared" si="95"/>
        <v>0</v>
      </c>
      <c r="DU17" s="36">
        <f t="shared" si="95"/>
        <v>0</v>
      </c>
      <c r="DV17" s="36">
        <f t="shared" si="95"/>
        <v>0</v>
      </c>
      <c r="DW17" s="36">
        <f t="shared" si="95"/>
        <v>0</v>
      </c>
      <c r="DX17" s="23">
        <f t="shared" si="90"/>
        <v>0</v>
      </c>
      <c r="DY17" s="23">
        <f t="shared" si="77"/>
        <v>0</v>
      </c>
      <c r="DZ17" s="23">
        <f t="shared" si="78"/>
        <v>0</v>
      </c>
      <c r="EA17" s="23">
        <f t="shared" si="79"/>
        <v>0</v>
      </c>
      <c r="EB17" s="23">
        <f t="shared" si="80"/>
        <v>0</v>
      </c>
      <c r="EC17" s="23">
        <f t="shared" si="81"/>
        <v>0</v>
      </c>
      <c r="ED17" s="23">
        <f t="shared" si="82"/>
        <v>0</v>
      </c>
      <c r="EE17" s="23">
        <f t="shared" si="83"/>
        <v>0</v>
      </c>
      <c r="EF17" s="23">
        <f t="shared" si="84"/>
        <v>0</v>
      </c>
      <c r="EG17" s="23">
        <f t="shared" si="85"/>
        <v>0</v>
      </c>
      <c r="EH17" s="23">
        <f t="shared" si="86"/>
        <v>0</v>
      </c>
      <c r="EI17" s="23">
        <f t="shared" si="87"/>
        <v>0</v>
      </c>
      <c r="EJ17" s="23">
        <f t="shared" si="88"/>
        <v>0</v>
      </c>
    </row>
    <row r="18" spans="1:140" ht="9.9" customHeight="1" x14ac:dyDescent="0.3">
      <c r="A18" s="23">
        <v>9</v>
      </c>
      <c r="B18" s="37" t="str">
        <f>IF(ISBLANK(Informations!B19),"",Informations!B19)</f>
        <v>DELEGUER JR., WYNIEL M.</v>
      </c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9" t="e">
        <f t="shared" si="6"/>
        <v>#DIV/0!</v>
      </c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40" t="str">
        <f t="shared" si="7"/>
        <v xml:space="preserve"> </v>
      </c>
      <c r="AI18" s="40" t="str">
        <f t="shared" si="8"/>
        <v xml:space="preserve"> </v>
      </c>
      <c r="AJ18" s="40" t="str">
        <f t="shared" si="9"/>
        <v xml:space="preserve"> </v>
      </c>
      <c r="AK18" s="40" t="str">
        <f t="shared" si="10"/>
        <v xml:space="preserve"> </v>
      </c>
      <c r="AL18" s="40" t="str">
        <f t="shared" si="11"/>
        <v xml:space="preserve"> </v>
      </c>
      <c r="AM18" s="40" t="str">
        <f t="shared" si="12"/>
        <v xml:space="preserve"> </v>
      </c>
      <c r="AN18" s="40" t="str">
        <f t="shared" si="13"/>
        <v xml:space="preserve"> </v>
      </c>
      <c r="AO18" s="40" t="str">
        <f t="shared" si="14"/>
        <v xml:space="preserve"> </v>
      </c>
      <c r="AP18" s="40" t="str">
        <f t="shared" si="15"/>
        <v xml:space="preserve"> </v>
      </c>
      <c r="AQ18" s="40" t="str">
        <f t="shared" si="16"/>
        <v xml:space="preserve"> </v>
      </c>
      <c r="AR18" s="41" t="e">
        <f t="shared" si="17"/>
        <v>#DIV/0!</v>
      </c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42" t="str">
        <f t="shared" si="18"/>
        <v xml:space="preserve"> </v>
      </c>
      <c r="BD18" s="42" t="str">
        <f t="shared" si="19"/>
        <v xml:space="preserve"> </v>
      </c>
      <c r="BE18" s="42" t="str">
        <f t="shared" si="20"/>
        <v xml:space="preserve"> </v>
      </c>
      <c r="BF18" s="42" t="str">
        <f t="shared" si="21"/>
        <v xml:space="preserve"> </v>
      </c>
      <c r="BG18" s="42" t="str">
        <f t="shared" si="22"/>
        <v xml:space="preserve"> </v>
      </c>
      <c r="BH18" s="42" t="str">
        <f t="shared" si="23"/>
        <v xml:space="preserve"> </v>
      </c>
      <c r="BI18" s="42" t="str">
        <f t="shared" si="24"/>
        <v xml:space="preserve"> </v>
      </c>
      <c r="BJ18" s="42" t="str">
        <f t="shared" si="25"/>
        <v xml:space="preserve"> </v>
      </c>
      <c r="BK18" s="42" t="str">
        <f t="shared" si="26"/>
        <v xml:space="preserve"> </v>
      </c>
      <c r="BL18" s="42" t="str">
        <f t="shared" si="27"/>
        <v xml:space="preserve"> </v>
      </c>
      <c r="BM18" s="43" t="e">
        <f t="shared" si="28"/>
        <v>#DIV/0!</v>
      </c>
      <c r="BN18" s="38"/>
      <c r="BO18" s="44" t="e">
        <f t="shared" si="29"/>
        <v>#DIV/0!</v>
      </c>
      <c r="BP18" s="20"/>
      <c r="BQ18" s="39" t="e">
        <f t="shared" si="73"/>
        <v>#DIV/0!</v>
      </c>
      <c r="BR18" s="23" t="e">
        <f t="shared" ref="BR18:BR59" si="96">IF(BQ18&gt;=74.5,"PASSED","FAILED")</f>
        <v>#DIV/0!</v>
      </c>
      <c r="BS18" s="45"/>
      <c r="BT18" s="46"/>
      <c r="BU18" s="46"/>
      <c r="BV18" s="46"/>
      <c r="BW18" s="21" t="str">
        <f t="shared" si="30"/>
        <v/>
      </c>
      <c r="BX18" s="22" t="str">
        <f t="shared" si="31"/>
        <v/>
      </c>
      <c r="BY18" s="22" t="str">
        <f t="shared" si="32"/>
        <v/>
      </c>
      <c r="BZ18" s="22" t="str">
        <f t="shared" si="33"/>
        <v/>
      </c>
      <c r="CA18" s="22" t="str">
        <f t="shared" si="34"/>
        <v/>
      </c>
      <c r="CB18" s="22" t="str">
        <f t="shared" si="35"/>
        <v/>
      </c>
      <c r="CC18" s="22" t="str">
        <f t="shared" si="36"/>
        <v/>
      </c>
      <c r="CD18" s="22" t="str">
        <f t="shared" si="37"/>
        <v/>
      </c>
      <c r="CE18" s="22" t="str">
        <f t="shared" si="38"/>
        <v/>
      </c>
      <c r="CF18" s="22" t="str">
        <f t="shared" si="39"/>
        <v/>
      </c>
      <c r="CG18" s="22" t="str">
        <f t="shared" si="40"/>
        <v/>
      </c>
      <c r="CH18" s="22" t="str">
        <f t="shared" si="41"/>
        <v/>
      </c>
      <c r="CI18" s="22" t="str">
        <f t="shared" si="42"/>
        <v/>
      </c>
      <c r="CJ18" s="22" t="str">
        <f t="shared" si="43"/>
        <v/>
      </c>
      <c r="CK18" s="22" t="str">
        <f t="shared" si="44"/>
        <v/>
      </c>
      <c r="CL18" s="22" t="str">
        <f t="shared" si="45"/>
        <v/>
      </c>
      <c r="CM18" s="22" t="str">
        <f t="shared" si="46"/>
        <v/>
      </c>
      <c r="CN18" s="22" t="str">
        <f t="shared" si="47"/>
        <v/>
      </c>
      <c r="CO18" s="22" t="str">
        <f t="shared" si="48"/>
        <v/>
      </c>
      <c r="CP18" s="22" t="str">
        <f t="shared" si="49"/>
        <v/>
      </c>
      <c r="CQ18" s="22">
        <f t="shared" si="75"/>
        <v>0</v>
      </c>
      <c r="CR18" s="22">
        <f t="shared" si="3"/>
        <v>0</v>
      </c>
      <c r="CS18" s="22" t="str">
        <f t="shared" si="50"/>
        <v/>
      </c>
      <c r="CT18" s="22" t="str">
        <f t="shared" si="51"/>
        <v/>
      </c>
      <c r="CU18" s="22" t="str">
        <f t="shared" si="52"/>
        <v/>
      </c>
      <c r="CV18" s="22" t="str">
        <f t="shared" si="53"/>
        <v/>
      </c>
      <c r="CW18" s="22" t="str">
        <f t="shared" si="54"/>
        <v/>
      </c>
      <c r="CX18" s="22" t="str">
        <f t="shared" si="55"/>
        <v/>
      </c>
      <c r="CY18" s="22" t="str">
        <f t="shared" si="56"/>
        <v/>
      </c>
      <c r="CZ18" s="22" t="str">
        <f t="shared" si="57"/>
        <v/>
      </c>
      <c r="DA18" s="22" t="str">
        <f t="shared" si="58"/>
        <v/>
      </c>
      <c r="DB18" s="22" t="str">
        <f t="shared" si="59"/>
        <v/>
      </c>
      <c r="DC18" s="22" t="str">
        <f t="shared" si="60"/>
        <v/>
      </c>
      <c r="DD18" s="22" t="str">
        <f t="shared" si="61"/>
        <v/>
      </c>
      <c r="DE18" s="22" t="str">
        <f t="shared" si="62"/>
        <v/>
      </c>
      <c r="DF18" s="22" t="str">
        <f t="shared" si="63"/>
        <v/>
      </c>
      <c r="DG18" s="22" t="str">
        <f t="shared" si="64"/>
        <v/>
      </c>
      <c r="DH18" s="22" t="str">
        <f t="shared" si="65"/>
        <v/>
      </c>
      <c r="DI18" s="22" t="str">
        <f t="shared" si="66"/>
        <v/>
      </c>
      <c r="DJ18" s="22" t="str">
        <f t="shared" si="67"/>
        <v/>
      </c>
      <c r="DK18" s="22" t="str">
        <f t="shared" si="68"/>
        <v/>
      </c>
      <c r="DL18" s="22" t="str">
        <f t="shared" si="69"/>
        <v/>
      </c>
      <c r="DM18" s="22">
        <f t="shared" si="70"/>
        <v>0</v>
      </c>
      <c r="DN18" s="36">
        <f t="shared" ref="DN18:DW18" si="97">DN17</f>
        <v>0</v>
      </c>
      <c r="DO18" s="36">
        <f t="shared" si="97"/>
        <v>0</v>
      </c>
      <c r="DP18" s="36">
        <f t="shared" si="97"/>
        <v>0</v>
      </c>
      <c r="DQ18" s="36">
        <f t="shared" si="97"/>
        <v>0</v>
      </c>
      <c r="DR18" s="36">
        <f t="shared" si="97"/>
        <v>0</v>
      </c>
      <c r="DS18" s="36">
        <f t="shared" si="97"/>
        <v>0</v>
      </c>
      <c r="DT18" s="36">
        <f t="shared" si="97"/>
        <v>0</v>
      </c>
      <c r="DU18" s="36">
        <f t="shared" si="97"/>
        <v>0</v>
      </c>
      <c r="DV18" s="36">
        <f t="shared" si="97"/>
        <v>0</v>
      </c>
      <c r="DW18" s="36">
        <f t="shared" si="97"/>
        <v>0</v>
      </c>
      <c r="DX18" s="23">
        <f t="shared" si="90"/>
        <v>0</v>
      </c>
      <c r="DY18" s="23">
        <f t="shared" ref="DY18:DY59" si="98">DY17</f>
        <v>0</v>
      </c>
      <c r="DZ18" s="23">
        <f t="shared" ref="DZ18:DZ59" si="99">DZ17</f>
        <v>0</v>
      </c>
      <c r="EA18" s="23">
        <f t="shared" ref="EA18:EA59" si="100">EA17</f>
        <v>0</v>
      </c>
      <c r="EB18" s="23">
        <f t="shared" ref="EB18:EB59" si="101">EB17</f>
        <v>0</v>
      </c>
      <c r="EC18" s="23">
        <f t="shared" ref="EC18:EC59" si="102">EC17</f>
        <v>0</v>
      </c>
      <c r="ED18" s="23">
        <f t="shared" ref="ED18:ED59" si="103">ED17</f>
        <v>0</v>
      </c>
      <c r="EE18" s="23">
        <f t="shared" ref="EE18:EE59" si="104">EE17</f>
        <v>0</v>
      </c>
      <c r="EF18" s="23">
        <f t="shared" ref="EF18:EF59" si="105">EF17</f>
        <v>0</v>
      </c>
      <c r="EG18" s="23">
        <f t="shared" ref="EG18:EG59" si="106">EG17</f>
        <v>0</v>
      </c>
      <c r="EH18" s="23">
        <f t="shared" ref="EH18:EH59" si="107">EH17</f>
        <v>0</v>
      </c>
      <c r="EI18" s="23">
        <f t="shared" si="87"/>
        <v>0</v>
      </c>
      <c r="EJ18" s="23">
        <f t="shared" si="88"/>
        <v>0</v>
      </c>
    </row>
    <row r="19" spans="1:140" ht="9.9" customHeight="1" x14ac:dyDescent="0.3">
      <c r="A19" s="23">
        <v>10</v>
      </c>
      <c r="B19" s="37" t="str">
        <f>IF(ISBLANK(Informations!B20),"",Informations!B20)</f>
        <v>ESPINO, PRINCESS GAIL A.</v>
      </c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9" t="e">
        <f t="shared" si="6"/>
        <v>#DIV/0!</v>
      </c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40" t="str">
        <f t="shared" si="7"/>
        <v xml:space="preserve"> </v>
      </c>
      <c r="AI19" s="40" t="str">
        <f t="shared" si="8"/>
        <v xml:space="preserve"> </v>
      </c>
      <c r="AJ19" s="40" t="str">
        <f t="shared" si="9"/>
        <v xml:space="preserve"> </v>
      </c>
      <c r="AK19" s="40" t="str">
        <f t="shared" si="10"/>
        <v xml:space="preserve"> </v>
      </c>
      <c r="AL19" s="40" t="str">
        <f t="shared" si="11"/>
        <v xml:space="preserve"> </v>
      </c>
      <c r="AM19" s="40" t="str">
        <f t="shared" si="12"/>
        <v xml:space="preserve"> </v>
      </c>
      <c r="AN19" s="40" t="str">
        <f t="shared" si="13"/>
        <v xml:space="preserve"> </v>
      </c>
      <c r="AO19" s="40" t="str">
        <f t="shared" si="14"/>
        <v xml:space="preserve"> </v>
      </c>
      <c r="AP19" s="40" t="str">
        <f t="shared" si="15"/>
        <v xml:space="preserve"> </v>
      </c>
      <c r="AQ19" s="40" t="str">
        <f t="shared" si="16"/>
        <v xml:space="preserve"> </v>
      </c>
      <c r="AR19" s="41" t="e">
        <f t="shared" si="17"/>
        <v>#DIV/0!</v>
      </c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42" t="str">
        <f t="shared" si="18"/>
        <v xml:space="preserve"> </v>
      </c>
      <c r="BD19" s="42" t="str">
        <f t="shared" si="19"/>
        <v xml:space="preserve"> </v>
      </c>
      <c r="BE19" s="42" t="str">
        <f t="shared" si="20"/>
        <v xml:space="preserve"> </v>
      </c>
      <c r="BF19" s="42" t="str">
        <f t="shared" si="21"/>
        <v xml:space="preserve"> </v>
      </c>
      <c r="BG19" s="42" t="str">
        <f t="shared" si="22"/>
        <v xml:space="preserve"> </v>
      </c>
      <c r="BH19" s="42" t="str">
        <f t="shared" si="23"/>
        <v xml:space="preserve"> </v>
      </c>
      <c r="BI19" s="42" t="str">
        <f t="shared" si="24"/>
        <v xml:space="preserve"> </v>
      </c>
      <c r="BJ19" s="42" t="str">
        <f t="shared" si="25"/>
        <v xml:space="preserve"> </v>
      </c>
      <c r="BK19" s="42" t="str">
        <f t="shared" si="26"/>
        <v xml:space="preserve"> </v>
      </c>
      <c r="BL19" s="42" t="str">
        <f t="shared" si="27"/>
        <v xml:space="preserve"> </v>
      </c>
      <c r="BM19" s="43" t="e">
        <f t="shared" si="28"/>
        <v>#DIV/0!</v>
      </c>
      <c r="BN19" s="38"/>
      <c r="BO19" s="44" t="e">
        <f t="shared" si="29"/>
        <v>#DIV/0!</v>
      </c>
      <c r="BP19" s="20"/>
      <c r="BQ19" s="39" t="e">
        <f t="shared" si="73"/>
        <v>#DIV/0!</v>
      </c>
      <c r="BR19" s="23" t="e">
        <f t="shared" si="96"/>
        <v>#DIV/0!</v>
      </c>
      <c r="BS19" s="45"/>
      <c r="BT19" s="46"/>
      <c r="BU19" s="46"/>
      <c r="BV19" s="46"/>
      <c r="BW19" s="21" t="str">
        <f t="shared" si="30"/>
        <v/>
      </c>
      <c r="BX19" s="22" t="str">
        <f t="shared" si="31"/>
        <v/>
      </c>
      <c r="BY19" s="22" t="str">
        <f t="shared" si="32"/>
        <v/>
      </c>
      <c r="BZ19" s="22" t="str">
        <f t="shared" si="33"/>
        <v/>
      </c>
      <c r="CA19" s="22" t="str">
        <f t="shared" si="34"/>
        <v/>
      </c>
      <c r="CB19" s="22" t="str">
        <f t="shared" si="35"/>
        <v/>
      </c>
      <c r="CC19" s="22" t="str">
        <f t="shared" si="36"/>
        <v/>
      </c>
      <c r="CD19" s="22" t="str">
        <f t="shared" si="37"/>
        <v/>
      </c>
      <c r="CE19" s="22" t="str">
        <f t="shared" si="38"/>
        <v/>
      </c>
      <c r="CF19" s="22" t="str">
        <f t="shared" si="39"/>
        <v/>
      </c>
      <c r="CG19" s="22" t="str">
        <f t="shared" si="40"/>
        <v/>
      </c>
      <c r="CH19" s="22" t="str">
        <f t="shared" si="41"/>
        <v/>
      </c>
      <c r="CI19" s="22" t="str">
        <f t="shared" si="42"/>
        <v/>
      </c>
      <c r="CJ19" s="22" t="str">
        <f t="shared" si="43"/>
        <v/>
      </c>
      <c r="CK19" s="22" t="str">
        <f t="shared" si="44"/>
        <v/>
      </c>
      <c r="CL19" s="22" t="str">
        <f t="shared" si="45"/>
        <v/>
      </c>
      <c r="CM19" s="22" t="str">
        <f t="shared" si="46"/>
        <v/>
      </c>
      <c r="CN19" s="22" t="str">
        <f t="shared" si="47"/>
        <v/>
      </c>
      <c r="CO19" s="22" t="str">
        <f t="shared" si="48"/>
        <v/>
      </c>
      <c r="CP19" s="22" t="str">
        <f t="shared" si="49"/>
        <v/>
      </c>
      <c r="CQ19" s="22">
        <f t="shared" si="75"/>
        <v>0</v>
      </c>
      <c r="CR19" s="22">
        <f t="shared" si="3"/>
        <v>0</v>
      </c>
      <c r="CS19" s="22" t="str">
        <f t="shared" si="50"/>
        <v/>
      </c>
      <c r="CT19" s="22" t="str">
        <f t="shared" si="51"/>
        <v/>
      </c>
      <c r="CU19" s="22" t="str">
        <f t="shared" si="52"/>
        <v/>
      </c>
      <c r="CV19" s="22" t="str">
        <f t="shared" si="53"/>
        <v/>
      </c>
      <c r="CW19" s="22" t="str">
        <f t="shared" si="54"/>
        <v/>
      </c>
      <c r="CX19" s="22" t="str">
        <f t="shared" si="55"/>
        <v/>
      </c>
      <c r="CY19" s="22" t="str">
        <f t="shared" si="56"/>
        <v/>
      </c>
      <c r="CZ19" s="22" t="str">
        <f t="shared" si="57"/>
        <v/>
      </c>
      <c r="DA19" s="22" t="str">
        <f t="shared" si="58"/>
        <v/>
      </c>
      <c r="DB19" s="22" t="str">
        <f t="shared" si="59"/>
        <v/>
      </c>
      <c r="DC19" s="22" t="str">
        <f t="shared" si="60"/>
        <v/>
      </c>
      <c r="DD19" s="22" t="str">
        <f t="shared" si="61"/>
        <v/>
      </c>
      <c r="DE19" s="22" t="str">
        <f t="shared" si="62"/>
        <v/>
      </c>
      <c r="DF19" s="22" t="str">
        <f t="shared" si="63"/>
        <v/>
      </c>
      <c r="DG19" s="22" t="str">
        <f t="shared" si="64"/>
        <v/>
      </c>
      <c r="DH19" s="22" t="str">
        <f t="shared" si="65"/>
        <v/>
      </c>
      <c r="DI19" s="22" t="str">
        <f t="shared" si="66"/>
        <v/>
      </c>
      <c r="DJ19" s="22" t="str">
        <f t="shared" si="67"/>
        <v/>
      </c>
      <c r="DK19" s="22" t="str">
        <f t="shared" si="68"/>
        <v/>
      </c>
      <c r="DL19" s="22" t="str">
        <f t="shared" si="69"/>
        <v/>
      </c>
      <c r="DM19" s="22">
        <f t="shared" si="70"/>
        <v>0</v>
      </c>
      <c r="DN19" s="36">
        <f t="shared" ref="DN19:DW19" si="108">DN18</f>
        <v>0</v>
      </c>
      <c r="DO19" s="36">
        <f t="shared" si="108"/>
        <v>0</v>
      </c>
      <c r="DP19" s="36">
        <f t="shared" si="108"/>
        <v>0</v>
      </c>
      <c r="DQ19" s="36">
        <f t="shared" si="108"/>
        <v>0</v>
      </c>
      <c r="DR19" s="36">
        <f t="shared" si="108"/>
        <v>0</v>
      </c>
      <c r="DS19" s="36">
        <f t="shared" si="108"/>
        <v>0</v>
      </c>
      <c r="DT19" s="36">
        <f t="shared" si="108"/>
        <v>0</v>
      </c>
      <c r="DU19" s="36">
        <f t="shared" si="108"/>
        <v>0</v>
      </c>
      <c r="DV19" s="36">
        <f t="shared" si="108"/>
        <v>0</v>
      </c>
      <c r="DW19" s="36">
        <f t="shared" si="108"/>
        <v>0</v>
      </c>
      <c r="DX19" s="23">
        <f t="shared" si="90"/>
        <v>0</v>
      </c>
      <c r="DY19" s="23">
        <f t="shared" si="98"/>
        <v>0</v>
      </c>
      <c r="DZ19" s="23">
        <f t="shared" si="99"/>
        <v>0</v>
      </c>
      <c r="EA19" s="23">
        <f t="shared" si="100"/>
        <v>0</v>
      </c>
      <c r="EB19" s="23">
        <f t="shared" si="101"/>
        <v>0</v>
      </c>
      <c r="EC19" s="23">
        <f t="shared" si="102"/>
        <v>0</v>
      </c>
      <c r="ED19" s="23">
        <f t="shared" si="103"/>
        <v>0</v>
      </c>
      <c r="EE19" s="23">
        <f t="shared" si="104"/>
        <v>0</v>
      </c>
      <c r="EF19" s="23">
        <f t="shared" si="105"/>
        <v>0</v>
      </c>
      <c r="EG19" s="23">
        <f t="shared" si="106"/>
        <v>0</v>
      </c>
      <c r="EH19" s="23">
        <f t="shared" si="107"/>
        <v>0</v>
      </c>
      <c r="EI19" s="23">
        <f t="shared" si="87"/>
        <v>0</v>
      </c>
      <c r="EJ19" s="23">
        <f t="shared" si="88"/>
        <v>0</v>
      </c>
    </row>
    <row r="20" spans="1:140" ht="9.9" customHeight="1" x14ac:dyDescent="0.3">
      <c r="A20" s="23">
        <v>11</v>
      </c>
      <c r="B20" s="37" t="str">
        <f>IF(ISBLANK(Informations!B21),"",Informations!B21)</f>
        <v>GUEVARRA, HERLAN ARC JOHNSON C.</v>
      </c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9" t="e">
        <f t="shared" si="6"/>
        <v>#DIV/0!</v>
      </c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40" t="str">
        <f t="shared" si="7"/>
        <v xml:space="preserve"> </v>
      </c>
      <c r="AI20" s="40" t="str">
        <f t="shared" si="8"/>
        <v xml:space="preserve"> </v>
      </c>
      <c r="AJ20" s="40" t="str">
        <f t="shared" si="9"/>
        <v xml:space="preserve"> </v>
      </c>
      <c r="AK20" s="40" t="str">
        <f t="shared" si="10"/>
        <v xml:space="preserve"> </v>
      </c>
      <c r="AL20" s="40" t="str">
        <f t="shared" si="11"/>
        <v xml:space="preserve"> </v>
      </c>
      <c r="AM20" s="40" t="str">
        <f t="shared" si="12"/>
        <v xml:space="preserve"> </v>
      </c>
      <c r="AN20" s="40" t="str">
        <f t="shared" si="13"/>
        <v xml:space="preserve"> </v>
      </c>
      <c r="AO20" s="40" t="str">
        <f t="shared" si="14"/>
        <v xml:space="preserve"> </v>
      </c>
      <c r="AP20" s="40" t="str">
        <f t="shared" si="15"/>
        <v xml:space="preserve"> </v>
      </c>
      <c r="AQ20" s="40" t="str">
        <f t="shared" si="16"/>
        <v xml:space="preserve"> </v>
      </c>
      <c r="AR20" s="41" t="e">
        <f t="shared" si="17"/>
        <v>#DIV/0!</v>
      </c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42" t="str">
        <f t="shared" si="18"/>
        <v xml:space="preserve"> </v>
      </c>
      <c r="BD20" s="42" t="str">
        <f t="shared" si="19"/>
        <v xml:space="preserve"> </v>
      </c>
      <c r="BE20" s="42" t="str">
        <f t="shared" si="20"/>
        <v xml:space="preserve"> </v>
      </c>
      <c r="BF20" s="42" t="str">
        <f t="shared" si="21"/>
        <v xml:space="preserve"> </v>
      </c>
      <c r="BG20" s="42" t="str">
        <f t="shared" si="22"/>
        <v xml:space="preserve"> </v>
      </c>
      <c r="BH20" s="42" t="str">
        <f t="shared" si="23"/>
        <v xml:space="preserve"> </v>
      </c>
      <c r="BI20" s="42" t="str">
        <f t="shared" si="24"/>
        <v xml:space="preserve"> </v>
      </c>
      <c r="BJ20" s="42" t="str">
        <f t="shared" si="25"/>
        <v xml:space="preserve"> </v>
      </c>
      <c r="BK20" s="42" t="str">
        <f t="shared" si="26"/>
        <v xml:space="preserve"> </v>
      </c>
      <c r="BL20" s="42" t="str">
        <f t="shared" si="27"/>
        <v xml:space="preserve"> </v>
      </c>
      <c r="BM20" s="43" t="e">
        <f t="shared" si="28"/>
        <v>#DIV/0!</v>
      </c>
      <c r="BN20" s="38"/>
      <c r="BO20" s="44" t="e">
        <f t="shared" si="29"/>
        <v>#DIV/0!</v>
      </c>
      <c r="BP20" s="20"/>
      <c r="BQ20" s="39" t="e">
        <f t="shared" si="73"/>
        <v>#DIV/0!</v>
      </c>
      <c r="BR20" s="23" t="e">
        <f t="shared" si="96"/>
        <v>#DIV/0!</v>
      </c>
      <c r="BS20" s="45"/>
      <c r="BT20" s="46"/>
      <c r="BU20" s="46"/>
      <c r="BV20" s="46"/>
      <c r="BW20" s="21" t="str">
        <f t="shared" si="30"/>
        <v/>
      </c>
      <c r="BX20" s="22" t="str">
        <f t="shared" si="31"/>
        <v/>
      </c>
      <c r="BY20" s="22" t="str">
        <f t="shared" si="32"/>
        <v/>
      </c>
      <c r="BZ20" s="22" t="str">
        <f t="shared" si="33"/>
        <v/>
      </c>
      <c r="CA20" s="22" t="str">
        <f t="shared" si="34"/>
        <v/>
      </c>
      <c r="CB20" s="22" t="str">
        <f t="shared" si="35"/>
        <v/>
      </c>
      <c r="CC20" s="22" t="str">
        <f t="shared" si="36"/>
        <v/>
      </c>
      <c r="CD20" s="22" t="str">
        <f t="shared" si="37"/>
        <v/>
      </c>
      <c r="CE20" s="22" t="str">
        <f t="shared" si="38"/>
        <v/>
      </c>
      <c r="CF20" s="22" t="str">
        <f t="shared" si="39"/>
        <v/>
      </c>
      <c r="CG20" s="22" t="str">
        <f t="shared" si="40"/>
        <v/>
      </c>
      <c r="CH20" s="22" t="str">
        <f t="shared" si="41"/>
        <v/>
      </c>
      <c r="CI20" s="22" t="str">
        <f t="shared" si="42"/>
        <v/>
      </c>
      <c r="CJ20" s="22" t="str">
        <f t="shared" si="43"/>
        <v/>
      </c>
      <c r="CK20" s="22" t="str">
        <f t="shared" si="44"/>
        <v/>
      </c>
      <c r="CL20" s="22" t="str">
        <f t="shared" si="45"/>
        <v/>
      </c>
      <c r="CM20" s="22" t="str">
        <f t="shared" si="46"/>
        <v/>
      </c>
      <c r="CN20" s="22" t="str">
        <f t="shared" si="47"/>
        <v/>
      </c>
      <c r="CO20" s="22" t="str">
        <f t="shared" si="48"/>
        <v/>
      </c>
      <c r="CP20" s="22" t="str">
        <f t="shared" si="49"/>
        <v/>
      </c>
      <c r="CQ20" s="22">
        <f t="shared" si="75"/>
        <v>0</v>
      </c>
      <c r="CR20" s="22">
        <f t="shared" si="3"/>
        <v>0</v>
      </c>
      <c r="CS20" s="22" t="str">
        <f t="shared" si="50"/>
        <v/>
      </c>
      <c r="CT20" s="22" t="str">
        <f t="shared" si="51"/>
        <v/>
      </c>
      <c r="CU20" s="22" t="str">
        <f t="shared" si="52"/>
        <v/>
      </c>
      <c r="CV20" s="22" t="str">
        <f t="shared" si="53"/>
        <v/>
      </c>
      <c r="CW20" s="22" t="str">
        <f t="shared" si="54"/>
        <v/>
      </c>
      <c r="CX20" s="22" t="str">
        <f t="shared" si="55"/>
        <v/>
      </c>
      <c r="CY20" s="22" t="str">
        <f t="shared" si="56"/>
        <v/>
      </c>
      <c r="CZ20" s="22" t="str">
        <f t="shared" si="57"/>
        <v/>
      </c>
      <c r="DA20" s="22" t="str">
        <f t="shared" si="58"/>
        <v/>
      </c>
      <c r="DB20" s="22" t="str">
        <f t="shared" si="59"/>
        <v/>
      </c>
      <c r="DC20" s="22" t="str">
        <f t="shared" si="60"/>
        <v/>
      </c>
      <c r="DD20" s="22" t="str">
        <f t="shared" si="61"/>
        <v/>
      </c>
      <c r="DE20" s="22" t="str">
        <f t="shared" si="62"/>
        <v/>
      </c>
      <c r="DF20" s="22" t="str">
        <f t="shared" si="63"/>
        <v/>
      </c>
      <c r="DG20" s="22" t="str">
        <f t="shared" si="64"/>
        <v/>
      </c>
      <c r="DH20" s="22" t="str">
        <f t="shared" si="65"/>
        <v/>
      </c>
      <c r="DI20" s="22" t="str">
        <f t="shared" si="66"/>
        <v/>
      </c>
      <c r="DJ20" s="22" t="str">
        <f t="shared" si="67"/>
        <v/>
      </c>
      <c r="DK20" s="22" t="str">
        <f t="shared" si="68"/>
        <v/>
      </c>
      <c r="DL20" s="22" t="str">
        <f t="shared" si="69"/>
        <v/>
      </c>
      <c r="DM20" s="22">
        <f t="shared" si="70"/>
        <v>0</v>
      </c>
      <c r="DN20" s="36">
        <f t="shared" ref="DN20:DW20" si="109">DN19</f>
        <v>0</v>
      </c>
      <c r="DO20" s="36">
        <f t="shared" si="109"/>
        <v>0</v>
      </c>
      <c r="DP20" s="36">
        <f t="shared" si="109"/>
        <v>0</v>
      </c>
      <c r="DQ20" s="36">
        <f t="shared" si="109"/>
        <v>0</v>
      </c>
      <c r="DR20" s="36">
        <f t="shared" si="109"/>
        <v>0</v>
      </c>
      <c r="DS20" s="36">
        <f t="shared" si="109"/>
        <v>0</v>
      </c>
      <c r="DT20" s="36">
        <f t="shared" si="109"/>
        <v>0</v>
      </c>
      <c r="DU20" s="36">
        <f t="shared" si="109"/>
        <v>0</v>
      </c>
      <c r="DV20" s="36">
        <f t="shared" si="109"/>
        <v>0</v>
      </c>
      <c r="DW20" s="36">
        <f t="shared" si="109"/>
        <v>0</v>
      </c>
      <c r="DX20" s="23">
        <f t="shared" si="90"/>
        <v>0</v>
      </c>
      <c r="DY20" s="23">
        <f t="shared" si="98"/>
        <v>0</v>
      </c>
      <c r="DZ20" s="23">
        <f t="shared" si="99"/>
        <v>0</v>
      </c>
      <c r="EA20" s="23">
        <f t="shared" si="100"/>
        <v>0</v>
      </c>
      <c r="EB20" s="23">
        <f t="shared" si="101"/>
        <v>0</v>
      </c>
      <c r="EC20" s="23">
        <f t="shared" si="102"/>
        <v>0</v>
      </c>
      <c r="ED20" s="23">
        <f t="shared" si="103"/>
        <v>0</v>
      </c>
      <c r="EE20" s="23">
        <f t="shared" si="104"/>
        <v>0</v>
      </c>
      <c r="EF20" s="23">
        <f t="shared" si="105"/>
        <v>0</v>
      </c>
      <c r="EG20" s="23">
        <f t="shared" si="106"/>
        <v>0</v>
      </c>
      <c r="EH20" s="23">
        <f t="shared" si="107"/>
        <v>0</v>
      </c>
      <c r="EI20" s="23">
        <f t="shared" si="87"/>
        <v>0</v>
      </c>
      <c r="EJ20" s="23">
        <f t="shared" si="88"/>
        <v>0</v>
      </c>
    </row>
    <row r="21" spans="1:140" ht="9.9" customHeight="1" x14ac:dyDescent="0.3">
      <c r="A21" s="23">
        <v>12</v>
      </c>
      <c r="B21" s="37" t="str">
        <f>IF(ISBLANK(Informations!B22),"",Informations!B22)</f>
        <v>GUTIERREZ, MILLECENT SHYNE C.</v>
      </c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9" t="e">
        <f t="shared" si="6"/>
        <v>#DIV/0!</v>
      </c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40" t="str">
        <f t="shared" si="7"/>
        <v xml:space="preserve"> </v>
      </c>
      <c r="AI21" s="40" t="str">
        <f t="shared" si="8"/>
        <v xml:space="preserve"> </v>
      </c>
      <c r="AJ21" s="40" t="str">
        <f t="shared" si="9"/>
        <v xml:space="preserve"> </v>
      </c>
      <c r="AK21" s="40" t="str">
        <f t="shared" si="10"/>
        <v xml:space="preserve"> </v>
      </c>
      <c r="AL21" s="40" t="str">
        <f t="shared" si="11"/>
        <v xml:space="preserve"> </v>
      </c>
      <c r="AM21" s="40" t="str">
        <f t="shared" si="12"/>
        <v xml:space="preserve"> </v>
      </c>
      <c r="AN21" s="40" t="str">
        <f t="shared" si="13"/>
        <v xml:space="preserve"> </v>
      </c>
      <c r="AO21" s="40" t="str">
        <f t="shared" si="14"/>
        <v xml:space="preserve"> </v>
      </c>
      <c r="AP21" s="40" t="str">
        <f t="shared" si="15"/>
        <v xml:space="preserve"> </v>
      </c>
      <c r="AQ21" s="40" t="str">
        <f t="shared" si="16"/>
        <v xml:space="preserve"> </v>
      </c>
      <c r="AR21" s="41" t="e">
        <f t="shared" si="17"/>
        <v>#DIV/0!</v>
      </c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42" t="str">
        <f t="shared" si="18"/>
        <v xml:space="preserve"> </v>
      </c>
      <c r="BD21" s="42" t="str">
        <f t="shared" si="19"/>
        <v xml:space="preserve"> </v>
      </c>
      <c r="BE21" s="42" t="str">
        <f t="shared" si="20"/>
        <v xml:space="preserve"> </v>
      </c>
      <c r="BF21" s="42" t="str">
        <f t="shared" si="21"/>
        <v xml:space="preserve"> </v>
      </c>
      <c r="BG21" s="42" t="str">
        <f t="shared" si="22"/>
        <v xml:space="preserve"> </v>
      </c>
      <c r="BH21" s="42" t="str">
        <f t="shared" si="23"/>
        <v xml:space="preserve"> </v>
      </c>
      <c r="BI21" s="42" t="str">
        <f t="shared" si="24"/>
        <v xml:space="preserve"> </v>
      </c>
      <c r="BJ21" s="42" t="str">
        <f t="shared" si="25"/>
        <v xml:space="preserve"> </v>
      </c>
      <c r="BK21" s="42" t="str">
        <f t="shared" si="26"/>
        <v xml:space="preserve"> </v>
      </c>
      <c r="BL21" s="42" t="str">
        <f t="shared" si="27"/>
        <v xml:space="preserve"> </v>
      </c>
      <c r="BM21" s="43" t="e">
        <f t="shared" si="28"/>
        <v>#DIV/0!</v>
      </c>
      <c r="BN21" s="38"/>
      <c r="BO21" s="44" t="e">
        <f t="shared" si="29"/>
        <v>#DIV/0!</v>
      </c>
      <c r="BP21" s="20"/>
      <c r="BQ21" s="39" t="e">
        <f t="shared" si="73"/>
        <v>#DIV/0!</v>
      </c>
      <c r="BR21" s="23" t="e">
        <f t="shared" si="96"/>
        <v>#DIV/0!</v>
      </c>
      <c r="BS21" s="45"/>
      <c r="BT21" s="46"/>
      <c r="BU21" s="46"/>
      <c r="BV21" s="46"/>
      <c r="BW21" s="21" t="str">
        <f t="shared" si="30"/>
        <v/>
      </c>
      <c r="BX21" s="22" t="str">
        <f t="shared" si="31"/>
        <v/>
      </c>
      <c r="BY21" s="22" t="str">
        <f t="shared" si="32"/>
        <v/>
      </c>
      <c r="BZ21" s="22" t="str">
        <f t="shared" si="33"/>
        <v/>
      </c>
      <c r="CA21" s="22" t="str">
        <f t="shared" si="34"/>
        <v/>
      </c>
      <c r="CB21" s="22" t="str">
        <f t="shared" si="35"/>
        <v/>
      </c>
      <c r="CC21" s="22" t="str">
        <f t="shared" si="36"/>
        <v/>
      </c>
      <c r="CD21" s="22" t="str">
        <f t="shared" si="37"/>
        <v/>
      </c>
      <c r="CE21" s="22" t="str">
        <f t="shared" si="38"/>
        <v/>
      </c>
      <c r="CF21" s="22" t="str">
        <f t="shared" si="39"/>
        <v/>
      </c>
      <c r="CG21" s="22" t="str">
        <f t="shared" si="40"/>
        <v/>
      </c>
      <c r="CH21" s="22" t="str">
        <f t="shared" si="41"/>
        <v/>
      </c>
      <c r="CI21" s="22" t="str">
        <f t="shared" si="42"/>
        <v/>
      </c>
      <c r="CJ21" s="22" t="str">
        <f t="shared" si="43"/>
        <v/>
      </c>
      <c r="CK21" s="22" t="str">
        <f t="shared" si="44"/>
        <v/>
      </c>
      <c r="CL21" s="22" t="str">
        <f t="shared" si="45"/>
        <v/>
      </c>
      <c r="CM21" s="22" t="str">
        <f t="shared" si="46"/>
        <v/>
      </c>
      <c r="CN21" s="22" t="str">
        <f t="shared" si="47"/>
        <v/>
      </c>
      <c r="CO21" s="22" t="str">
        <f t="shared" si="48"/>
        <v/>
      </c>
      <c r="CP21" s="22" t="str">
        <f t="shared" si="49"/>
        <v/>
      </c>
      <c r="CQ21" s="22">
        <f t="shared" si="75"/>
        <v>0</v>
      </c>
      <c r="CR21" s="22">
        <f t="shared" si="3"/>
        <v>0</v>
      </c>
      <c r="CS21" s="22" t="str">
        <f t="shared" si="50"/>
        <v/>
      </c>
      <c r="CT21" s="22" t="str">
        <f t="shared" si="51"/>
        <v/>
      </c>
      <c r="CU21" s="22" t="str">
        <f t="shared" si="52"/>
        <v/>
      </c>
      <c r="CV21" s="22" t="str">
        <f t="shared" si="53"/>
        <v/>
      </c>
      <c r="CW21" s="22" t="str">
        <f t="shared" si="54"/>
        <v/>
      </c>
      <c r="CX21" s="22" t="str">
        <f t="shared" si="55"/>
        <v/>
      </c>
      <c r="CY21" s="22" t="str">
        <f t="shared" si="56"/>
        <v/>
      </c>
      <c r="CZ21" s="22" t="str">
        <f t="shared" si="57"/>
        <v/>
      </c>
      <c r="DA21" s="22" t="str">
        <f t="shared" si="58"/>
        <v/>
      </c>
      <c r="DB21" s="22" t="str">
        <f t="shared" si="59"/>
        <v/>
      </c>
      <c r="DC21" s="22" t="str">
        <f t="shared" si="60"/>
        <v/>
      </c>
      <c r="DD21" s="22" t="str">
        <f t="shared" si="61"/>
        <v/>
      </c>
      <c r="DE21" s="22" t="str">
        <f t="shared" si="62"/>
        <v/>
      </c>
      <c r="DF21" s="22" t="str">
        <f t="shared" si="63"/>
        <v/>
      </c>
      <c r="DG21" s="22" t="str">
        <f t="shared" si="64"/>
        <v/>
      </c>
      <c r="DH21" s="22" t="str">
        <f t="shared" si="65"/>
        <v/>
      </c>
      <c r="DI21" s="22" t="str">
        <f t="shared" si="66"/>
        <v/>
      </c>
      <c r="DJ21" s="22" t="str">
        <f t="shared" si="67"/>
        <v/>
      </c>
      <c r="DK21" s="22" t="str">
        <f t="shared" si="68"/>
        <v/>
      </c>
      <c r="DL21" s="22" t="str">
        <f t="shared" si="69"/>
        <v/>
      </c>
      <c r="DM21" s="22">
        <f t="shared" si="70"/>
        <v>0</v>
      </c>
      <c r="DN21" s="36">
        <f t="shared" ref="DN21:DW21" si="110">DN20</f>
        <v>0</v>
      </c>
      <c r="DO21" s="36">
        <f t="shared" si="110"/>
        <v>0</v>
      </c>
      <c r="DP21" s="36">
        <f t="shared" si="110"/>
        <v>0</v>
      </c>
      <c r="DQ21" s="36">
        <f t="shared" si="110"/>
        <v>0</v>
      </c>
      <c r="DR21" s="36">
        <f t="shared" si="110"/>
        <v>0</v>
      </c>
      <c r="DS21" s="36">
        <f t="shared" si="110"/>
        <v>0</v>
      </c>
      <c r="DT21" s="36">
        <f t="shared" si="110"/>
        <v>0</v>
      </c>
      <c r="DU21" s="36">
        <f t="shared" si="110"/>
        <v>0</v>
      </c>
      <c r="DV21" s="36">
        <f t="shared" si="110"/>
        <v>0</v>
      </c>
      <c r="DW21" s="36">
        <f t="shared" si="110"/>
        <v>0</v>
      </c>
      <c r="DX21" s="23">
        <f t="shared" si="90"/>
        <v>0</v>
      </c>
      <c r="DY21" s="23">
        <f t="shared" si="98"/>
        <v>0</v>
      </c>
      <c r="DZ21" s="23">
        <f t="shared" si="99"/>
        <v>0</v>
      </c>
      <c r="EA21" s="23">
        <f t="shared" si="100"/>
        <v>0</v>
      </c>
      <c r="EB21" s="23">
        <f t="shared" si="101"/>
        <v>0</v>
      </c>
      <c r="EC21" s="23">
        <f t="shared" si="102"/>
        <v>0</v>
      </c>
      <c r="ED21" s="23">
        <f t="shared" si="103"/>
        <v>0</v>
      </c>
      <c r="EE21" s="23">
        <f t="shared" si="104"/>
        <v>0</v>
      </c>
      <c r="EF21" s="23">
        <f t="shared" si="105"/>
        <v>0</v>
      </c>
      <c r="EG21" s="23">
        <f t="shared" si="106"/>
        <v>0</v>
      </c>
      <c r="EH21" s="23">
        <f t="shared" si="107"/>
        <v>0</v>
      </c>
      <c r="EI21" s="23">
        <f t="shared" si="87"/>
        <v>0</v>
      </c>
      <c r="EJ21" s="23">
        <f t="shared" si="88"/>
        <v>0</v>
      </c>
    </row>
    <row r="22" spans="1:140" ht="9.9" customHeight="1" x14ac:dyDescent="0.3">
      <c r="A22" s="23">
        <v>13</v>
      </c>
      <c r="B22" s="37" t="str">
        <f>IF(ISBLANK(Informations!B23),"",Informations!B23)</f>
        <v>HERNANDEZ, ANGEL JEAN A</v>
      </c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9" t="e">
        <f t="shared" si="6"/>
        <v>#DIV/0!</v>
      </c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40" t="str">
        <f t="shared" si="7"/>
        <v xml:space="preserve"> </v>
      </c>
      <c r="AI22" s="40" t="str">
        <f t="shared" si="8"/>
        <v xml:space="preserve"> </v>
      </c>
      <c r="AJ22" s="40" t="str">
        <f t="shared" si="9"/>
        <v xml:space="preserve"> </v>
      </c>
      <c r="AK22" s="40" t="str">
        <f t="shared" si="10"/>
        <v xml:space="preserve"> </v>
      </c>
      <c r="AL22" s="40" t="str">
        <f t="shared" si="11"/>
        <v xml:space="preserve"> </v>
      </c>
      <c r="AM22" s="40" t="str">
        <f t="shared" si="12"/>
        <v xml:space="preserve"> </v>
      </c>
      <c r="AN22" s="40" t="str">
        <f t="shared" si="13"/>
        <v xml:space="preserve"> </v>
      </c>
      <c r="AO22" s="40" t="str">
        <f t="shared" si="14"/>
        <v xml:space="preserve"> </v>
      </c>
      <c r="AP22" s="40" t="str">
        <f t="shared" si="15"/>
        <v xml:space="preserve"> </v>
      </c>
      <c r="AQ22" s="40" t="str">
        <f t="shared" si="16"/>
        <v xml:space="preserve"> </v>
      </c>
      <c r="AR22" s="41" t="e">
        <f t="shared" si="17"/>
        <v>#DIV/0!</v>
      </c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42" t="str">
        <f t="shared" si="18"/>
        <v xml:space="preserve"> </v>
      </c>
      <c r="BD22" s="42" t="str">
        <f t="shared" si="19"/>
        <v xml:space="preserve"> </v>
      </c>
      <c r="BE22" s="42" t="str">
        <f t="shared" si="20"/>
        <v xml:space="preserve"> </v>
      </c>
      <c r="BF22" s="42" t="str">
        <f t="shared" si="21"/>
        <v xml:space="preserve"> </v>
      </c>
      <c r="BG22" s="42" t="str">
        <f t="shared" si="22"/>
        <v xml:space="preserve"> </v>
      </c>
      <c r="BH22" s="42" t="str">
        <f t="shared" si="23"/>
        <v xml:space="preserve"> </v>
      </c>
      <c r="BI22" s="42" t="str">
        <f t="shared" si="24"/>
        <v xml:space="preserve"> </v>
      </c>
      <c r="BJ22" s="42" t="str">
        <f t="shared" si="25"/>
        <v xml:space="preserve"> </v>
      </c>
      <c r="BK22" s="42" t="str">
        <f t="shared" si="26"/>
        <v xml:space="preserve"> </v>
      </c>
      <c r="BL22" s="42" t="str">
        <f t="shared" si="27"/>
        <v xml:space="preserve"> </v>
      </c>
      <c r="BM22" s="43" t="e">
        <f t="shared" si="28"/>
        <v>#DIV/0!</v>
      </c>
      <c r="BN22" s="38"/>
      <c r="BO22" s="44" t="e">
        <f t="shared" si="29"/>
        <v>#DIV/0!</v>
      </c>
      <c r="BP22" s="20"/>
      <c r="BQ22" s="39" t="e">
        <f t="shared" si="73"/>
        <v>#DIV/0!</v>
      </c>
      <c r="BR22" s="23" t="e">
        <f t="shared" si="96"/>
        <v>#DIV/0!</v>
      </c>
      <c r="BS22" s="45"/>
      <c r="BT22" s="46"/>
      <c r="BU22" s="46"/>
      <c r="BV22" s="46"/>
      <c r="BW22" s="21" t="str">
        <f t="shared" si="30"/>
        <v/>
      </c>
      <c r="BX22" s="22" t="str">
        <f t="shared" si="31"/>
        <v/>
      </c>
      <c r="BY22" s="22" t="str">
        <f t="shared" si="32"/>
        <v/>
      </c>
      <c r="BZ22" s="22" t="str">
        <f t="shared" si="33"/>
        <v/>
      </c>
      <c r="CA22" s="22" t="str">
        <f t="shared" si="34"/>
        <v/>
      </c>
      <c r="CB22" s="22" t="str">
        <f t="shared" si="35"/>
        <v/>
      </c>
      <c r="CC22" s="22" t="str">
        <f t="shared" si="36"/>
        <v/>
      </c>
      <c r="CD22" s="22" t="str">
        <f t="shared" si="37"/>
        <v/>
      </c>
      <c r="CE22" s="22" t="str">
        <f t="shared" si="38"/>
        <v/>
      </c>
      <c r="CF22" s="22" t="str">
        <f t="shared" si="39"/>
        <v/>
      </c>
      <c r="CG22" s="22" t="str">
        <f t="shared" si="40"/>
        <v/>
      </c>
      <c r="CH22" s="22" t="str">
        <f t="shared" si="41"/>
        <v/>
      </c>
      <c r="CI22" s="22" t="str">
        <f t="shared" si="42"/>
        <v/>
      </c>
      <c r="CJ22" s="22" t="str">
        <f t="shared" si="43"/>
        <v/>
      </c>
      <c r="CK22" s="22" t="str">
        <f t="shared" si="44"/>
        <v/>
      </c>
      <c r="CL22" s="22" t="str">
        <f t="shared" si="45"/>
        <v/>
      </c>
      <c r="CM22" s="22" t="str">
        <f t="shared" si="46"/>
        <v/>
      </c>
      <c r="CN22" s="22" t="str">
        <f t="shared" si="47"/>
        <v/>
      </c>
      <c r="CO22" s="22" t="str">
        <f t="shared" si="48"/>
        <v/>
      </c>
      <c r="CP22" s="22" t="str">
        <f t="shared" si="49"/>
        <v/>
      </c>
      <c r="CQ22" s="22">
        <f t="shared" si="75"/>
        <v>0</v>
      </c>
      <c r="CR22" s="22">
        <f t="shared" si="3"/>
        <v>0</v>
      </c>
      <c r="CS22" s="22" t="str">
        <f t="shared" si="50"/>
        <v/>
      </c>
      <c r="CT22" s="22" t="str">
        <f t="shared" si="51"/>
        <v/>
      </c>
      <c r="CU22" s="22" t="str">
        <f t="shared" si="52"/>
        <v/>
      </c>
      <c r="CV22" s="22" t="str">
        <f t="shared" si="53"/>
        <v/>
      </c>
      <c r="CW22" s="22" t="str">
        <f t="shared" si="54"/>
        <v/>
      </c>
      <c r="CX22" s="22" t="str">
        <f t="shared" si="55"/>
        <v/>
      </c>
      <c r="CY22" s="22" t="str">
        <f t="shared" si="56"/>
        <v/>
      </c>
      <c r="CZ22" s="22" t="str">
        <f t="shared" si="57"/>
        <v/>
      </c>
      <c r="DA22" s="22" t="str">
        <f t="shared" si="58"/>
        <v/>
      </c>
      <c r="DB22" s="22" t="str">
        <f t="shared" si="59"/>
        <v/>
      </c>
      <c r="DC22" s="22" t="str">
        <f t="shared" si="60"/>
        <v/>
      </c>
      <c r="DD22" s="22" t="str">
        <f t="shared" si="61"/>
        <v/>
      </c>
      <c r="DE22" s="22" t="str">
        <f t="shared" si="62"/>
        <v/>
      </c>
      <c r="DF22" s="22" t="str">
        <f t="shared" si="63"/>
        <v/>
      </c>
      <c r="DG22" s="22" t="str">
        <f t="shared" si="64"/>
        <v/>
      </c>
      <c r="DH22" s="22" t="str">
        <f t="shared" si="65"/>
        <v/>
      </c>
      <c r="DI22" s="22" t="str">
        <f t="shared" si="66"/>
        <v/>
      </c>
      <c r="DJ22" s="22" t="str">
        <f t="shared" si="67"/>
        <v/>
      </c>
      <c r="DK22" s="22" t="str">
        <f t="shared" si="68"/>
        <v/>
      </c>
      <c r="DL22" s="22" t="str">
        <f t="shared" si="69"/>
        <v/>
      </c>
      <c r="DM22" s="22">
        <f t="shared" si="70"/>
        <v>0</v>
      </c>
      <c r="DN22" s="36">
        <f t="shared" ref="DN22:DW22" si="111">DN21</f>
        <v>0</v>
      </c>
      <c r="DO22" s="36">
        <f t="shared" si="111"/>
        <v>0</v>
      </c>
      <c r="DP22" s="36">
        <f t="shared" si="111"/>
        <v>0</v>
      </c>
      <c r="DQ22" s="36">
        <f t="shared" si="111"/>
        <v>0</v>
      </c>
      <c r="DR22" s="36">
        <f t="shared" si="111"/>
        <v>0</v>
      </c>
      <c r="DS22" s="36">
        <f t="shared" si="111"/>
        <v>0</v>
      </c>
      <c r="DT22" s="36">
        <f t="shared" si="111"/>
        <v>0</v>
      </c>
      <c r="DU22" s="36">
        <f t="shared" si="111"/>
        <v>0</v>
      </c>
      <c r="DV22" s="36">
        <f t="shared" si="111"/>
        <v>0</v>
      </c>
      <c r="DW22" s="36">
        <f t="shared" si="111"/>
        <v>0</v>
      </c>
      <c r="DX22" s="23">
        <f t="shared" si="90"/>
        <v>0</v>
      </c>
      <c r="DY22" s="23">
        <f t="shared" si="98"/>
        <v>0</v>
      </c>
      <c r="DZ22" s="23">
        <f t="shared" si="99"/>
        <v>0</v>
      </c>
      <c r="EA22" s="23">
        <f t="shared" si="100"/>
        <v>0</v>
      </c>
      <c r="EB22" s="23">
        <f t="shared" si="101"/>
        <v>0</v>
      </c>
      <c r="EC22" s="23">
        <f t="shared" si="102"/>
        <v>0</v>
      </c>
      <c r="ED22" s="23">
        <f t="shared" si="103"/>
        <v>0</v>
      </c>
      <c r="EE22" s="23">
        <f t="shared" si="104"/>
        <v>0</v>
      </c>
      <c r="EF22" s="23">
        <f t="shared" si="105"/>
        <v>0</v>
      </c>
      <c r="EG22" s="23">
        <f t="shared" si="106"/>
        <v>0</v>
      </c>
      <c r="EH22" s="23">
        <f t="shared" si="107"/>
        <v>0</v>
      </c>
      <c r="EI22" s="23">
        <f t="shared" si="87"/>
        <v>0</v>
      </c>
      <c r="EJ22" s="23">
        <f t="shared" si="88"/>
        <v>0</v>
      </c>
    </row>
    <row r="23" spans="1:140" ht="9.9" customHeight="1" x14ac:dyDescent="0.3">
      <c r="A23" s="23">
        <v>14</v>
      </c>
      <c r="B23" s="37" t="str">
        <f>IF(ISBLANK(Informations!B24),"",Informations!B24)</f>
        <v>LAGUIDAN, PRINCESS JEAN A.</v>
      </c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9" t="e">
        <f t="shared" si="6"/>
        <v>#DIV/0!</v>
      </c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40" t="str">
        <f t="shared" si="7"/>
        <v xml:space="preserve"> </v>
      </c>
      <c r="AI23" s="40" t="str">
        <f t="shared" si="8"/>
        <v xml:space="preserve"> </v>
      </c>
      <c r="AJ23" s="40" t="str">
        <f t="shared" si="9"/>
        <v xml:space="preserve"> </v>
      </c>
      <c r="AK23" s="40" t="str">
        <f t="shared" si="10"/>
        <v xml:space="preserve"> </v>
      </c>
      <c r="AL23" s="40" t="str">
        <f t="shared" si="11"/>
        <v xml:space="preserve"> </v>
      </c>
      <c r="AM23" s="40" t="str">
        <f t="shared" si="12"/>
        <v xml:space="preserve"> </v>
      </c>
      <c r="AN23" s="40" t="str">
        <f t="shared" si="13"/>
        <v xml:space="preserve"> </v>
      </c>
      <c r="AO23" s="40" t="str">
        <f t="shared" si="14"/>
        <v xml:space="preserve"> </v>
      </c>
      <c r="AP23" s="40" t="str">
        <f t="shared" si="15"/>
        <v xml:space="preserve"> </v>
      </c>
      <c r="AQ23" s="40" t="str">
        <f t="shared" si="16"/>
        <v xml:space="preserve"> </v>
      </c>
      <c r="AR23" s="41" t="e">
        <f t="shared" si="17"/>
        <v>#DIV/0!</v>
      </c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42" t="str">
        <f t="shared" si="18"/>
        <v xml:space="preserve"> </v>
      </c>
      <c r="BD23" s="42" t="str">
        <f t="shared" si="19"/>
        <v xml:space="preserve"> </v>
      </c>
      <c r="BE23" s="42" t="str">
        <f t="shared" si="20"/>
        <v xml:space="preserve"> </v>
      </c>
      <c r="BF23" s="42" t="str">
        <f t="shared" si="21"/>
        <v xml:space="preserve"> </v>
      </c>
      <c r="BG23" s="42" t="str">
        <f t="shared" si="22"/>
        <v xml:space="preserve"> </v>
      </c>
      <c r="BH23" s="42" t="str">
        <f t="shared" si="23"/>
        <v xml:space="preserve"> </v>
      </c>
      <c r="BI23" s="42" t="str">
        <f t="shared" si="24"/>
        <v xml:space="preserve"> </v>
      </c>
      <c r="BJ23" s="42" t="str">
        <f t="shared" si="25"/>
        <v xml:space="preserve"> </v>
      </c>
      <c r="BK23" s="42" t="str">
        <f t="shared" si="26"/>
        <v xml:space="preserve"> </v>
      </c>
      <c r="BL23" s="42" t="str">
        <f t="shared" si="27"/>
        <v xml:space="preserve"> </v>
      </c>
      <c r="BM23" s="43" t="e">
        <f t="shared" si="28"/>
        <v>#DIV/0!</v>
      </c>
      <c r="BN23" s="38"/>
      <c r="BO23" s="44" t="e">
        <f t="shared" si="29"/>
        <v>#DIV/0!</v>
      </c>
      <c r="BP23" s="20"/>
      <c r="BQ23" s="39" t="e">
        <f t="shared" si="73"/>
        <v>#DIV/0!</v>
      </c>
      <c r="BR23" s="23" t="e">
        <f t="shared" si="96"/>
        <v>#DIV/0!</v>
      </c>
      <c r="BS23" s="45"/>
      <c r="BT23" s="46"/>
      <c r="BU23" s="46"/>
      <c r="BV23" s="46"/>
      <c r="BW23" s="21" t="str">
        <f t="shared" si="30"/>
        <v/>
      </c>
      <c r="BX23" s="22" t="str">
        <f t="shared" si="31"/>
        <v/>
      </c>
      <c r="BY23" s="22" t="str">
        <f t="shared" si="32"/>
        <v/>
      </c>
      <c r="BZ23" s="22" t="str">
        <f t="shared" si="33"/>
        <v/>
      </c>
      <c r="CA23" s="22" t="str">
        <f t="shared" si="34"/>
        <v/>
      </c>
      <c r="CB23" s="22" t="str">
        <f t="shared" si="35"/>
        <v/>
      </c>
      <c r="CC23" s="22" t="str">
        <f t="shared" si="36"/>
        <v/>
      </c>
      <c r="CD23" s="22" t="str">
        <f t="shared" si="37"/>
        <v/>
      </c>
      <c r="CE23" s="22" t="str">
        <f t="shared" si="38"/>
        <v/>
      </c>
      <c r="CF23" s="22" t="str">
        <f t="shared" si="39"/>
        <v/>
      </c>
      <c r="CG23" s="22" t="str">
        <f t="shared" si="40"/>
        <v/>
      </c>
      <c r="CH23" s="22" t="str">
        <f t="shared" si="41"/>
        <v/>
      </c>
      <c r="CI23" s="22" t="str">
        <f t="shared" si="42"/>
        <v/>
      </c>
      <c r="CJ23" s="22" t="str">
        <f t="shared" si="43"/>
        <v/>
      </c>
      <c r="CK23" s="22" t="str">
        <f t="shared" si="44"/>
        <v/>
      </c>
      <c r="CL23" s="22" t="str">
        <f t="shared" si="45"/>
        <v/>
      </c>
      <c r="CM23" s="22" t="str">
        <f t="shared" si="46"/>
        <v/>
      </c>
      <c r="CN23" s="22" t="str">
        <f t="shared" si="47"/>
        <v/>
      </c>
      <c r="CO23" s="22" t="str">
        <f t="shared" si="48"/>
        <v/>
      </c>
      <c r="CP23" s="22" t="str">
        <f t="shared" si="49"/>
        <v/>
      </c>
      <c r="CQ23" s="22">
        <f t="shared" si="75"/>
        <v>0</v>
      </c>
      <c r="CR23" s="22">
        <f t="shared" si="3"/>
        <v>0</v>
      </c>
      <c r="CS23" s="22" t="str">
        <f t="shared" si="50"/>
        <v/>
      </c>
      <c r="CT23" s="22" t="str">
        <f t="shared" si="51"/>
        <v/>
      </c>
      <c r="CU23" s="22" t="str">
        <f t="shared" si="52"/>
        <v/>
      </c>
      <c r="CV23" s="22" t="str">
        <f t="shared" si="53"/>
        <v/>
      </c>
      <c r="CW23" s="22" t="str">
        <f t="shared" si="54"/>
        <v/>
      </c>
      <c r="CX23" s="22" t="str">
        <f t="shared" si="55"/>
        <v/>
      </c>
      <c r="CY23" s="22" t="str">
        <f t="shared" si="56"/>
        <v/>
      </c>
      <c r="CZ23" s="22" t="str">
        <f t="shared" si="57"/>
        <v/>
      </c>
      <c r="DA23" s="22" t="str">
        <f t="shared" si="58"/>
        <v/>
      </c>
      <c r="DB23" s="22" t="str">
        <f t="shared" si="59"/>
        <v/>
      </c>
      <c r="DC23" s="22" t="str">
        <f t="shared" si="60"/>
        <v/>
      </c>
      <c r="DD23" s="22" t="str">
        <f t="shared" si="61"/>
        <v/>
      </c>
      <c r="DE23" s="22" t="str">
        <f t="shared" si="62"/>
        <v/>
      </c>
      <c r="DF23" s="22" t="str">
        <f t="shared" si="63"/>
        <v/>
      </c>
      <c r="DG23" s="22" t="str">
        <f t="shared" si="64"/>
        <v/>
      </c>
      <c r="DH23" s="22" t="str">
        <f t="shared" si="65"/>
        <v/>
      </c>
      <c r="DI23" s="22" t="str">
        <f t="shared" si="66"/>
        <v/>
      </c>
      <c r="DJ23" s="22" t="str">
        <f t="shared" si="67"/>
        <v/>
      </c>
      <c r="DK23" s="22" t="str">
        <f t="shared" si="68"/>
        <v/>
      </c>
      <c r="DL23" s="22" t="str">
        <f t="shared" si="69"/>
        <v/>
      </c>
      <c r="DM23" s="22">
        <f t="shared" si="70"/>
        <v>0</v>
      </c>
      <c r="DN23" s="36">
        <f t="shared" ref="DN23:DW23" si="112">DN22</f>
        <v>0</v>
      </c>
      <c r="DO23" s="36">
        <f t="shared" si="112"/>
        <v>0</v>
      </c>
      <c r="DP23" s="36">
        <f t="shared" si="112"/>
        <v>0</v>
      </c>
      <c r="DQ23" s="36">
        <f t="shared" si="112"/>
        <v>0</v>
      </c>
      <c r="DR23" s="36">
        <f t="shared" si="112"/>
        <v>0</v>
      </c>
      <c r="DS23" s="36">
        <f t="shared" si="112"/>
        <v>0</v>
      </c>
      <c r="DT23" s="36">
        <f t="shared" si="112"/>
        <v>0</v>
      </c>
      <c r="DU23" s="36">
        <f t="shared" si="112"/>
        <v>0</v>
      </c>
      <c r="DV23" s="36">
        <f t="shared" si="112"/>
        <v>0</v>
      </c>
      <c r="DW23" s="36">
        <f t="shared" si="112"/>
        <v>0</v>
      </c>
      <c r="DX23" s="23">
        <f t="shared" si="90"/>
        <v>0</v>
      </c>
      <c r="DY23" s="23">
        <f t="shared" si="98"/>
        <v>0</v>
      </c>
      <c r="DZ23" s="23">
        <f t="shared" si="99"/>
        <v>0</v>
      </c>
      <c r="EA23" s="23">
        <f t="shared" si="100"/>
        <v>0</v>
      </c>
      <c r="EB23" s="23">
        <f t="shared" si="101"/>
        <v>0</v>
      </c>
      <c r="EC23" s="23">
        <f t="shared" si="102"/>
        <v>0</v>
      </c>
      <c r="ED23" s="23">
        <f t="shared" si="103"/>
        <v>0</v>
      </c>
      <c r="EE23" s="23">
        <f t="shared" si="104"/>
        <v>0</v>
      </c>
      <c r="EF23" s="23">
        <f t="shared" si="105"/>
        <v>0</v>
      </c>
      <c r="EG23" s="23">
        <f t="shared" si="106"/>
        <v>0</v>
      </c>
      <c r="EH23" s="23">
        <f t="shared" si="107"/>
        <v>0</v>
      </c>
      <c r="EI23" s="23">
        <f t="shared" si="87"/>
        <v>0</v>
      </c>
      <c r="EJ23" s="23">
        <f t="shared" si="88"/>
        <v>0</v>
      </c>
    </row>
    <row r="24" spans="1:140" ht="9.9" customHeight="1" x14ac:dyDescent="0.3">
      <c r="A24" s="23">
        <v>15</v>
      </c>
      <c r="B24" s="37" t="str">
        <f>IF(ISBLANK(Informations!B25),"",Informations!B25)</f>
        <v>LAGUROS, LYKA A.</v>
      </c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9" t="e">
        <f t="shared" si="6"/>
        <v>#DIV/0!</v>
      </c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40" t="str">
        <f t="shared" si="7"/>
        <v xml:space="preserve"> </v>
      </c>
      <c r="AI24" s="40" t="str">
        <f t="shared" si="8"/>
        <v xml:space="preserve"> </v>
      </c>
      <c r="AJ24" s="40" t="str">
        <f t="shared" si="9"/>
        <v xml:space="preserve"> </v>
      </c>
      <c r="AK24" s="40" t="str">
        <f t="shared" si="10"/>
        <v xml:space="preserve"> </v>
      </c>
      <c r="AL24" s="40" t="str">
        <f t="shared" si="11"/>
        <v xml:space="preserve"> </v>
      </c>
      <c r="AM24" s="40" t="str">
        <f t="shared" si="12"/>
        <v xml:space="preserve"> </v>
      </c>
      <c r="AN24" s="40" t="str">
        <f t="shared" si="13"/>
        <v xml:space="preserve"> </v>
      </c>
      <c r="AO24" s="40" t="str">
        <f t="shared" si="14"/>
        <v xml:space="preserve"> </v>
      </c>
      <c r="AP24" s="40" t="str">
        <f t="shared" si="15"/>
        <v xml:space="preserve"> </v>
      </c>
      <c r="AQ24" s="40" t="str">
        <f t="shared" si="16"/>
        <v xml:space="preserve"> </v>
      </c>
      <c r="AR24" s="41" t="e">
        <f t="shared" si="17"/>
        <v>#DIV/0!</v>
      </c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42" t="str">
        <f t="shared" si="18"/>
        <v xml:space="preserve"> </v>
      </c>
      <c r="BD24" s="42" t="str">
        <f t="shared" si="19"/>
        <v xml:space="preserve"> </v>
      </c>
      <c r="BE24" s="42" t="str">
        <f t="shared" si="20"/>
        <v xml:space="preserve"> </v>
      </c>
      <c r="BF24" s="42" t="str">
        <f t="shared" si="21"/>
        <v xml:space="preserve"> </v>
      </c>
      <c r="BG24" s="42" t="str">
        <f t="shared" si="22"/>
        <v xml:space="preserve"> </v>
      </c>
      <c r="BH24" s="42" t="str">
        <f t="shared" si="23"/>
        <v xml:space="preserve"> </v>
      </c>
      <c r="BI24" s="42" t="str">
        <f t="shared" si="24"/>
        <v xml:space="preserve"> </v>
      </c>
      <c r="BJ24" s="42" t="str">
        <f t="shared" si="25"/>
        <v xml:space="preserve"> </v>
      </c>
      <c r="BK24" s="42" t="str">
        <f t="shared" si="26"/>
        <v xml:space="preserve"> </v>
      </c>
      <c r="BL24" s="42" t="str">
        <f t="shared" si="27"/>
        <v xml:space="preserve"> </v>
      </c>
      <c r="BM24" s="43" t="e">
        <f t="shared" si="28"/>
        <v>#DIV/0!</v>
      </c>
      <c r="BN24" s="38"/>
      <c r="BO24" s="44" t="e">
        <f t="shared" si="29"/>
        <v>#DIV/0!</v>
      </c>
      <c r="BP24" s="20"/>
      <c r="BQ24" s="39" t="e">
        <f t="shared" si="73"/>
        <v>#DIV/0!</v>
      </c>
      <c r="BR24" s="23" t="e">
        <f t="shared" si="96"/>
        <v>#DIV/0!</v>
      </c>
      <c r="BS24" s="45"/>
      <c r="BT24" s="46"/>
      <c r="BU24" s="46"/>
      <c r="BV24" s="46"/>
      <c r="BW24" s="21" t="str">
        <f t="shared" si="30"/>
        <v/>
      </c>
      <c r="BX24" s="22" t="str">
        <f t="shared" si="31"/>
        <v/>
      </c>
      <c r="BY24" s="22" t="str">
        <f t="shared" si="32"/>
        <v/>
      </c>
      <c r="BZ24" s="22" t="str">
        <f t="shared" si="33"/>
        <v/>
      </c>
      <c r="CA24" s="22" t="str">
        <f t="shared" si="34"/>
        <v/>
      </c>
      <c r="CB24" s="22" t="str">
        <f t="shared" si="35"/>
        <v/>
      </c>
      <c r="CC24" s="22" t="str">
        <f t="shared" si="36"/>
        <v/>
      </c>
      <c r="CD24" s="22" t="str">
        <f t="shared" si="37"/>
        <v/>
      </c>
      <c r="CE24" s="22" t="str">
        <f t="shared" si="38"/>
        <v/>
      </c>
      <c r="CF24" s="22" t="str">
        <f t="shared" si="39"/>
        <v/>
      </c>
      <c r="CG24" s="22" t="str">
        <f t="shared" si="40"/>
        <v/>
      </c>
      <c r="CH24" s="22" t="str">
        <f t="shared" si="41"/>
        <v/>
      </c>
      <c r="CI24" s="22" t="str">
        <f t="shared" si="42"/>
        <v/>
      </c>
      <c r="CJ24" s="22" t="str">
        <f t="shared" si="43"/>
        <v/>
      </c>
      <c r="CK24" s="22" t="str">
        <f t="shared" si="44"/>
        <v/>
      </c>
      <c r="CL24" s="22" t="str">
        <f t="shared" si="45"/>
        <v/>
      </c>
      <c r="CM24" s="22" t="str">
        <f t="shared" si="46"/>
        <v/>
      </c>
      <c r="CN24" s="22" t="str">
        <f t="shared" si="47"/>
        <v/>
      </c>
      <c r="CO24" s="22" t="str">
        <f t="shared" si="48"/>
        <v/>
      </c>
      <c r="CP24" s="22" t="str">
        <f t="shared" si="49"/>
        <v/>
      </c>
      <c r="CQ24" s="22">
        <f t="shared" si="75"/>
        <v>0</v>
      </c>
      <c r="CR24" s="22">
        <f t="shared" si="3"/>
        <v>0</v>
      </c>
      <c r="CS24" s="22" t="str">
        <f t="shared" si="50"/>
        <v/>
      </c>
      <c r="CT24" s="22" t="str">
        <f t="shared" si="51"/>
        <v/>
      </c>
      <c r="CU24" s="22" t="str">
        <f t="shared" si="52"/>
        <v/>
      </c>
      <c r="CV24" s="22" t="str">
        <f t="shared" si="53"/>
        <v/>
      </c>
      <c r="CW24" s="22" t="str">
        <f t="shared" si="54"/>
        <v/>
      </c>
      <c r="CX24" s="22" t="str">
        <f t="shared" si="55"/>
        <v/>
      </c>
      <c r="CY24" s="22" t="str">
        <f t="shared" si="56"/>
        <v/>
      </c>
      <c r="CZ24" s="22" t="str">
        <f t="shared" si="57"/>
        <v/>
      </c>
      <c r="DA24" s="22" t="str">
        <f t="shared" si="58"/>
        <v/>
      </c>
      <c r="DB24" s="22" t="str">
        <f t="shared" si="59"/>
        <v/>
      </c>
      <c r="DC24" s="22" t="str">
        <f t="shared" si="60"/>
        <v/>
      </c>
      <c r="DD24" s="22" t="str">
        <f t="shared" si="61"/>
        <v/>
      </c>
      <c r="DE24" s="22" t="str">
        <f t="shared" si="62"/>
        <v/>
      </c>
      <c r="DF24" s="22" t="str">
        <f t="shared" si="63"/>
        <v/>
      </c>
      <c r="DG24" s="22" t="str">
        <f t="shared" si="64"/>
        <v/>
      </c>
      <c r="DH24" s="22" t="str">
        <f t="shared" si="65"/>
        <v/>
      </c>
      <c r="DI24" s="22" t="str">
        <f t="shared" si="66"/>
        <v/>
      </c>
      <c r="DJ24" s="22" t="str">
        <f t="shared" si="67"/>
        <v/>
      </c>
      <c r="DK24" s="22" t="str">
        <f t="shared" si="68"/>
        <v/>
      </c>
      <c r="DL24" s="22" t="str">
        <f t="shared" si="69"/>
        <v/>
      </c>
      <c r="DM24" s="22">
        <f t="shared" si="70"/>
        <v>0</v>
      </c>
      <c r="DN24" s="36">
        <f t="shared" ref="DN24:DW24" si="113">DN23</f>
        <v>0</v>
      </c>
      <c r="DO24" s="36">
        <f t="shared" si="113"/>
        <v>0</v>
      </c>
      <c r="DP24" s="36">
        <f t="shared" si="113"/>
        <v>0</v>
      </c>
      <c r="DQ24" s="36">
        <f t="shared" si="113"/>
        <v>0</v>
      </c>
      <c r="DR24" s="36">
        <f t="shared" si="113"/>
        <v>0</v>
      </c>
      <c r="DS24" s="36">
        <f t="shared" si="113"/>
        <v>0</v>
      </c>
      <c r="DT24" s="36">
        <f t="shared" si="113"/>
        <v>0</v>
      </c>
      <c r="DU24" s="36">
        <f t="shared" si="113"/>
        <v>0</v>
      </c>
      <c r="DV24" s="36">
        <f t="shared" si="113"/>
        <v>0</v>
      </c>
      <c r="DW24" s="36">
        <f t="shared" si="113"/>
        <v>0</v>
      </c>
      <c r="DX24" s="23">
        <f t="shared" si="90"/>
        <v>0</v>
      </c>
      <c r="DY24" s="23">
        <f t="shared" si="98"/>
        <v>0</v>
      </c>
      <c r="DZ24" s="23">
        <f t="shared" si="99"/>
        <v>0</v>
      </c>
      <c r="EA24" s="23">
        <f t="shared" si="100"/>
        <v>0</v>
      </c>
      <c r="EB24" s="23">
        <f t="shared" si="101"/>
        <v>0</v>
      </c>
      <c r="EC24" s="23">
        <f t="shared" si="102"/>
        <v>0</v>
      </c>
      <c r="ED24" s="23">
        <f t="shared" si="103"/>
        <v>0</v>
      </c>
      <c r="EE24" s="23">
        <f t="shared" si="104"/>
        <v>0</v>
      </c>
      <c r="EF24" s="23">
        <f t="shared" si="105"/>
        <v>0</v>
      </c>
      <c r="EG24" s="23">
        <f t="shared" si="106"/>
        <v>0</v>
      </c>
      <c r="EH24" s="23">
        <f t="shared" si="107"/>
        <v>0</v>
      </c>
      <c r="EI24" s="23">
        <f t="shared" si="87"/>
        <v>0</v>
      </c>
      <c r="EJ24" s="23">
        <f t="shared" si="88"/>
        <v>0</v>
      </c>
    </row>
    <row r="25" spans="1:140" ht="9.9" customHeight="1" x14ac:dyDescent="0.3">
      <c r="A25" s="23">
        <v>16</v>
      </c>
      <c r="B25" s="37" t="str">
        <f>IF(ISBLANK(Informations!B26),"",Informations!B26)</f>
        <v>LAIDAN, JOSEPH G.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9" t="e">
        <f t="shared" si="6"/>
        <v>#DIV/0!</v>
      </c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40" t="str">
        <f t="shared" si="7"/>
        <v xml:space="preserve"> </v>
      </c>
      <c r="AI25" s="40" t="str">
        <f t="shared" si="8"/>
        <v xml:space="preserve"> </v>
      </c>
      <c r="AJ25" s="40" t="str">
        <f t="shared" si="9"/>
        <v xml:space="preserve"> </v>
      </c>
      <c r="AK25" s="40" t="str">
        <f t="shared" si="10"/>
        <v xml:space="preserve"> </v>
      </c>
      <c r="AL25" s="40" t="str">
        <f t="shared" si="11"/>
        <v xml:space="preserve"> </v>
      </c>
      <c r="AM25" s="40" t="str">
        <f t="shared" si="12"/>
        <v xml:space="preserve"> </v>
      </c>
      <c r="AN25" s="40" t="str">
        <f t="shared" si="13"/>
        <v xml:space="preserve"> </v>
      </c>
      <c r="AO25" s="40" t="str">
        <f t="shared" si="14"/>
        <v xml:space="preserve"> </v>
      </c>
      <c r="AP25" s="40" t="str">
        <f t="shared" si="15"/>
        <v xml:space="preserve"> </v>
      </c>
      <c r="AQ25" s="40" t="str">
        <f t="shared" si="16"/>
        <v xml:space="preserve"> </v>
      </c>
      <c r="AR25" s="41" t="e">
        <f t="shared" si="17"/>
        <v>#DIV/0!</v>
      </c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42" t="str">
        <f t="shared" si="18"/>
        <v xml:space="preserve"> </v>
      </c>
      <c r="BD25" s="42" t="str">
        <f t="shared" si="19"/>
        <v xml:space="preserve"> </v>
      </c>
      <c r="BE25" s="42" t="str">
        <f t="shared" si="20"/>
        <v xml:space="preserve"> </v>
      </c>
      <c r="BF25" s="42" t="str">
        <f t="shared" si="21"/>
        <v xml:space="preserve"> </v>
      </c>
      <c r="BG25" s="42" t="str">
        <f t="shared" si="22"/>
        <v xml:space="preserve"> </v>
      </c>
      <c r="BH25" s="42" t="str">
        <f t="shared" si="23"/>
        <v xml:space="preserve"> </v>
      </c>
      <c r="BI25" s="42" t="str">
        <f t="shared" si="24"/>
        <v xml:space="preserve"> </v>
      </c>
      <c r="BJ25" s="42" t="str">
        <f t="shared" si="25"/>
        <v xml:space="preserve"> </v>
      </c>
      <c r="BK25" s="42" t="str">
        <f t="shared" si="26"/>
        <v xml:space="preserve"> </v>
      </c>
      <c r="BL25" s="42" t="str">
        <f t="shared" si="27"/>
        <v xml:space="preserve"> </v>
      </c>
      <c r="BM25" s="43" t="e">
        <f t="shared" si="28"/>
        <v>#DIV/0!</v>
      </c>
      <c r="BN25" s="38"/>
      <c r="BO25" s="44" t="e">
        <f t="shared" si="29"/>
        <v>#DIV/0!</v>
      </c>
      <c r="BP25" s="20"/>
      <c r="BQ25" s="39" t="e">
        <f t="shared" si="73"/>
        <v>#DIV/0!</v>
      </c>
      <c r="BR25" s="23" t="e">
        <f t="shared" si="96"/>
        <v>#DIV/0!</v>
      </c>
      <c r="BS25" s="45"/>
      <c r="BT25" s="46"/>
      <c r="BU25" s="46"/>
      <c r="BV25" s="46"/>
      <c r="BW25" s="21" t="str">
        <f t="shared" si="30"/>
        <v/>
      </c>
      <c r="BX25" s="22" t="str">
        <f t="shared" si="31"/>
        <v/>
      </c>
      <c r="BY25" s="22" t="str">
        <f t="shared" si="32"/>
        <v/>
      </c>
      <c r="BZ25" s="22" t="str">
        <f t="shared" si="33"/>
        <v/>
      </c>
      <c r="CA25" s="22" t="str">
        <f t="shared" si="34"/>
        <v/>
      </c>
      <c r="CB25" s="22" t="str">
        <f t="shared" si="35"/>
        <v/>
      </c>
      <c r="CC25" s="22" t="str">
        <f t="shared" si="36"/>
        <v/>
      </c>
      <c r="CD25" s="22" t="str">
        <f t="shared" si="37"/>
        <v/>
      </c>
      <c r="CE25" s="22" t="str">
        <f t="shared" si="38"/>
        <v/>
      </c>
      <c r="CF25" s="22" t="str">
        <f t="shared" si="39"/>
        <v/>
      </c>
      <c r="CG25" s="22" t="str">
        <f t="shared" si="40"/>
        <v/>
      </c>
      <c r="CH25" s="22" t="str">
        <f t="shared" si="41"/>
        <v/>
      </c>
      <c r="CI25" s="22" t="str">
        <f t="shared" si="42"/>
        <v/>
      </c>
      <c r="CJ25" s="22" t="str">
        <f t="shared" si="43"/>
        <v/>
      </c>
      <c r="CK25" s="22" t="str">
        <f t="shared" si="44"/>
        <v/>
      </c>
      <c r="CL25" s="22" t="str">
        <f t="shared" si="45"/>
        <v/>
      </c>
      <c r="CM25" s="22" t="str">
        <f t="shared" si="46"/>
        <v/>
      </c>
      <c r="CN25" s="22" t="str">
        <f t="shared" si="47"/>
        <v/>
      </c>
      <c r="CO25" s="22" t="str">
        <f t="shared" si="48"/>
        <v/>
      </c>
      <c r="CP25" s="22" t="str">
        <f t="shared" si="49"/>
        <v/>
      </c>
      <c r="CQ25" s="22">
        <f t="shared" si="75"/>
        <v>0</v>
      </c>
      <c r="CR25" s="22">
        <f t="shared" si="3"/>
        <v>0</v>
      </c>
      <c r="CS25" s="22" t="str">
        <f t="shared" si="50"/>
        <v/>
      </c>
      <c r="CT25" s="22" t="str">
        <f t="shared" si="51"/>
        <v/>
      </c>
      <c r="CU25" s="22" t="str">
        <f t="shared" si="52"/>
        <v/>
      </c>
      <c r="CV25" s="22" t="str">
        <f t="shared" si="53"/>
        <v/>
      </c>
      <c r="CW25" s="22" t="str">
        <f t="shared" si="54"/>
        <v/>
      </c>
      <c r="CX25" s="22" t="str">
        <f t="shared" si="55"/>
        <v/>
      </c>
      <c r="CY25" s="22" t="str">
        <f t="shared" si="56"/>
        <v/>
      </c>
      <c r="CZ25" s="22" t="str">
        <f t="shared" si="57"/>
        <v/>
      </c>
      <c r="DA25" s="22" t="str">
        <f t="shared" si="58"/>
        <v/>
      </c>
      <c r="DB25" s="22" t="str">
        <f t="shared" si="59"/>
        <v/>
      </c>
      <c r="DC25" s="22" t="str">
        <f t="shared" si="60"/>
        <v/>
      </c>
      <c r="DD25" s="22" t="str">
        <f t="shared" si="61"/>
        <v/>
      </c>
      <c r="DE25" s="22" t="str">
        <f t="shared" si="62"/>
        <v/>
      </c>
      <c r="DF25" s="22" t="str">
        <f t="shared" si="63"/>
        <v/>
      </c>
      <c r="DG25" s="22" t="str">
        <f t="shared" si="64"/>
        <v/>
      </c>
      <c r="DH25" s="22" t="str">
        <f t="shared" si="65"/>
        <v/>
      </c>
      <c r="DI25" s="22" t="str">
        <f t="shared" si="66"/>
        <v/>
      </c>
      <c r="DJ25" s="22" t="str">
        <f t="shared" si="67"/>
        <v/>
      </c>
      <c r="DK25" s="22" t="str">
        <f t="shared" si="68"/>
        <v/>
      </c>
      <c r="DL25" s="22" t="str">
        <f t="shared" si="69"/>
        <v/>
      </c>
      <c r="DM25" s="22">
        <f t="shared" si="70"/>
        <v>0</v>
      </c>
      <c r="DN25" s="36">
        <f t="shared" ref="DN25:DW25" si="114">DN24</f>
        <v>0</v>
      </c>
      <c r="DO25" s="36">
        <f t="shared" si="114"/>
        <v>0</v>
      </c>
      <c r="DP25" s="36">
        <f t="shared" si="114"/>
        <v>0</v>
      </c>
      <c r="DQ25" s="36">
        <f t="shared" si="114"/>
        <v>0</v>
      </c>
      <c r="DR25" s="36">
        <f t="shared" si="114"/>
        <v>0</v>
      </c>
      <c r="DS25" s="36">
        <f t="shared" si="114"/>
        <v>0</v>
      </c>
      <c r="DT25" s="36">
        <f t="shared" si="114"/>
        <v>0</v>
      </c>
      <c r="DU25" s="36">
        <f t="shared" si="114"/>
        <v>0</v>
      </c>
      <c r="DV25" s="36">
        <f t="shared" si="114"/>
        <v>0</v>
      </c>
      <c r="DW25" s="36">
        <f t="shared" si="114"/>
        <v>0</v>
      </c>
      <c r="DX25" s="23">
        <f t="shared" si="90"/>
        <v>0</v>
      </c>
      <c r="DY25" s="23">
        <f t="shared" si="98"/>
        <v>0</v>
      </c>
      <c r="DZ25" s="23">
        <f t="shared" si="99"/>
        <v>0</v>
      </c>
      <c r="EA25" s="23">
        <f t="shared" si="100"/>
        <v>0</v>
      </c>
      <c r="EB25" s="23">
        <f t="shared" si="101"/>
        <v>0</v>
      </c>
      <c r="EC25" s="23">
        <f t="shared" si="102"/>
        <v>0</v>
      </c>
      <c r="ED25" s="23">
        <f t="shared" si="103"/>
        <v>0</v>
      </c>
      <c r="EE25" s="23">
        <f t="shared" si="104"/>
        <v>0</v>
      </c>
      <c r="EF25" s="23">
        <f t="shared" si="105"/>
        <v>0</v>
      </c>
      <c r="EG25" s="23">
        <f t="shared" si="106"/>
        <v>0</v>
      </c>
      <c r="EH25" s="23">
        <f t="shared" si="107"/>
        <v>0</v>
      </c>
      <c r="EI25" s="23">
        <f t="shared" si="87"/>
        <v>0</v>
      </c>
      <c r="EJ25" s="23">
        <f t="shared" si="88"/>
        <v>0</v>
      </c>
    </row>
    <row r="26" spans="1:140" ht="9.9" customHeight="1" x14ac:dyDescent="0.3">
      <c r="A26" s="23">
        <v>17</v>
      </c>
      <c r="B26" s="37" t="str">
        <f>IF(ISBLANK(Informations!B27),"",Informations!B27)</f>
        <v>LAPICEROS, ELVIE V.</v>
      </c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9" t="e">
        <f t="shared" si="6"/>
        <v>#DIV/0!</v>
      </c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40" t="str">
        <f t="shared" si="7"/>
        <v xml:space="preserve"> </v>
      </c>
      <c r="AI26" s="40" t="str">
        <f t="shared" si="8"/>
        <v xml:space="preserve"> </v>
      </c>
      <c r="AJ26" s="40" t="str">
        <f t="shared" si="9"/>
        <v xml:space="preserve"> </v>
      </c>
      <c r="AK26" s="40" t="str">
        <f t="shared" si="10"/>
        <v xml:space="preserve"> </v>
      </c>
      <c r="AL26" s="40" t="str">
        <f t="shared" si="11"/>
        <v xml:space="preserve"> </v>
      </c>
      <c r="AM26" s="40" t="str">
        <f t="shared" si="12"/>
        <v xml:space="preserve"> </v>
      </c>
      <c r="AN26" s="40" t="str">
        <f t="shared" si="13"/>
        <v xml:space="preserve"> </v>
      </c>
      <c r="AO26" s="40" t="str">
        <f t="shared" si="14"/>
        <v xml:space="preserve"> </v>
      </c>
      <c r="AP26" s="40" t="str">
        <f t="shared" si="15"/>
        <v xml:space="preserve"> </v>
      </c>
      <c r="AQ26" s="40" t="str">
        <f t="shared" si="16"/>
        <v xml:space="preserve"> </v>
      </c>
      <c r="AR26" s="41" t="e">
        <f t="shared" si="17"/>
        <v>#DIV/0!</v>
      </c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42" t="str">
        <f t="shared" si="18"/>
        <v xml:space="preserve"> </v>
      </c>
      <c r="BD26" s="42" t="str">
        <f t="shared" si="19"/>
        <v xml:space="preserve"> </v>
      </c>
      <c r="BE26" s="42" t="str">
        <f t="shared" si="20"/>
        <v xml:space="preserve"> </v>
      </c>
      <c r="BF26" s="42" t="str">
        <f t="shared" si="21"/>
        <v xml:space="preserve"> </v>
      </c>
      <c r="BG26" s="42" t="str">
        <f t="shared" si="22"/>
        <v xml:space="preserve"> </v>
      </c>
      <c r="BH26" s="42" t="str">
        <f t="shared" si="23"/>
        <v xml:space="preserve"> </v>
      </c>
      <c r="BI26" s="42" t="str">
        <f t="shared" si="24"/>
        <v xml:space="preserve"> </v>
      </c>
      <c r="BJ26" s="42" t="str">
        <f t="shared" si="25"/>
        <v xml:space="preserve"> </v>
      </c>
      <c r="BK26" s="42" t="str">
        <f t="shared" si="26"/>
        <v xml:space="preserve"> </v>
      </c>
      <c r="BL26" s="42" t="str">
        <f t="shared" si="27"/>
        <v xml:space="preserve"> </v>
      </c>
      <c r="BM26" s="43" t="e">
        <f t="shared" si="28"/>
        <v>#DIV/0!</v>
      </c>
      <c r="BN26" s="38"/>
      <c r="BO26" s="44" t="e">
        <f t="shared" si="29"/>
        <v>#DIV/0!</v>
      </c>
      <c r="BP26" s="20"/>
      <c r="BQ26" s="39" t="e">
        <f t="shared" si="73"/>
        <v>#DIV/0!</v>
      </c>
      <c r="BR26" s="23" t="e">
        <f t="shared" si="96"/>
        <v>#DIV/0!</v>
      </c>
      <c r="BS26" s="45"/>
      <c r="BT26" s="46"/>
      <c r="BU26" s="46"/>
      <c r="BV26" s="46"/>
      <c r="BW26" s="21" t="str">
        <f t="shared" si="30"/>
        <v/>
      </c>
      <c r="BX26" s="22" t="str">
        <f t="shared" si="31"/>
        <v/>
      </c>
      <c r="BY26" s="22" t="str">
        <f t="shared" si="32"/>
        <v/>
      </c>
      <c r="BZ26" s="22" t="str">
        <f t="shared" si="33"/>
        <v/>
      </c>
      <c r="CA26" s="22" t="str">
        <f t="shared" si="34"/>
        <v/>
      </c>
      <c r="CB26" s="22" t="str">
        <f t="shared" si="35"/>
        <v/>
      </c>
      <c r="CC26" s="22" t="str">
        <f t="shared" si="36"/>
        <v/>
      </c>
      <c r="CD26" s="22" t="str">
        <f t="shared" si="37"/>
        <v/>
      </c>
      <c r="CE26" s="22" t="str">
        <f t="shared" si="38"/>
        <v/>
      </c>
      <c r="CF26" s="22" t="str">
        <f t="shared" si="39"/>
        <v/>
      </c>
      <c r="CG26" s="22" t="str">
        <f t="shared" si="40"/>
        <v/>
      </c>
      <c r="CH26" s="22" t="str">
        <f t="shared" si="41"/>
        <v/>
      </c>
      <c r="CI26" s="22" t="str">
        <f t="shared" si="42"/>
        <v/>
      </c>
      <c r="CJ26" s="22" t="str">
        <f t="shared" si="43"/>
        <v/>
      </c>
      <c r="CK26" s="22" t="str">
        <f t="shared" si="44"/>
        <v/>
      </c>
      <c r="CL26" s="22" t="str">
        <f t="shared" si="45"/>
        <v/>
      </c>
      <c r="CM26" s="22" t="str">
        <f t="shared" si="46"/>
        <v/>
      </c>
      <c r="CN26" s="22" t="str">
        <f t="shared" si="47"/>
        <v/>
      </c>
      <c r="CO26" s="22" t="str">
        <f t="shared" si="48"/>
        <v/>
      </c>
      <c r="CP26" s="22" t="str">
        <f t="shared" si="49"/>
        <v/>
      </c>
      <c r="CQ26" s="22">
        <f t="shared" si="75"/>
        <v>0</v>
      </c>
      <c r="CR26" s="22">
        <f t="shared" si="3"/>
        <v>0</v>
      </c>
      <c r="CS26" s="22" t="str">
        <f t="shared" si="50"/>
        <v/>
      </c>
      <c r="CT26" s="22" t="str">
        <f t="shared" si="51"/>
        <v/>
      </c>
      <c r="CU26" s="22" t="str">
        <f t="shared" si="52"/>
        <v/>
      </c>
      <c r="CV26" s="22" t="str">
        <f t="shared" si="53"/>
        <v/>
      </c>
      <c r="CW26" s="22" t="str">
        <f t="shared" si="54"/>
        <v/>
      </c>
      <c r="CX26" s="22" t="str">
        <f t="shared" si="55"/>
        <v/>
      </c>
      <c r="CY26" s="22" t="str">
        <f t="shared" si="56"/>
        <v/>
      </c>
      <c r="CZ26" s="22" t="str">
        <f t="shared" si="57"/>
        <v/>
      </c>
      <c r="DA26" s="22" t="str">
        <f t="shared" si="58"/>
        <v/>
      </c>
      <c r="DB26" s="22" t="str">
        <f t="shared" si="59"/>
        <v/>
      </c>
      <c r="DC26" s="22" t="str">
        <f t="shared" si="60"/>
        <v/>
      </c>
      <c r="DD26" s="22" t="str">
        <f t="shared" si="61"/>
        <v/>
      </c>
      <c r="DE26" s="22" t="str">
        <f t="shared" si="62"/>
        <v/>
      </c>
      <c r="DF26" s="22" t="str">
        <f t="shared" si="63"/>
        <v/>
      </c>
      <c r="DG26" s="22" t="str">
        <f t="shared" si="64"/>
        <v/>
      </c>
      <c r="DH26" s="22" t="str">
        <f t="shared" si="65"/>
        <v/>
      </c>
      <c r="DI26" s="22" t="str">
        <f t="shared" si="66"/>
        <v/>
      </c>
      <c r="DJ26" s="22" t="str">
        <f t="shared" si="67"/>
        <v/>
      </c>
      <c r="DK26" s="22" t="str">
        <f t="shared" si="68"/>
        <v/>
      </c>
      <c r="DL26" s="22" t="str">
        <f t="shared" si="69"/>
        <v/>
      </c>
      <c r="DM26" s="22">
        <f t="shared" si="70"/>
        <v>0</v>
      </c>
      <c r="DN26" s="36">
        <f t="shared" ref="DN26:DW26" si="115">DN25</f>
        <v>0</v>
      </c>
      <c r="DO26" s="36">
        <f t="shared" si="115"/>
        <v>0</v>
      </c>
      <c r="DP26" s="36">
        <f t="shared" si="115"/>
        <v>0</v>
      </c>
      <c r="DQ26" s="36">
        <f t="shared" si="115"/>
        <v>0</v>
      </c>
      <c r="DR26" s="36">
        <f t="shared" si="115"/>
        <v>0</v>
      </c>
      <c r="DS26" s="36">
        <f t="shared" si="115"/>
        <v>0</v>
      </c>
      <c r="DT26" s="36">
        <f t="shared" si="115"/>
        <v>0</v>
      </c>
      <c r="DU26" s="36">
        <f t="shared" si="115"/>
        <v>0</v>
      </c>
      <c r="DV26" s="36">
        <f t="shared" si="115"/>
        <v>0</v>
      </c>
      <c r="DW26" s="36">
        <f t="shared" si="115"/>
        <v>0</v>
      </c>
      <c r="DX26" s="23">
        <f t="shared" si="90"/>
        <v>0</v>
      </c>
      <c r="DY26" s="23">
        <f t="shared" si="98"/>
        <v>0</v>
      </c>
      <c r="DZ26" s="23">
        <f t="shared" si="99"/>
        <v>0</v>
      </c>
      <c r="EA26" s="23">
        <f t="shared" si="100"/>
        <v>0</v>
      </c>
      <c r="EB26" s="23">
        <f t="shared" si="101"/>
        <v>0</v>
      </c>
      <c r="EC26" s="23">
        <f t="shared" si="102"/>
        <v>0</v>
      </c>
      <c r="ED26" s="23">
        <f t="shared" si="103"/>
        <v>0</v>
      </c>
      <c r="EE26" s="23">
        <f t="shared" si="104"/>
        <v>0</v>
      </c>
      <c r="EF26" s="23">
        <f t="shared" si="105"/>
        <v>0</v>
      </c>
      <c r="EG26" s="23">
        <f t="shared" si="106"/>
        <v>0</v>
      </c>
      <c r="EH26" s="23">
        <f t="shared" si="107"/>
        <v>0</v>
      </c>
      <c r="EI26" s="23">
        <f t="shared" si="87"/>
        <v>0</v>
      </c>
      <c r="EJ26" s="23">
        <f t="shared" si="88"/>
        <v>0</v>
      </c>
    </row>
    <row r="27" spans="1:140" ht="9.9" customHeight="1" x14ac:dyDescent="0.3">
      <c r="A27" s="23">
        <v>18</v>
      </c>
      <c r="B27" s="37" t="str">
        <f>IF(ISBLANK(Informations!B28),"",Informations!B28)</f>
        <v>LIBOT, MARK ANTHONY A.</v>
      </c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9" t="e">
        <f t="shared" si="6"/>
        <v>#DIV/0!</v>
      </c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40" t="str">
        <f t="shared" si="7"/>
        <v xml:space="preserve"> </v>
      </c>
      <c r="AI27" s="40" t="str">
        <f t="shared" si="8"/>
        <v xml:space="preserve"> </v>
      </c>
      <c r="AJ27" s="40" t="str">
        <f t="shared" si="9"/>
        <v xml:space="preserve"> </v>
      </c>
      <c r="AK27" s="40" t="str">
        <f t="shared" si="10"/>
        <v xml:space="preserve"> </v>
      </c>
      <c r="AL27" s="40" t="str">
        <f t="shared" si="11"/>
        <v xml:space="preserve"> </v>
      </c>
      <c r="AM27" s="40" t="str">
        <f t="shared" si="12"/>
        <v xml:space="preserve"> </v>
      </c>
      <c r="AN27" s="40" t="str">
        <f t="shared" si="13"/>
        <v xml:space="preserve"> </v>
      </c>
      <c r="AO27" s="40" t="str">
        <f t="shared" si="14"/>
        <v xml:space="preserve"> </v>
      </c>
      <c r="AP27" s="40" t="str">
        <f t="shared" si="15"/>
        <v xml:space="preserve"> </v>
      </c>
      <c r="AQ27" s="40" t="str">
        <f t="shared" si="16"/>
        <v xml:space="preserve"> </v>
      </c>
      <c r="AR27" s="41" t="e">
        <f t="shared" si="17"/>
        <v>#DIV/0!</v>
      </c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42" t="str">
        <f t="shared" si="18"/>
        <v xml:space="preserve"> </v>
      </c>
      <c r="BD27" s="42" t="str">
        <f t="shared" si="19"/>
        <v xml:space="preserve"> </v>
      </c>
      <c r="BE27" s="42" t="str">
        <f t="shared" si="20"/>
        <v xml:space="preserve"> </v>
      </c>
      <c r="BF27" s="42" t="str">
        <f t="shared" si="21"/>
        <v xml:space="preserve"> </v>
      </c>
      <c r="BG27" s="42" t="str">
        <f t="shared" si="22"/>
        <v xml:space="preserve"> </v>
      </c>
      <c r="BH27" s="42" t="str">
        <f t="shared" si="23"/>
        <v xml:space="preserve"> </v>
      </c>
      <c r="BI27" s="42" t="str">
        <f t="shared" si="24"/>
        <v xml:space="preserve"> </v>
      </c>
      <c r="BJ27" s="42" t="str">
        <f t="shared" si="25"/>
        <v xml:space="preserve"> </v>
      </c>
      <c r="BK27" s="42" t="str">
        <f t="shared" si="26"/>
        <v xml:space="preserve"> </v>
      </c>
      <c r="BL27" s="42" t="str">
        <f t="shared" si="27"/>
        <v xml:space="preserve"> </v>
      </c>
      <c r="BM27" s="43" t="e">
        <f t="shared" si="28"/>
        <v>#DIV/0!</v>
      </c>
      <c r="BN27" s="38"/>
      <c r="BO27" s="44" t="e">
        <f t="shared" si="29"/>
        <v>#DIV/0!</v>
      </c>
      <c r="BP27" s="20"/>
      <c r="BQ27" s="39" t="e">
        <f t="shared" si="73"/>
        <v>#DIV/0!</v>
      </c>
      <c r="BR27" s="23" t="e">
        <f t="shared" si="96"/>
        <v>#DIV/0!</v>
      </c>
      <c r="BS27" s="45"/>
      <c r="BT27" s="46"/>
      <c r="BU27" s="46"/>
      <c r="BV27" s="46"/>
      <c r="BW27" s="21" t="str">
        <f t="shared" si="30"/>
        <v/>
      </c>
      <c r="BX27" s="22" t="str">
        <f t="shared" si="31"/>
        <v/>
      </c>
      <c r="BY27" s="22" t="str">
        <f t="shared" si="32"/>
        <v/>
      </c>
      <c r="BZ27" s="22" t="str">
        <f t="shared" si="33"/>
        <v/>
      </c>
      <c r="CA27" s="22" t="str">
        <f t="shared" si="34"/>
        <v/>
      </c>
      <c r="CB27" s="22" t="str">
        <f t="shared" si="35"/>
        <v/>
      </c>
      <c r="CC27" s="22" t="str">
        <f t="shared" si="36"/>
        <v/>
      </c>
      <c r="CD27" s="22" t="str">
        <f t="shared" si="37"/>
        <v/>
      </c>
      <c r="CE27" s="22" t="str">
        <f t="shared" si="38"/>
        <v/>
      </c>
      <c r="CF27" s="22" t="str">
        <f t="shared" si="39"/>
        <v/>
      </c>
      <c r="CG27" s="22" t="str">
        <f t="shared" si="40"/>
        <v/>
      </c>
      <c r="CH27" s="22" t="str">
        <f t="shared" si="41"/>
        <v/>
      </c>
      <c r="CI27" s="22" t="str">
        <f t="shared" si="42"/>
        <v/>
      </c>
      <c r="CJ27" s="22" t="str">
        <f t="shared" si="43"/>
        <v/>
      </c>
      <c r="CK27" s="22" t="str">
        <f t="shared" si="44"/>
        <v/>
      </c>
      <c r="CL27" s="22" t="str">
        <f t="shared" si="45"/>
        <v/>
      </c>
      <c r="CM27" s="22" t="str">
        <f t="shared" si="46"/>
        <v/>
      </c>
      <c r="CN27" s="22" t="str">
        <f t="shared" si="47"/>
        <v/>
      </c>
      <c r="CO27" s="22" t="str">
        <f t="shared" si="48"/>
        <v/>
      </c>
      <c r="CP27" s="22" t="str">
        <f t="shared" si="49"/>
        <v/>
      </c>
      <c r="CQ27" s="22">
        <f t="shared" si="75"/>
        <v>0</v>
      </c>
      <c r="CR27" s="22">
        <f t="shared" si="3"/>
        <v>0</v>
      </c>
      <c r="CS27" s="22" t="str">
        <f t="shared" si="50"/>
        <v/>
      </c>
      <c r="CT27" s="22" t="str">
        <f t="shared" si="51"/>
        <v/>
      </c>
      <c r="CU27" s="22" t="str">
        <f t="shared" si="52"/>
        <v/>
      </c>
      <c r="CV27" s="22" t="str">
        <f t="shared" si="53"/>
        <v/>
      </c>
      <c r="CW27" s="22" t="str">
        <f t="shared" si="54"/>
        <v/>
      </c>
      <c r="CX27" s="22" t="str">
        <f t="shared" si="55"/>
        <v/>
      </c>
      <c r="CY27" s="22" t="str">
        <f t="shared" si="56"/>
        <v/>
      </c>
      <c r="CZ27" s="22" t="str">
        <f t="shared" si="57"/>
        <v/>
      </c>
      <c r="DA27" s="22" t="str">
        <f t="shared" si="58"/>
        <v/>
      </c>
      <c r="DB27" s="22" t="str">
        <f t="shared" si="59"/>
        <v/>
      </c>
      <c r="DC27" s="22" t="str">
        <f t="shared" si="60"/>
        <v/>
      </c>
      <c r="DD27" s="22" t="str">
        <f t="shared" si="61"/>
        <v/>
      </c>
      <c r="DE27" s="22" t="str">
        <f t="shared" si="62"/>
        <v/>
      </c>
      <c r="DF27" s="22" t="str">
        <f t="shared" si="63"/>
        <v/>
      </c>
      <c r="DG27" s="22" t="str">
        <f t="shared" si="64"/>
        <v/>
      </c>
      <c r="DH27" s="22" t="str">
        <f t="shared" si="65"/>
        <v/>
      </c>
      <c r="DI27" s="22" t="str">
        <f t="shared" si="66"/>
        <v/>
      </c>
      <c r="DJ27" s="22" t="str">
        <f t="shared" si="67"/>
        <v/>
      </c>
      <c r="DK27" s="22" t="str">
        <f t="shared" si="68"/>
        <v/>
      </c>
      <c r="DL27" s="22" t="str">
        <f t="shared" si="69"/>
        <v/>
      </c>
      <c r="DM27" s="22">
        <f t="shared" si="70"/>
        <v>0</v>
      </c>
      <c r="DN27" s="36">
        <f t="shared" ref="DN27:DW27" si="116">DN26</f>
        <v>0</v>
      </c>
      <c r="DO27" s="36">
        <f t="shared" si="116"/>
        <v>0</v>
      </c>
      <c r="DP27" s="36">
        <f t="shared" si="116"/>
        <v>0</v>
      </c>
      <c r="DQ27" s="36">
        <f t="shared" si="116"/>
        <v>0</v>
      </c>
      <c r="DR27" s="36">
        <f t="shared" si="116"/>
        <v>0</v>
      </c>
      <c r="DS27" s="36">
        <f t="shared" si="116"/>
        <v>0</v>
      </c>
      <c r="DT27" s="36">
        <f t="shared" si="116"/>
        <v>0</v>
      </c>
      <c r="DU27" s="36">
        <f t="shared" si="116"/>
        <v>0</v>
      </c>
      <c r="DV27" s="36">
        <f t="shared" si="116"/>
        <v>0</v>
      </c>
      <c r="DW27" s="36">
        <f t="shared" si="116"/>
        <v>0</v>
      </c>
      <c r="DX27" s="23">
        <f t="shared" si="90"/>
        <v>0</v>
      </c>
      <c r="DY27" s="23">
        <f t="shared" si="98"/>
        <v>0</v>
      </c>
      <c r="DZ27" s="23">
        <f t="shared" si="99"/>
        <v>0</v>
      </c>
      <c r="EA27" s="23">
        <f t="shared" si="100"/>
        <v>0</v>
      </c>
      <c r="EB27" s="23">
        <f t="shared" si="101"/>
        <v>0</v>
      </c>
      <c r="EC27" s="23">
        <f t="shared" si="102"/>
        <v>0</v>
      </c>
      <c r="ED27" s="23">
        <f t="shared" si="103"/>
        <v>0</v>
      </c>
      <c r="EE27" s="23">
        <f t="shared" si="104"/>
        <v>0</v>
      </c>
      <c r="EF27" s="23">
        <f t="shared" si="105"/>
        <v>0</v>
      </c>
      <c r="EG27" s="23">
        <f t="shared" si="106"/>
        <v>0</v>
      </c>
      <c r="EH27" s="23">
        <f t="shared" si="107"/>
        <v>0</v>
      </c>
      <c r="EI27" s="23">
        <f t="shared" si="87"/>
        <v>0</v>
      </c>
      <c r="EJ27" s="23">
        <f t="shared" si="88"/>
        <v>0</v>
      </c>
    </row>
    <row r="28" spans="1:140" ht="9.9" customHeight="1" x14ac:dyDescent="0.3">
      <c r="A28" s="23">
        <v>19</v>
      </c>
      <c r="B28" s="37" t="str">
        <f>IF(ISBLANK(Informations!B29),"",Informations!B29)</f>
        <v>MAINAR, MADEL V.</v>
      </c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9" t="e">
        <f t="shared" si="6"/>
        <v>#DIV/0!</v>
      </c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40" t="str">
        <f t="shared" si="7"/>
        <v xml:space="preserve"> </v>
      </c>
      <c r="AI28" s="40" t="str">
        <f t="shared" si="8"/>
        <v xml:space="preserve"> </v>
      </c>
      <c r="AJ28" s="40" t="str">
        <f t="shared" si="9"/>
        <v xml:space="preserve"> </v>
      </c>
      <c r="AK28" s="40" t="str">
        <f t="shared" si="10"/>
        <v xml:space="preserve"> </v>
      </c>
      <c r="AL28" s="40" t="str">
        <f t="shared" si="11"/>
        <v xml:space="preserve"> </v>
      </c>
      <c r="AM28" s="40" t="str">
        <f t="shared" si="12"/>
        <v xml:space="preserve"> </v>
      </c>
      <c r="AN28" s="40" t="str">
        <f t="shared" si="13"/>
        <v xml:space="preserve"> </v>
      </c>
      <c r="AO28" s="40" t="str">
        <f t="shared" si="14"/>
        <v xml:space="preserve"> </v>
      </c>
      <c r="AP28" s="40" t="str">
        <f t="shared" si="15"/>
        <v xml:space="preserve"> </v>
      </c>
      <c r="AQ28" s="40" t="str">
        <f t="shared" si="16"/>
        <v xml:space="preserve"> </v>
      </c>
      <c r="AR28" s="41" t="e">
        <f t="shared" si="17"/>
        <v>#DIV/0!</v>
      </c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42" t="str">
        <f t="shared" si="18"/>
        <v xml:space="preserve"> </v>
      </c>
      <c r="BD28" s="42" t="str">
        <f t="shared" si="19"/>
        <v xml:space="preserve"> </v>
      </c>
      <c r="BE28" s="42" t="str">
        <f t="shared" si="20"/>
        <v xml:space="preserve"> </v>
      </c>
      <c r="BF28" s="42" t="str">
        <f t="shared" si="21"/>
        <v xml:space="preserve"> </v>
      </c>
      <c r="BG28" s="42" t="str">
        <f t="shared" si="22"/>
        <v xml:space="preserve"> </v>
      </c>
      <c r="BH28" s="42" t="str">
        <f t="shared" si="23"/>
        <v xml:space="preserve"> </v>
      </c>
      <c r="BI28" s="42" t="str">
        <f t="shared" si="24"/>
        <v xml:space="preserve"> </v>
      </c>
      <c r="BJ28" s="42" t="str">
        <f t="shared" si="25"/>
        <v xml:space="preserve"> </v>
      </c>
      <c r="BK28" s="42" t="str">
        <f t="shared" si="26"/>
        <v xml:space="preserve"> </v>
      </c>
      <c r="BL28" s="42" t="str">
        <f t="shared" si="27"/>
        <v xml:space="preserve"> </v>
      </c>
      <c r="BM28" s="43" t="e">
        <f t="shared" si="28"/>
        <v>#DIV/0!</v>
      </c>
      <c r="BN28" s="38"/>
      <c r="BO28" s="44" t="e">
        <f t="shared" si="29"/>
        <v>#DIV/0!</v>
      </c>
      <c r="BP28" s="20"/>
      <c r="BQ28" s="39" t="e">
        <f t="shared" si="73"/>
        <v>#DIV/0!</v>
      </c>
      <c r="BR28" s="23" t="e">
        <f t="shared" si="96"/>
        <v>#DIV/0!</v>
      </c>
      <c r="BS28" s="45"/>
      <c r="BT28" s="46"/>
      <c r="BU28" s="46"/>
      <c r="BV28" s="46"/>
      <c r="BW28" s="21" t="str">
        <f t="shared" si="30"/>
        <v/>
      </c>
      <c r="BX28" s="22" t="str">
        <f t="shared" si="31"/>
        <v/>
      </c>
      <c r="BY28" s="22" t="str">
        <f t="shared" si="32"/>
        <v/>
      </c>
      <c r="BZ28" s="22" t="str">
        <f t="shared" si="33"/>
        <v/>
      </c>
      <c r="CA28" s="22" t="str">
        <f t="shared" si="34"/>
        <v/>
      </c>
      <c r="CB28" s="22" t="str">
        <f t="shared" si="35"/>
        <v/>
      </c>
      <c r="CC28" s="22" t="str">
        <f t="shared" si="36"/>
        <v/>
      </c>
      <c r="CD28" s="22" t="str">
        <f t="shared" si="37"/>
        <v/>
      </c>
      <c r="CE28" s="22" t="str">
        <f t="shared" si="38"/>
        <v/>
      </c>
      <c r="CF28" s="22" t="str">
        <f t="shared" si="39"/>
        <v/>
      </c>
      <c r="CG28" s="22" t="str">
        <f t="shared" si="40"/>
        <v/>
      </c>
      <c r="CH28" s="22" t="str">
        <f t="shared" si="41"/>
        <v/>
      </c>
      <c r="CI28" s="22" t="str">
        <f t="shared" si="42"/>
        <v/>
      </c>
      <c r="CJ28" s="22" t="str">
        <f t="shared" si="43"/>
        <v/>
      </c>
      <c r="CK28" s="22" t="str">
        <f t="shared" si="44"/>
        <v/>
      </c>
      <c r="CL28" s="22" t="str">
        <f t="shared" si="45"/>
        <v/>
      </c>
      <c r="CM28" s="22" t="str">
        <f t="shared" si="46"/>
        <v/>
      </c>
      <c r="CN28" s="22" t="str">
        <f t="shared" si="47"/>
        <v/>
      </c>
      <c r="CO28" s="22" t="str">
        <f t="shared" si="48"/>
        <v/>
      </c>
      <c r="CP28" s="22" t="str">
        <f t="shared" si="49"/>
        <v/>
      </c>
      <c r="CQ28" s="22">
        <f t="shared" si="75"/>
        <v>0</v>
      </c>
      <c r="CR28" s="22">
        <f t="shared" si="3"/>
        <v>0</v>
      </c>
      <c r="CS28" s="22" t="str">
        <f t="shared" si="50"/>
        <v/>
      </c>
      <c r="CT28" s="22" t="str">
        <f t="shared" si="51"/>
        <v/>
      </c>
      <c r="CU28" s="22" t="str">
        <f t="shared" si="52"/>
        <v/>
      </c>
      <c r="CV28" s="22" t="str">
        <f t="shared" si="53"/>
        <v/>
      </c>
      <c r="CW28" s="22" t="str">
        <f t="shared" si="54"/>
        <v/>
      </c>
      <c r="CX28" s="22" t="str">
        <f t="shared" si="55"/>
        <v/>
      </c>
      <c r="CY28" s="22" t="str">
        <f t="shared" si="56"/>
        <v/>
      </c>
      <c r="CZ28" s="22" t="str">
        <f t="shared" si="57"/>
        <v/>
      </c>
      <c r="DA28" s="22" t="str">
        <f t="shared" si="58"/>
        <v/>
      </c>
      <c r="DB28" s="22" t="str">
        <f t="shared" si="59"/>
        <v/>
      </c>
      <c r="DC28" s="22" t="str">
        <f t="shared" si="60"/>
        <v/>
      </c>
      <c r="DD28" s="22" t="str">
        <f t="shared" si="61"/>
        <v/>
      </c>
      <c r="DE28" s="22" t="str">
        <f t="shared" si="62"/>
        <v/>
      </c>
      <c r="DF28" s="22" t="str">
        <f t="shared" si="63"/>
        <v/>
      </c>
      <c r="DG28" s="22" t="str">
        <f t="shared" si="64"/>
        <v/>
      </c>
      <c r="DH28" s="22" t="str">
        <f t="shared" si="65"/>
        <v/>
      </c>
      <c r="DI28" s="22" t="str">
        <f t="shared" si="66"/>
        <v/>
      </c>
      <c r="DJ28" s="22" t="str">
        <f t="shared" si="67"/>
        <v/>
      </c>
      <c r="DK28" s="22" t="str">
        <f t="shared" si="68"/>
        <v/>
      </c>
      <c r="DL28" s="22" t="str">
        <f t="shared" si="69"/>
        <v/>
      </c>
      <c r="DM28" s="22">
        <f t="shared" si="70"/>
        <v>0</v>
      </c>
      <c r="DN28" s="36">
        <f t="shared" ref="DN28:DW28" si="117">DN27</f>
        <v>0</v>
      </c>
      <c r="DO28" s="36">
        <f t="shared" si="117"/>
        <v>0</v>
      </c>
      <c r="DP28" s="36">
        <f t="shared" si="117"/>
        <v>0</v>
      </c>
      <c r="DQ28" s="36">
        <f t="shared" si="117"/>
        <v>0</v>
      </c>
      <c r="DR28" s="36">
        <f t="shared" si="117"/>
        <v>0</v>
      </c>
      <c r="DS28" s="36">
        <f t="shared" si="117"/>
        <v>0</v>
      </c>
      <c r="DT28" s="36">
        <f t="shared" si="117"/>
        <v>0</v>
      </c>
      <c r="DU28" s="36">
        <f t="shared" si="117"/>
        <v>0</v>
      </c>
      <c r="DV28" s="36">
        <f t="shared" si="117"/>
        <v>0</v>
      </c>
      <c r="DW28" s="36">
        <f t="shared" si="117"/>
        <v>0</v>
      </c>
      <c r="DX28" s="23">
        <f t="shared" si="90"/>
        <v>0</v>
      </c>
      <c r="DY28" s="23">
        <f t="shared" si="98"/>
        <v>0</v>
      </c>
      <c r="DZ28" s="23">
        <f t="shared" si="99"/>
        <v>0</v>
      </c>
      <c r="EA28" s="23">
        <f t="shared" si="100"/>
        <v>0</v>
      </c>
      <c r="EB28" s="23">
        <f t="shared" si="101"/>
        <v>0</v>
      </c>
      <c r="EC28" s="23">
        <f t="shared" si="102"/>
        <v>0</v>
      </c>
      <c r="ED28" s="23">
        <f t="shared" si="103"/>
        <v>0</v>
      </c>
      <c r="EE28" s="23">
        <f t="shared" si="104"/>
        <v>0</v>
      </c>
      <c r="EF28" s="23">
        <f t="shared" si="105"/>
        <v>0</v>
      </c>
      <c r="EG28" s="23">
        <f t="shared" si="106"/>
        <v>0</v>
      </c>
      <c r="EH28" s="23">
        <f t="shared" si="107"/>
        <v>0</v>
      </c>
      <c r="EI28" s="23">
        <f t="shared" si="87"/>
        <v>0</v>
      </c>
      <c r="EJ28" s="23">
        <f t="shared" si="88"/>
        <v>0</v>
      </c>
    </row>
    <row r="29" spans="1:140" ht="9.9" customHeight="1" x14ac:dyDescent="0.3">
      <c r="A29" s="23">
        <v>20</v>
      </c>
      <c r="B29" s="37" t="str">
        <f>IF(ISBLANK(Informations!B30),"",Informations!B30)</f>
        <v>MAITIM, SALVE ANN RUTH E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9" t="e">
        <f t="shared" si="6"/>
        <v>#DIV/0!</v>
      </c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40" t="str">
        <f t="shared" si="7"/>
        <v xml:space="preserve"> </v>
      </c>
      <c r="AI29" s="40" t="str">
        <f t="shared" si="8"/>
        <v xml:space="preserve"> </v>
      </c>
      <c r="AJ29" s="40" t="str">
        <f t="shared" si="9"/>
        <v xml:space="preserve"> </v>
      </c>
      <c r="AK29" s="40" t="str">
        <f t="shared" si="10"/>
        <v xml:space="preserve"> </v>
      </c>
      <c r="AL29" s="40" t="str">
        <f t="shared" si="11"/>
        <v xml:space="preserve"> </v>
      </c>
      <c r="AM29" s="40" t="str">
        <f t="shared" si="12"/>
        <v xml:space="preserve"> </v>
      </c>
      <c r="AN29" s="40" t="str">
        <f t="shared" si="13"/>
        <v xml:space="preserve"> </v>
      </c>
      <c r="AO29" s="40" t="str">
        <f t="shared" si="14"/>
        <v xml:space="preserve"> </v>
      </c>
      <c r="AP29" s="40" t="str">
        <f t="shared" si="15"/>
        <v xml:space="preserve"> </v>
      </c>
      <c r="AQ29" s="40" t="str">
        <f t="shared" si="16"/>
        <v xml:space="preserve"> </v>
      </c>
      <c r="AR29" s="41" t="e">
        <f t="shared" si="17"/>
        <v>#DIV/0!</v>
      </c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42" t="str">
        <f t="shared" si="18"/>
        <v xml:space="preserve"> </v>
      </c>
      <c r="BD29" s="42" t="str">
        <f t="shared" si="19"/>
        <v xml:space="preserve"> </v>
      </c>
      <c r="BE29" s="42" t="str">
        <f t="shared" si="20"/>
        <v xml:space="preserve"> </v>
      </c>
      <c r="BF29" s="42" t="str">
        <f t="shared" si="21"/>
        <v xml:space="preserve"> </v>
      </c>
      <c r="BG29" s="42" t="str">
        <f t="shared" si="22"/>
        <v xml:space="preserve"> </v>
      </c>
      <c r="BH29" s="42" t="str">
        <f t="shared" si="23"/>
        <v xml:space="preserve"> </v>
      </c>
      <c r="BI29" s="42" t="str">
        <f t="shared" si="24"/>
        <v xml:space="preserve"> </v>
      </c>
      <c r="BJ29" s="42" t="str">
        <f t="shared" si="25"/>
        <v xml:space="preserve"> </v>
      </c>
      <c r="BK29" s="42" t="str">
        <f t="shared" si="26"/>
        <v xml:space="preserve"> </v>
      </c>
      <c r="BL29" s="42" t="str">
        <f t="shared" si="27"/>
        <v xml:space="preserve"> </v>
      </c>
      <c r="BM29" s="43" t="e">
        <f t="shared" si="28"/>
        <v>#DIV/0!</v>
      </c>
      <c r="BN29" s="38"/>
      <c r="BO29" s="44" t="e">
        <f t="shared" si="29"/>
        <v>#DIV/0!</v>
      </c>
      <c r="BP29" s="20"/>
      <c r="BQ29" s="39" t="e">
        <f t="shared" si="73"/>
        <v>#DIV/0!</v>
      </c>
      <c r="BR29" s="23" t="e">
        <f t="shared" si="96"/>
        <v>#DIV/0!</v>
      </c>
      <c r="BS29" s="45"/>
      <c r="BT29" s="46"/>
      <c r="BU29" s="46"/>
      <c r="BV29" s="46"/>
      <c r="BW29" s="21" t="str">
        <f t="shared" si="30"/>
        <v/>
      </c>
      <c r="BX29" s="22" t="str">
        <f t="shared" si="31"/>
        <v/>
      </c>
      <c r="BY29" s="22" t="str">
        <f t="shared" si="32"/>
        <v/>
      </c>
      <c r="BZ29" s="22" t="str">
        <f t="shared" si="33"/>
        <v/>
      </c>
      <c r="CA29" s="22" t="str">
        <f t="shared" si="34"/>
        <v/>
      </c>
      <c r="CB29" s="22" t="str">
        <f t="shared" si="35"/>
        <v/>
      </c>
      <c r="CC29" s="22" t="str">
        <f t="shared" si="36"/>
        <v/>
      </c>
      <c r="CD29" s="22" t="str">
        <f t="shared" si="37"/>
        <v/>
      </c>
      <c r="CE29" s="22" t="str">
        <f t="shared" si="38"/>
        <v/>
      </c>
      <c r="CF29" s="22" t="str">
        <f t="shared" si="39"/>
        <v/>
      </c>
      <c r="CG29" s="22" t="str">
        <f t="shared" si="40"/>
        <v/>
      </c>
      <c r="CH29" s="22" t="str">
        <f t="shared" si="41"/>
        <v/>
      </c>
      <c r="CI29" s="22" t="str">
        <f t="shared" si="42"/>
        <v/>
      </c>
      <c r="CJ29" s="22" t="str">
        <f t="shared" si="43"/>
        <v/>
      </c>
      <c r="CK29" s="22" t="str">
        <f t="shared" si="44"/>
        <v/>
      </c>
      <c r="CL29" s="22" t="str">
        <f t="shared" si="45"/>
        <v/>
      </c>
      <c r="CM29" s="22" t="str">
        <f t="shared" si="46"/>
        <v/>
      </c>
      <c r="CN29" s="22" t="str">
        <f t="shared" si="47"/>
        <v/>
      </c>
      <c r="CO29" s="22" t="str">
        <f t="shared" si="48"/>
        <v/>
      </c>
      <c r="CP29" s="22" t="str">
        <f t="shared" si="49"/>
        <v/>
      </c>
      <c r="CQ29" s="22">
        <f t="shared" si="75"/>
        <v>0</v>
      </c>
      <c r="CR29" s="22">
        <f t="shared" si="3"/>
        <v>0</v>
      </c>
      <c r="CS29" s="22" t="str">
        <f t="shared" si="50"/>
        <v/>
      </c>
      <c r="CT29" s="22" t="str">
        <f t="shared" si="51"/>
        <v/>
      </c>
      <c r="CU29" s="22" t="str">
        <f t="shared" si="52"/>
        <v/>
      </c>
      <c r="CV29" s="22" t="str">
        <f t="shared" si="53"/>
        <v/>
      </c>
      <c r="CW29" s="22" t="str">
        <f t="shared" si="54"/>
        <v/>
      </c>
      <c r="CX29" s="22" t="str">
        <f t="shared" si="55"/>
        <v/>
      </c>
      <c r="CY29" s="22" t="str">
        <f t="shared" si="56"/>
        <v/>
      </c>
      <c r="CZ29" s="22" t="str">
        <f t="shared" si="57"/>
        <v/>
      </c>
      <c r="DA29" s="22" t="str">
        <f t="shared" si="58"/>
        <v/>
      </c>
      <c r="DB29" s="22" t="str">
        <f t="shared" si="59"/>
        <v/>
      </c>
      <c r="DC29" s="22" t="str">
        <f t="shared" si="60"/>
        <v/>
      </c>
      <c r="DD29" s="22" t="str">
        <f t="shared" si="61"/>
        <v/>
      </c>
      <c r="DE29" s="22" t="str">
        <f t="shared" si="62"/>
        <v/>
      </c>
      <c r="DF29" s="22" t="str">
        <f t="shared" si="63"/>
        <v/>
      </c>
      <c r="DG29" s="22" t="str">
        <f t="shared" si="64"/>
        <v/>
      </c>
      <c r="DH29" s="22" t="str">
        <f t="shared" si="65"/>
        <v/>
      </c>
      <c r="DI29" s="22" t="str">
        <f t="shared" si="66"/>
        <v/>
      </c>
      <c r="DJ29" s="22" t="str">
        <f t="shared" si="67"/>
        <v/>
      </c>
      <c r="DK29" s="22" t="str">
        <f t="shared" si="68"/>
        <v/>
      </c>
      <c r="DL29" s="22" t="str">
        <f t="shared" si="69"/>
        <v/>
      </c>
      <c r="DM29" s="22">
        <f t="shared" si="70"/>
        <v>0</v>
      </c>
      <c r="DN29" s="36">
        <f t="shared" ref="DN29:DW29" si="118">DN28</f>
        <v>0</v>
      </c>
      <c r="DO29" s="36">
        <f t="shared" si="118"/>
        <v>0</v>
      </c>
      <c r="DP29" s="36">
        <f t="shared" si="118"/>
        <v>0</v>
      </c>
      <c r="DQ29" s="36">
        <f t="shared" si="118"/>
        <v>0</v>
      </c>
      <c r="DR29" s="36">
        <f t="shared" si="118"/>
        <v>0</v>
      </c>
      <c r="DS29" s="36">
        <f t="shared" si="118"/>
        <v>0</v>
      </c>
      <c r="DT29" s="36">
        <f t="shared" si="118"/>
        <v>0</v>
      </c>
      <c r="DU29" s="36">
        <f t="shared" si="118"/>
        <v>0</v>
      </c>
      <c r="DV29" s="36">
        <f t="shared" si="118"/>
        <v>0</v>
      </c>
      <c r="DW29" s="36">
        <f t="shared" si="118"/>
        <v>0</v>
      </c>
      <c r="DX29" s="23">
        <f t="shared" si="90"/>
        <v>0</v>
      </c>
      <c r="DY29" s="23">
        <f t="shared" si="98"/>
        <v>0</v>
      </c>
      <c r="DZ29" s="23">
        <f t="shared" si="99"/>
        <v>0</v>
      </c>
      <c r="EA29" s="23">
        <f t="shared" si="100"/>
        <v>0</v>
      </c>
      <c r="EB29" s="23">
        <f t="shared" si="101"/>
        <v>0</v>
      </c>
      <c r="EC29" s="23">
        <f t="shared" si="102"/>
        <v>0</v>
      </c>
      <c r="ED29" s="23">
        <f t="shared" si="103"/>
        <v>0</v>
      </c>
      <c r="EE29" s="23">
        <f t="shared" si="104"/>
        <v>0</v>
      </c>
      <c r="EF29" s="23">
        <f t="shared" si="105"/>
        <v>0</v>
      </c>
      <c r="EG29" s="23">
        <f t="shared" si="106"/>
        <v>0</v>
      </c>
      <c r="EH29" s="23">
        <f t="shared" si="107"/>
        <v>0</v>
      </c>
      <c r="EI29" s="23">
        <f t="shared" si="87"/>
        <v>0</v>
      </c>
      <c r="EJ29" s="23">
        <f t="shared" si="88"/>
        <v>0</v>
      </c>
    </row>
    <row r="30" spans="1:140" ht="9.9" customHeight="1" x14ac:dyDescent="0.3">
      <c r="A30" s="23">
        <v>21</v>
      </c>
      <c r="B30" s="37" t="str">
        <f>IF(ISBLANK(Informations!B31),"",Informations!B31)</f>
        <v>MALILA, EMMA MAE B.</v>
      </c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9" t="e">
        <f t="shared" si="6"/>
        <v>#DIV/0!</v>
      </c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40" t="str">
        <f t="shared" si="7"/>
        <v xml:space="preserve"> </v>
      </c>
      <c r="AI30" s="40" t="str">
        <f t="shared" si="8"/>
        <v xml:space="preserve"> </v>
      </c>
      <c r="AJ30" s="40" t="str">
        <f t="shared" si="9"/>
        <v xml:space="preserve"> </v>
      </c>
      <c r="AK30" s="40" t="str">
        <f t="shared" si="10"/>
        <v xml:space="preserve"> </v>
      </c>
      <c r="AL30" s="40" t="str">
        <f t="shared" si="11"/>
        <v xml:space="preserve"> </v>
      </c>
      <c r="AM30" s="40" t="str">
        <f t="shared" si="12"/>
        <v xml:space="preserve"> </v>
      </c>
      <c r="AN30" s="40" t="str">
        <f t="shared" si="13"/>
        <v xml:space="preserve"> </v>
      </c>
      <c r="AO30" s="40" t="str">
        <f t="shared" si="14"/>
        <v xml:space="preserve"> </v>
      </c>
      <c r="AP30" s="40" t="str">
        <f t="shared" si="15"/>
        <v xml:space="preserve"> </v>
      </c>
      <c r="AQ30" s="40" t="str">
        <f t="shared" si="16"/>
        <v xml:space="preserve"> </v>
      </c>
      <c r="AR30" s="41" t="e">
        <f t="shared" si="17"/>
        <v>#DIV/0!</v>
      </c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42" t="str">
        <f t="shared" si="18"/>
        <v xml:space="preserve"> </v>
      </c>
      <c r="BD30" s="42" t="str">
        <f t="shared" si="19"/>
        <v xml:space="preserve"> </v>
      </c>
      <c r="BE30" s="42" t="str">
        <f t="shared" si="20"/>
        <v xml:space="preserve"> </v>
      </c>
      <c r="BF30" s="42" t="str">
        <f t="shared" si="21"/>
        <v xml:space="preserve"> </v>
      </c>
      <c r="BG30" s="42" t="str">
        <f t="shared" si="22"/>
        <v xml:space="preserve"> </v>
      </c>
      <c r="BH30" s="42" t="str">
        <f t="shared" si="23"/>
        <v xml:space="preserve"> </v>
      </c>
      <c r="BI30" s="42" t="str">
        <f t="shared" si="24"/>
        <v xml:space="preserve"> </v>
      </c>
      <c r="BJ30" s="42" t="str">
        <f t="shared" si="25"/>
        <v xml:space="preserve"> </v>
      </c>
      <c r="BK30" s="42" t="str">
        <f t="shared" si="26"/>
        <v xml:space="preserve"> </v>
      </c>
      <c r="BL30" s="42" t="str">
        <f t="shared" si="27"/>
        <v xml:space="preserve"> </v>
      </c>
      <c r="BM30" s="43" t="e">
        <f t="shared" si="28"/>
        <v>#DIV/0!</v>
      </c>
      <c r="BN30" s="38"/>
      <c r="BO30" s="44" t="e">
        <f t="shared" si="29"/>
        <v>#DIV/0!</v>
      </c>
      <c r="BP30" s="20"/>
      <c r="BQ30" s="39" t="e">
        <f t="shared" si="73"/>
        <v>#DIV/0!</v>
      </c>
      <c r="BR30" s="23" t="e">
        <f t="shared" si="96"/>
        <v>#DIV/0!</v>
      </c>
      <c r="BS30" s="45"/>
      <c r="BT30" s="46"/>
      <c r="BU30" s="46"/>
      <c r="BV30" s="46"/>
      <c r="BW30" s="21" t="str">
        <f t="shared" si="30"/>
        <v/>
      </c>
      <c r="BX30" s="22" t="str">
        <f t="shared" si="31"/>
        <v/>
      </c>
      <c r="BY30" s="22" t="str">
        <f t="shared" si="32"/>
        <v/>
      </c>
      <c r="BZ30" s="22" t="str">
        <f t="shared" si="33"/>
        <v/>
      </c>
      <c r="CA30" s="22" t="str">
        <f t="shared" si="34"/>
        <v/>
      </c>
      <c r="CB30" s="22" t="str">
        <f t="shared" si="35"/>
        <v/>
      </c>
      <c r="CC30" s="22" t="str">
        <f t="shared" si="36"/>
        <v/>
      </c>
      <c r="CD30" s="22" t="str">
        <f t="shared" si="37"/>
        <v/>
      </c>
      <c r="CE30" s="22" t="str">
        <f t="shared" si="38"/>
        <v/>
      </c>
      <c r="CF30" s="22" t="str">
        <f t="shared" si="39"/>
        <v/>
      </c>
      <c r="CG30" s="22" t="str">
        <f t="shared" si="40"/>
        <v/>
      </c>
      <c r="CH30" s="22" t="str">
        <f t="shared" si="41"/>
        <v/>
      </c>
      <c r="CI30" s="22" t="str">
        <f t="shared" si="42"/>
        <v/>
      </c>
      <c r="CJ30" s="22" t="str">
        <f t="shared" si="43"/>
        <v/>
      </c>
      <c r="CK30" s="22" t="str">
        <f t="shared" si="44"/>
        <v/>
      </c>
      <c r="CL30" s="22" t="str">
        <f t="shared" si="45"/>
        <v/>
      </c>
      <c r="CM30" s="22" t="str">
        <f t="shared" si="46"/>
        <v/>
      </c>
      <c r="CN30" s="22" t="str">
        <f t="shared" si="47"/>
        <v/>
      </c>
      <c r="CO30" s="22" t="str">
        <f t="shared" si="48"/>
        <v/>
      </c>
      <c r="CP30" s="22" t="str">
        <f t="shared" si="49"/>
        <v/>
      </c>
      <c r="CQ30" s="22">
        <f t="shared" si="75"/>
        <v>0</v>
      </c>
      <c r="CR30" s="22">
        <f t="shared" si="3"/>
        <v>0</v>
      </c>
      <c r="CS30" s="22" t="str">
        <f t="shared" si="50"/>
        <v/>
      </c>
      <c r="CT30" s="22" t="str">
        <f t="shared" si="51"/>
        <v/>
      </c>
      <c r="CU30" s="22" t="str">
        <f t="shared" si="52"/>
        <v/>
      </c>
      <c r="CV30" s="22" t="str">
        <f t="shared" si="53"/>
        <v/>
      </c>
      <c r="CW30" s="22" t="str">
        <f t="shared" si="54"/>
        <v/>
      </c>
      <c r="CX30" s="22" t="str">
        <f t="shared" si="55"/>
        <v/>
      </c>
      <c r="CY30" s="22" t="str">
        <f t="shared" si="56"/>
        <v/>
      </c>
      <c r="CZ30" s="22" t="str">
        <f t="shared" si="57"/>
        <v/>
      </c>
      <c r="DA30" s="22" t="str">
        <f t="shared" si="58"/>
        <v/>
      </c>
      <c r="DB30" s="22" t="str">
        <f t="shared" si="59"/>
        <v/>
      </c>
      <c r="DC30" s="22" t="str">
        <f t="shared" si="60"/>
        <v/>
      </c>
      <c r="DD30" s="22" t="str">
        <f t="shared" si="61"/>
        <v/>
      </c>
      <c r="DE30" s="22" t="str">
        <f t="shared" si="62"/>
        <v/>
      </c>
      <c r="DF30" s="22" t="str">
        <f t="shared" si="63"/>
        <v/>
      </c>
      <c r="DG30" s="22" t="str">
        <f t="shared" si="64"/>
        <v/>
      </c>
      <c r="DH30" s="22" t="str">
        <f t="shared" si="65"/>
        <v/>
      </c>
      <c r="DI30" s="22" t="str">
        <f t="shared" si="66"/>
        <v/>
      </c>
      <c r="DJ30" s="22" t="str">
        <f t="shared" si="67"/>
        <v/>
      </c>
      <c r="DK30" s="22" t="str">
        <f t="shared" si="68"/>
        <v/>
      </c>
      <c r="DL30" s="22" t="str">
        <f t="shared" si="69"/>
        <v/>
      </c>
      <c r="DM30" s="22">
        <f t="shared" si="70"/>
        <v>0</v>
      </c>
      <c r="DN30" s="36">
        <f t="shared" ref="DN30:DW30" si="119">DN29</f>
        <v>0</v>
      </c>
      <c r="DO30" s="36">
        <f t="shared" si="119"/>
        <v>0</v>
      </c>
      <c r="DP30" s="36">
        <f t="shared" si="119"/>
        <v>0</v>
      </c>
      <c r="DQ30" s="36">
        <f t="shared" si="119"/>
        <v>0</v>
      </c>
      <c r="DR30" s="36">
        <f t="shared" si="119"/>
        <v>0</v>
      </c>
      <c r="DS30" s="36">
        <f t="shared" si="119"/>
        <v>0</v>
      </c>
      <c r="DT30" s="36">
        <f t="shared" si="119"/>
        <v>0</v>
      </c>
      <c r="DU30" s="36">
        <f t="shared" si="119"/>
        <v>0</v>
      </c>
      <c r="DV30" s="36">
        <f t="shared" si="119"/>
        <v>0</v>
      </c>
      <c r="DW30" s="36">
        <f t="shared" si="119"/>
        <v>0</v>
      </c>
      <c r="DX30" s="23">
        <f t="shared" si="90"/>
        <v>0</v>
      </c>
      <c r="DY30" s="23">
        <f t="shared" si="98"/>
        <v>0</v>
      </c>
      <c r="DZ30" s="23">
        <f t="shared" si="99"/>
        <v>0</v>
      </c>
      <c r="EA30" s="23">
        <f t="shared" si="100"/>
        <v>0</v>
      </c>
      <c r="EB30" s="23">
        <f t="shared" si="101"/>
        <v>0</v>
      </c>
      <c r="EC30" s="23">
        <f t="shared" si="102"/>
        <v>0</v>
      </c>
      <c r="ED30" s="23">
        <f t="shared" si="103"/>
        <v>0</v>
      </c>
      <c r="EE30" s="23">
        <f t="shared" si="104"/>
        <v>0</v>
      </c>
      <c r="EF30" s="23">
        <f t="shared" si="105"/>
        <v>0</v>
      </c>
      <c r="EG30" s="23">
        <f t="shared" si="106"/>
        <v>0</v>
      </c>
      <c r="EH30" s="23">
        <f t="shared" si="107"/>
        <v>0</v>
      </c>
      <c r="EI30" s="23">
        <f t="shared" si="87"/>
        <v>0</v>
      </c>
      <c r="EJ30" s="23">
        <f t="shared" si="88"/>
        <v>0</v>
      </c>
    </row>
    <row r="31" spans="1:140" ht="9.9" customHeight="1" x14ac:dyDescent="0.3">
      <c r="A31" s="23">
        <v>22</v>
      </c>
      <c r="B31" s="37" t="str">
        <f>IF(ISBLANK(Informations!B32),"",Informations!B32)</f>
        <v>MENDEZ, SHYZIEL C.</v>
      </c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9" t="e">
        <f t="shared" si="6"/>
        <v>#DIV/0!</v>
      </c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40" t="str">
        <f t="shared" si="7"/>
        <v xml:space="preserve"> </v>
      </c>
      <c r="AI31" s="40" t="str">
        <f t="shared" si="8"/>
        <v xml:space="preserve"> </v>
      </c>
      <c r="AJ31" s="40" t="str">
        <f t="shared" si="9"/>
        <v xml:space="preserve"> </v>
      </c>
      <c r="AK31" s="40" t="str">
        <f t="shared" si="10"/>
        <v xml:space="preserve"> </v>
      </c>
      <c r="AL31" s="40" t="str">
        <f t="shared" si="11"/>
        <v xml:space="preserve"> </v>
      </c>
      <c r="AM31" s="40" t="str">
        <f t="shared" si="12"/>
        <v xml:space="preserve"> </v>
      </c>
      <c r="AN31" s="40" t="str">
        <f t="shared" si="13"/>
        <v xml:space="preserve"> </v>
      </c>
      <c r="AO31" s="40" t="str">
        <f t="shared" si="14"/>
        <v xml:space="preserve"> </v>
      </c>
      <c r="AP31" s="40" t="str">
        <f t="shared" si="15"/>
        <v xml:space="preserve"> </v>
      </c>
      <c r="AQ31" s="40" t="str">
        <f t="shared" si="16"/>
        <v xml:space="preserve"> </v>
      </c>
      <c r="AR31" s="41" t="e">
        <f t="shared" si="17"/>
        <v>#DIV/0!</v>
      </c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42" t="str">
        <f t="shared" si="18"/>
        <v xml:space="preserve"> </v>
      </c>
      <c r="BD31" s="42" t="str">
        <f t="shared" si="19"/>
        <v xml:space="preserve"> </v>
      </c>
      <c r="BE31" s="42" t="str">
        <f t="shared" si="20"/>
        <v xml:space="preserve"> </v>
      </c>
      <c r="BF31" s="42" t="str">
        <f t="shared" si="21"/>
        <v xml:space="preserve"> </v>
      </c>
      <c r="BG31" s="42" t="str">
        <f t="shared" si="22"/>
        <v xml:space="preserve"> </v>
      </c>
      <c r="BH31" s="42" t="str">
        <f t="shared" si="23"/>
        <v xml:space="preserve"> </v>
      </c>
      <c r="BI31" s="42" t="str">
        <f t="shared" si="24"/>
        <v xml:space="preserve"> </v>
      </c>
      <c r="BJ31" s="42" t="str">
        <f t="shared" si="25"/>
        <v xml:space="preserve"> </v>
      </c>
      <c r="BK31" s="42" t="str">
        <f t="shared" si="26"/>
        <v xml:space="preserve"> </v>
      </c>
      <c r="BL31" s="42" t="str">
        <f t="shared" si="27"/>
        <v xml:space="preserve"> </v>
      </c>
      <c r="BM31" s="43" t="e">
        <f t="shared" si="28"/>
        <v>#DIV/0!</v>
      </c>
      <c r="BN31" s="38"/>
      <c r="BO31" s="44" t="e">
        <f t="shared" si="29"/>
        <v>#DIV/0!</v>
      </c>
      <c r="BP31" s="20"/>
      <c r="BQ31" s="39" t="e">
        <f t="shared" si="73"/>
        <v>#DIV/0!</v>
      </c>
      <c r="BR31" s="23" t="e">
        <f t="shared" si="96"/>
        <v>#DIV/0!</v>
      </c>
      <c r="BS31" s="45"/>
      <c r="BT31" s="46"/>
      <c r="BU31" s="46"/>
      <c r="BV31" s="46"/>
      <c r="BW31" s="21" t="str">
        <f t="shared" si="30"/>
        <v/>
      </c>
      <c r="BX31" s="22" t="str">
        <f t="shared" si="31"/>
        <v/>
      </c>
      <c r="BY31" s="22" t="str">
        <f t="shared" si="32"/>
        <v/>
      </c>
      <c r="BZ31" s="22" t="str">
        <f t="shared" si="33"/>
        <v/>
      </c>
      <c r="CA31" s="22" t="str">
        <f t="shared" si="34"/>
        <v/>
      </c>
      <c r="CB31" s="22" t="str">
        <f t="shared" si="35"/>
        <v/>
      </c>
      <c r="CC31" s="22" t="str">
        <f t="shared" si="36"/>
        <v/>
      </c>
      <c r="CD31" s="22" t="str">
        <f t="shared" si="37"/>
        <v/>
      </c>
      <c r="CE31" s="22" t="str">
        <f t="shared" si="38"/>
        <v/>
      </c>
      <c r="CF31" s="22" t="str">
        <f t="shared" si="39"/>
        <v/>
      </c>
      <c r="CG31" s="22" t="str">
        <f t="shared" si="40"/>
        <v/>
      </c>
      <c r="CH31" s="22" t="str">
        <f t="shared" si="41"/>
        <v/>
      </c>
      <c r="CI31" s="22" t="str">
        <f t="shared" si="42"/>
        <v/>
      </c>
      <c r="CJ31" s="22" t="str">
        <f t="shared" si="43"/>
        <v/>
      </c>
      <c r="CK31" s="22" t="str">
        <f t="shared" si="44"/>
        <v/>
      </c>
      <c r="CL31" s="22" t="str">
        <f t="shared" si="45"/>
        <v/>
      </c>
      <c r="CM31" s="22" t="str">
        <f t="shared" si="46"/>
        <v/>
      </c>
      <c r="CN31" s="22" t="str">
        <f t="shared" si="47"/>
        <v/>
      </c>
      <c r="CO31" s="22" t="str">
        <f t="shared" si="48"/>
        <v/>
      </c>
      <c r="CP31" s="22" t="str">
        <f t="shared" si="49"/>
        <v/>
      </c>
      <c r="CQ31" s="22">
        <f t="shared" si="75"/>
        <v>0</v>
      </c>
      <c r="CR31" s="22">
        <f t="shared" si="3"/>
        <v>0</v>
      </c>
      <c r="CS31" s="22" t="str">
        <f t="shared" si="50"/>
        <v/>
      </c>
      <c r="CT31" s="22" t="str">
        <f t="shared" si="51"/>
        <v/>
      </c>
      <c r="CU31" s="22" t="str">
        <f t="shared" si="52"/>
        <v/>
      </c>
      <c r="CV31" s="22" t="str">
        <f t="shared" si="53"/>
        <v/>
      </c>
      <c r="CW31" s="22" t="str">
        <f t="shared" si="54"/>
        <v/>
      </c>
      <c r="CX31" s="22" t="str">
        <f t="shared" si="55"/>
        <v/>
      </c>
      <c r="CY31" s="22" t="str">
        <f t="shared" si="56"/>
        <v/>
      </c>
      <c r="CZ31" s="22" t="str">
        <f t="shared" si="57"/>
        <v/>
      </c>
      <c r="DA31" s="22" t="str">
        <f t="shared" si="58"/>
        <v/>
      </c>
      <c r="DB31" s="22" t="str">
        <f t="shared" si="59"/>
        <v/>
      </c>
      <c r="DC31" s="22" t="str">
        <f t="shared" si="60"/>
        <v/>
      </c>
      <c r="DD31" s="22" t="str">
        <f t="shared" si="61"/>
        <v/>
      </c>
      <c r="DE31" s="22" t="str">
        <f t="shared" si="62"/>
        <v/>
      </c>
      <c r="DF31" s="22" t="str">
        <f t="shared" si="63"/>
        <v/>
      </c>
      <c r="DG31" s="22" t="str">
        <f t="shared" si="64"/>
        <v/>
      </c>
      <c r="DH31" s="22" t="str">
        <f t="shared" si="65"/>
        <v/>
      </c>
      <c r="DI31" s="22" t="str">
        <f t="shared" si="66"/>
        <v/>
      </c>
      <c r="DJ31" s="22" t="str">
        <f t="shared" si="67"/>
        <v/>
      </c>
      <c r="DK31" s="22" t="str">
        <f t="shared" si="68"/>
        <v/>
      </c>
      <c r="DL31" s="22" t="str">
        <f t="shared" si="69"/>
        <v/>
      </c>
      <c r="DM31" s="22">
        <f t="shared" si="70"/>
        <v>0</v>
      </c>
      <c r="DN31" s="36">
        <f t="shared" ref="DN31:DW31" si="120">DN30</f>
        <v>0</v>
      </c>
      <c r="DO31" s="36">
        <f t="shared" si="120"/>
        <v>0</v>
      </c>
      <c r="DP31" s="36">
        <f t="shared" si="120"/>
        <v>0</v>
      </c>
      <c r="DQ31" s="36">
        <f t="shared" si="120"/>
        <v>0</v>
      </c>
      <c r="DR31" s="36">
        <f t="shared" si="120"/>
        <v>0</v>
      </c>
      <c r="DS31" s="36">
        <f t="shared" si="120"/>
        <v>0</v>
      </c>
      <c r="DT31" s="36">
        <f t="shared" si="120"/>
        <v>0</v>
      </c>
      <c r="DU31" s="36">
        <f t="shared" si="120"/>
        <v>0</v>
      </c>
      <c r="DV31" s="36">
        <f t="shared" si="120"/>
        <v>0</v>
      </c>
      <c r="DW31" s="36">
        <f t="shared" si="120"/>
        <v>0</v>
      </c>
      <c r="DX31" s="23">
        <f t="shared" si="90"/>
        <v>0</v>
      </c>
      <c r="DY31" s="23">
        <f t="shared" si="98"/>
        <v>0</v>
      </c>
      <c r="DZ31" s="23">
        <f t="shared" si="99"/>
        <v>0</v>
      </c>
      <c r="EA31" s="23">
        <f t="shared" si="100"/>
        <v>0</v>
      </c>
      <c r="EB31" s="23">
        <f t="shared" si="101"/>
        <v>0</v>
      </c>
      <c r="EC31" s="23">
        <f t="shared" si="102"/>
        <v>0</v>
      </c>
      <c r="ED31" s="23">
        <f t="shared" si="103"/>
        <v>0</v>
      </c>
      <c r="EE31" s="23">
        <f t="shared" si="104"/>
        <v>0</v>
      </c>
      <c r="EF31" s="23">
        <f t="shared" si="105"/>
        <v>0</v>
      </c>
      <c r="EG31" s="23">
        <f t="shared" si="106"/>
        <v>0</v>
      </c>
      <c r="EH31" s="23">
        <f t="shared" si="107"/>
        <v>0</v>
      </c>
      <c r="EI31" s="23">
        <f t="shared" si="87"/>
        <v>0</v>
      </c>
      <c r="EJ31" s="23">
        <f t="shared" si="88"/>
        <v>0</v>
      </c>
    </row>
    <row r="32" spans="1:140" ht="9.9" customHeight="1" x14ac:dyDescent="0.3">
      <c r="A32" s="23">
        <v>23</v>
      </c>
      <c r="B32" s="37" t="str">
        <f>IF(ISBLANK(Informations!B33),"",Informations!B33)</f>
        <v>MORA, CLAURENCE  C.</v>
      </c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9" t="e">
        <f t="shared" si="6"/>
        <v>#DIV/0!</v>
      </c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40" t="str">
        <f t="shared" si="7"/>
        <v xml:space="preserve"> </v>
      </c>
      <c r="AI32" s="40" t="str">
        <f t="shared" si="8"/>
        <v xml:space="preserve"> </v>
      </c>
      <c r="AJ32" s="40" t="str">
        <f t="shared" si="9"/>
        <v xml:space="preserve"> </v>
      </c>
      <c r="AK32" s="40" t="str">
        <f t="shared" si="10"/>
        <v xml:space="preserve"> </v>
      </c>
      <c r="AL32" s="40" t="str">
        <f t="shared" si="11"/>
        <v xml:space="preserve"> </v>
      </c>
      <c r="AM32" s="40" t="str">
        <f t="shared" si="12"/>
        <v xml:space="preserve"> </v>
      </c>
      <c r="AN32" s="40" t="str">
        <f t="shared" si="13"/>
        <v xml:space="preserve"> </v>
      </c>
      <c r="AO32" s="40" t="str">
        <f t="shared" si="14"/>
        <v xml:space="preserve"> </v>
      </c>
      <c r="AP32" s="40" t="str">
        <f t="shared" si="15"/>
        <v xml:space="preserve"> </v>
      </c>
      <c r="AQ32" s="40" t="str">
        <f t="shared" si="16"/>
        <v xml:space="preserve"> </v>
      </c>
      <c r="AR32" s="41" t="e">
        <f t="shared" si="17"/>
        <v>#DIV/0!</v>
      </c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42" t="str">
        <f t="shared" si="18"/>
        <v xml:space="preserve"> </v>
      </c>
      <c r="BD32" s="42" t="str">
        <f t="shared" si="19"/>
        <v xml:space="preserve"> </v>
      </c>
      <c r="BE32" s="42" t="str">
        <f t="shared" si="20"/>
        <v xml:space="preserve"> </v>
      </c>
      <c r="BF32" s="42" t="str">
        <f t="shared" si="21"/>
        <v xml:space="preserve"> </v>
      </c>
      <c r="BG32" s="42" t="str">
        <f t="shared" si="22"/>
        <v xml:space="preserve"> </v>
      </c>
      <c r="BH32" s="42" t="str">
        <f t="shared" si="23"/>
        <v xml:space="preserve"> </v>
      </c>
      <c r="BI32" s="42" t="str">
        <f t="shared" si="24"/>
        <v xml:space="preserve"> </v>
      </c>
      <c r="BJ32" s="42" t="str">
        <f t="shared" si="25"/>
        <v xml:space="preserve"> </v>
      </c>
      <c r="BK32" s="42" t="str">
        <f t="shared" si="26"/>
        <v xml:space="preserve"> </v>
      </c>
      <c r="BL32" s="42" t="str">
        <f t="shared" si="27"/>
        <v xml:space="preserve"> </v>
      </c>
      <c r="BM32" s="43" t="e">
        <f t="shared" si="28"/>
        <v>#DIV/0!</v>
      </c>
      <c r="BN32" s="38"/>
      <c r="BO32" s="44" t="e">
        <f t="shared" si="29"/>
        <v>#DIV/0!</v>
      </c>
      <c r="BP32" s="20"/>
      <c r="BQ32" s="39" t="e">
        <f t="shared" si="73"/>
        <v>#DIV/0!</v>
      </c>
      <c r="BR32" s="23" t="e">
        <f t="shared" si="96"/>
        <v>#DIV/0!</v>
      </c>
      <c r="BS32" s="45"/>
      <c r="BT32" s="46"/>
      <c r="BU32" s="46"/>
      <c r="BV32" s="46"/>
      <c r="BW32" s="21" t="str">
        <f t="shared" si="30"/>
        <v/>
      </c>
      <c r="BX32" s="22" t="str">
        <f t="shared" si="31"/>
        <v/>
      </c>
      <c r="BY32" s="22" t="str">
        <f t="shared" si="32"/>
        <v/>
      </c>
      <c r="BZ32" s="22" t="str">
        <f t="shared" si="33"/>
        <v/>
      </c>
      <c r="CA32" s="22" t="str">
        <f t="shared" si="34"/>
        <v/>
      </c>
      <c r="CB32" s="22" t="str">
        <f t="shared" si="35"/>
        <v/>
      </c>
      <c r="CC32" s="22" t="str">
        <f t="shared" si="36"/>
        <v/>
      </c>
      <c r="CD32" s="22" t="str">
        <f t="shared" si="37"/>
        <v/>
      </c>
      <c r="CE32" s="22" t="str">
        <f t="shared" si="38"/>
        <v/>
      </c>
      <c r="CF32" s="22" t="str">
        <f t="shared" si="39"/>
        <v/>
      </c>
      <c r="CG32" s="22" t="str">
        <f t="shared" si="40"/>
        <v/>
      </c>
      <c r="CH32" s="22" t="str">
        <f t="shared" si="41"/>
        <v/>
      </c>
      <c r="CI32" s="22" t="str">
        <f t="shared" si="42"/>
        <v/>
      </c>
      <c r="CJ32" s="22" t="str">
        <f t="shared" si="43"/>
        <v/>
      </c>
      <c r="CK32" s="22" t="str">
        <f t="shared" si="44"/>
        <v/>
      </c>
      <c r="CL32" s="22" t="str">
        <f t="shared" si="45"/>
        <v/>
      </c>
      <c r="CM32" s="22" t="str">
        <f t="shared" si="46"/>
        <v/>
      </c>
      <c r="CN32" s="22" t="str">
        <f t="shared" si="47"/>
        <v/>
      </c>
      <c r="CO32" s="22" t="str">
        <f t="shared" si="48"/>
        <v/>
      </c>
      <c r="CP32" s="22" t="str">
        <f t="shared" si="49"/>
        <v/>
      </c>
      <c r="CQ32" s="22">
        <f t="shared" si="75"/>
        <v>0</v>
      </c>
      <c r="CR32" s="22">
        <f t="shared" si="3"/>
        <v>0</v>
      </c>
      <c r="CS32" s="22" t="str">
        <f t="shared" si="50"/>
        <v/>
      </c>
      <c r="CT32" s="22" t="str">
        <f t="shared" si="51"/>
        <v/>
      </c>
      <c r="CU32" s="22" t="str">
        <f t="shared" si="52"/>
        <v/>
      </c>
      <c r="CV32" s="22" t="str">
        <f t="shared" si="53"/>
        <v/>
      </c>
      <c r="CW32" s="22" t="str">
        <f t="shared" si="54"/>
        <v/>
      </c>
      <c r="CX32" s="22" t="str">
        <f t="shared" si="55"/>
        <v/>
      </c>
      <c r="CY32" s="22" t="str">
        <f t="shared" si="56"/>
        <v/>
      </c>
      <c r="CZ32" s="22" t="str">
        <f t="shared" si="57"/>
        <v/>
      </c>
      <c r="DA32" s="22" t="str">
        <f t="shared" si="58"/>
        <v/>
      </c>
      <c r="DB32" s="22" t="str">
        <f t="shared" si="59"/>
        <v/>
      </c>
      <c r="DC32" s="22" t="str">
        <f t="shared" si="60"/>
        <v/>
      </c>
      <c r="DD32" s="22" t="str">
        <f t="shared" si="61"/>
        <v/>
      </c>
      <c r="DE32" s="22" t="str">
        <f t="shared" si="62"/>
        <v/>
      </c>
      <c r="DF32" s="22" t="str">
        <f t="shared" si="63"/>
        <v/>
      </c>
      <c r="DG32" s="22" t="str">
        <f t="shared" si="64"/>
        <v/>
      </c>
      <c r="DH32" s="22" t="str">
        <f t="shared" si="65"/>
        <v/>
      </c>
      <c r="DI32" s="22" t="str">
        <f t="shared" si="66"/>
        <v/>
      </c>
      <c r="DJ32" s="22" t="str">
        <f t="shared" si="67"/>
        <v/>
      </c>
      <c r="DK32" s="22" t="str">
        <f t="shared" si="68"/>
        <v/>
      </c>
      <c r="DL32" s="22" t="str">
        <f t="shared" si="69"/>
        <v/>
      </c>
      <c r="DM32" s="22">
        <f t="shared" si="70"/>
        <v>0</v>
      </c>
      <c r="DN32" s="36">
        <f t="shared" ref="DN32:DW32" si="121">DN31</f>
        <v>0</v>
      </c>
      <c r="DO32" s="36">
        <f t="shared" si="121"/>
        <v>0</v>
      </c>
      <c r="DP32" s="36">
        <f t="shared" si="121"/>
        <v>0</v>
      </c>
      <c r="DQ32" s="36">
        <f t="shared" si="121"/>
        <v>0</v>
      </c>
      <c r="DR32" s="36">
        <f t="shared" si="121"/>
        <v>0</v>
      </c>
      <c r="DS32" s="36">
        <f t="shared" si="121"/>
        <v>0</v>
      </c>
      <c r="DT32" s="36">
        <f t="shared" si="121"/>
        <v>0</v>
      </c>
      <c r="DU32" s="36">
        <f t="shared" si="121"/>
        <v>0</v>
      </c>
      <c r="DV32" s="36">
        <f t="shared" si="121"/>
        <v>0</v>
      </c>
      <c r="DW32" s="36">
        <f t="shared" si="121"/>
        <v>0</v>
      </c>
      <c r="DX32" s="23">
        <f t="shared" si="90"/>
        <v>0</v>
      </c>
      <c r="DY32" s="23">
        <f t="shared" si="98"/>
        <v>0</v>
      </c>
      <c r="DZ32" s="23">
        <f t="shared" si="99"/>
        <v>0</v>
      </c>
      <c r="EA32" s="23">
        <f t="shared" si="100"/>
        <v>0</v>
      </c>
      <c r="EB32" s="23">
        <f t="shared" si="101"/>
        <v>0</v>
      </c>
      <c r="EC32" s="23">
        <f t="shared" si="102"/>
        <v>0</v>
      </c>
      <c r="ED32" s="23">
        <f t="shared" si="103"/>
        <v>0</v>
      </c>
      <c r="EE32" s="23">
        <f t="shared" si="104"/>
        <v>0</v>
      </c>
      <c r="EF32" s="23">
        <f t="shared" si="105"/>
        <v>0</v>
      </c>
      <c r="EG32" s="23">
        <f t="shared" si="106"/>
        <v>0</v>
      </c>
      <c r="EH32" s="23">
        <f t="shared" si="107"/>
        <v>0</v>
      </c>
      <c r="EI32" s="23">
        <f t="shared" si="87"/>
        <v>0</v>
      </c>
      <c r="EJ32" s="23">
        <f t="shared" si="88"/>
        <v>0</v>
      </c>
    </row>
    <row r="33" spans="1:140" ht="9.9" customHeight="1" x14ac:dyDescent="0.3">
      <c r="A33" s="23">
        <v>24</v>
      </c>
      <c r="B33" s="37" t="str">
        <f>IF(ISBLANK(Informations!B34),"",Informations!B34)</f>
        <v>MORALES, JANE MANELYN C.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9" t="e">
        <f t="shared" si="6"/>
        <v>#DIV/0!</v>
      </c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40" t="str">
        <f t="shared" si="7"/>
        <v xml:space="preserve"> </v>
      </c>
      <c r="AI33" s="40" t="str">
        <f t="shared" si="8"/>
        <v xml:space="preserve"> </v>
      </c>
      <c r="AJ33" s="40" t="str">
        <f t="shared" si="9"/>
        <v xml:space="preserve"> </v>
      </c>
      <c r="AK33" s="40" t="str">
        <f t="shared" si="10"/>
        <v xml:space="preserve"> </v>
      </c>
      <c r="AL33" s="40" t="str">
        <f t="shared" si="11"/>
        <v xml:space="preserve"> </v>
      </c>
      <c r="AM33" s="40" t="str">
        <f t="shared" si="12"/>
        <v xml:space="preserve"> </v>
      </c>
      <c r="AN33" s="40" t="str">
        <f t="shared" si="13"/>
        <v xml:space="preserve"> </v>
      </c>
      <c r="AO33" s="40" t="str">
        <f t="shared" si="14"/>
        <v xml:space="preserve"> </v>
      </c>
      <c r="AP33" s="40" t="str">
        <f t="shared" si="15"/>
        <v xml:space="preserve"> </v>
      </c>
      <c r="AQ33" s="40" t="str">
        <f t="shared" si="16"/>
        <v xml:space="preserve"> </v>
      </c>
      <c r="AR33" s="41" t="e">
        <f t="shared" si="17"/>
        <v>#DIV/0!</v>
      </c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42" t="str">
        <f t="shared" si="18"/>
        <v xml:space="preserve"> </v>
      </c>
      <c r="BD33" s="42" t="str">
        <f t="shared" si="19"/>
        <v xml:space="preserve"> </v>
      </c>
      <c r="BE33" s="42" t="str">
        <f t="shared" si="20"/>
        <v xml:space="preserve"> </v>
      </c>
      <c r="BF33" s="42" t="str">
        <f t="shared" si="21"/>
        <v xml:space="preserve"> </v>
      </c>
      <c r="BG33" s="42" t="str">
        <f t="shared" si="22"/>
        <v xml:space="preserve"> </v>
      </c>
      <c r="BH33" s="42" t="str">
        <f t="shared" si="23"/>
        <v xml:space="preserve"> </v>
      </c>
      <c r="BI33" s="42" t="str">
        <f t="shared" si="24"/>
        <v xml:space="preserve"> </v>
      </c>
      <c r="BJ33" s="42" t="str">
        <f t="shared" si="25"/>
        <v xml:space="preserve"> </v>
      </c>
      <c r="BK33" s="42" t="str">
        <f t="shared" si="26"/>
        <v xml:space="preserve"> </v>
      </c>
      <c r="BL33" s="42" t="str">
        <f t="shared" si="27"/>
        <v xml:space="preserve"> </v>
      </c>
      <c r="BM33" s="43" t="e">
        <f t="shared" si="28"/>
        <v>#DIV/0!</v>
      </c>
      <c r="BN33" s="38"/>
      <c r="BO33" s="44" t="e">
        <f t="shared" si="29"/>
        <v>#DIV/0!</v>
      </c>
      <c r="BP33" s="20"/>
      <c r="BQ33" s="39" t="e">
        <f t="shared" si="73"/>
        <v>#DIV/0!</v>
      </c>
      <c r="BR33" s="23" t="e">
        <f t="shared" si="96"/>
        <v>#DIV/0!</v>
      </c>
      <c r="BS33" s="45"/>
      <c r="BT33" s="46"/>
      <c r="BU33" s="46"/>
      <c r="BV33" s="46"/>
      <c r="BW33" s="21" t="str">
        <f t="shared" si="30"/>
        <v/>
      </c>
      <c r="BX33" s="22" t="str">
        <f t="shared" si="31"/>
        <v/>
      </c>
      <c r="BY33" s="22" t="str">
        <f t="shared" si="32"/>
        <v/>
      </c>
      <c r="BZ33" s="22" t="str">
        <f t="shared" si="33"/>
        <v/>
      </c>
      <c r="CA33" s="22" t="str">
        <f t="shared" si="34"/>
        <v/>
      </c>
      <c r="CB33" s="22" t="str">
        <f t="shared" si="35"/>
        <v/>
      </c>
      <c r="CC33" s="22" t="str">
        <f t="shared" si="36"/>
        <v/>
      </c>
      <c r="CD33" s="22" t="str">
        <f t="shared" si="37"/>
        <v/>
      </c>
      <c r="CE33" s="22" t="str">
        <f t="shared" si="38"/>
        <v/>
      </c>
      <c r="CF33" s="22" t="str">
        <f t="shared" si="39"/>
        <v/>
      </c>
      <c r="CG33" s="22" t="str">
        <f t="shared" si="40"/>
        <v/>
      </c>
      <c r="CH33" s="22" t="str">
        <f t="shared" si="41"/>
        <v/>
      </c>
      <c r="CI33" s="22" t="str">
        <f t="shared" si="42"/>
        <v/>
      </c>
      <c r="CJ33" s="22" t="str">
        <f t="shared" si="43"/>
        <v/>
      </c>
      <c r="CK33" s="22" t="str">
        <f t="shared" si="44"/>
        <v/>
      </c>
      <c r="CL33" s="22" t="str">
        <f t="shared" si="45"/>
        <v/>
      </c>
      <c r="CM33" s="22" t="str">
        <f t="shared" si="46"/>
        <v/>
      </c>
      <c r="CN33" s="22" t="str">
        <f t="shared" si="47"/>
        <v/>
      </c>
      <c r="CO33" s="22" t="str">
        <f t="shared" si="48"/>
        <v/>
      </c>
      <c r="CP33" s="22" t="str">
        <f t="shared" si="49"/>
        <v/>
      </c>
      <c r="CQ33" s="22">
        <f t="shared" si="75"/>
        <v>0</v>
      </c>
      <c r="CR33" s="22">
        <f t="shared" si="3"/>
        <v>0</v>
      </c>
      <c r="CS33" s="22" t="str">
        <f t="shared" si="50"/>
        <v/>
      </c>
      <c r="CT33" s="22" t="str">
        <f t="shared" si="51"/>
        <v/>
      </c>
      <c r="CU33" s="22" t="str">
        <f t="shared" si="52"/>
        <v/>
      </c>
      <c r="CV33" s="22" t="str">
        <f t="shared" si="53"/>
        <v/>
      </c>
      <c r="CW33" s="22" t="str">
        <f t="shared" si="54"/>
        <v/>
      </c>
      <c r="CX33" s="22" t="str">
        <f t="shared" si="55"/>
        <v/>
      </c>
      <c r="CY33" s="22" t="str">
        <f t="shared" si="56"/>
        <v/>
      </c>
      <c r="CZ33" s="22" t="str">
        <f t="shared" si="57"/>
        <v/>
      </c>
      <c r="DA33" s="22" t="str">
        <f t="shared" si="58"/>
        <v/>
      </c>
      <c r="DB33" s="22" t="str">
        <f t="shared" si="59"/>
        <v/>
      </c>
      <c r="DC33" s="22" t="str">
        <f t="shared" si="60"/>
        <v/>
      </c>
      <c r="DD33" s="22" t="str">
        <f t="shared" si="61"/>
        <v/>
      </c>
      <c r="DE33" s="22" t="str">
        <f t="shared" si="62"/>
        <v/>
      </c>
      <c r="DF33" s="22" t="str">
        <f t="shared" si="63"/>
        <v/>
      </c>
      <c r="DG33" s="22" t="str">
        <f t="shared" si="64"/>
        <v/>
      </c>
      <c r="DH33" s="22" t="str">
        <f t="shared" si="65"/>
        <v/>
      </c>
      <c r="DI33" s="22" t="str">
        <f t="shared" si="66"/>
        <v/>
      </c>
      <c r="DJ33" s="22" t="str">
        <f t="shared" si="67"/>
        <v/>
      </c>
      <c r="DK33" s="22" t="str">
        <f t="shared" si="68"/>
        <v/>
      </c>
      <c r="DL33" s="22" t="str">
        <f t="shared" si="69"/>
        <v/>
      </c>
      <c r="DM33" s="22">
        <f t="shared" si="70"/>
        <v>0</v>
      </c>
      <c r="DN33" s="36">
        <f t="shared" ref="DN33:DW33" si="122">DN32</f>
        <v>0</v>
      </c>
      <c r="DO33" s="36">
        <f t="shared" si="122"/>
        <v>0</v>
      </c>
      <c r="DP33" s="36">
        <f t="shared" si="122"/>
        <v>0</v>
      </c>
      <c r="DQ33" s="36">
        <f t="shared" si="122"/>
        <v>0</v>
      </c>
      <c r="DR33" s="36">
        <f t="shared" si="122"/>
        <v>0</v>
      </c>
      <c r="DS33" s="36">
        <f t="shared" si="122"/>
        <v>0</v>
      </c>
      <c r="DT33" s="36">
        <f t="shared" si="122"/>
        <v>0</v>
      </c>
      <c r="DU33" s="36">
        <f t="shared" si="122"/>
        <v>0</v>
      </c>
      <c r="DV33" s="36">
        <f t="shared" si="122"/>
        <v>0</v>
      </c>
      <c r="DW33" s="36">
        <f t="shared" si="122"/>
        <v>0</v>
      </c>
      <c r="DX33" s="23">
        <f t="shared" si="90"/>
        <v>0</v>
      </c>
      <c r="DY33" s="23">
        <f t="shared" si="98"/>
        <v>0</v>
      </c>
      <c r="DZ33" s="23">
        <f t="shared" si="99"/>
        <v>0</v>
      </c>
      <c r="EA33" s="23">
        <f t="shared" si="100"/>
        <v>0</v>
      </c>
      <c r="EB33" s="23">
        <f t="shared" si="101"/>
        <v>0</v>
      </c>
      <c r="EC33" s="23">
        <f t="shared" si="102"/>
        <v>0</v>
      </c>
      <c r="ED33" s="23">
        <f t="shared" si="103"/>
        <v>0</v>
      </c>
      <c r="EE33" s="23">
        <f t="shared" si="104"/>
        <v>0</v>
      </c>
      <c r="EF33" s="23">
        <f t="shared" si="105"/>
        <v>0</v>
      </c>
      <c r="EG33" s="23">
        <f t="shared" si="106"/>
        <v>0</v>
      </c>
      <c r="EH33" s="23">
        <f t="shared" si="107"/>
        <v>0</v>
      </c>
      <c r="EI33" s="23">
        <f t="shared" si="87"/>
        <v>0</v>
      </c>
      <c r="EJ33" s="23">
        <f t="shared" si="88"/>
        <v>0</v>
      </c>
    </row>
    <row r="34" spans="1:140" ht="9.9" customHeight="1" x14ac:dyDescent="0.3">
      <c r="A34" s="23">
        <v>25</v>
      </c>
      <c r="B34" s="37" t="str">
        <f>IF(ISBLANK(Informations!B35),"",Informations!B35)</f>
        <v>NARAGA,  JHAMAICA R.</v>
      </c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9" t="e">
        <f t="shared" si="6"/>
        <v>#DIV/0!</v>
      </c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40" t="str">
        <f t="shared" si="7"/>
        <v xml:space="preserve"> </v>
      </c>
      <c r="AI34" s="40" t="str">
        <f t="shared" si="8"/>
        <v xml:space="preserve"> </v>
      </c>
      <c r="AJ34" s="40" t="str">
        <f t="shared" si="9"/>
        <v xml:space="preserve"> </v>
      </c>
      <c r="AK34" s="40" t="str">
        <f t="shared" si="10"/>
        <v xml:space="preserve"> </v>
      </c>
      <c r="AL34" s="40" t="str">
        <f t="shared" si="11"/>
        <v xml:space="preserve"> </v>
      </c>
      <c r="AM34" s="40" t="str">
        <f t="shared" si="12"/>
        <v xml:space="preserve"> </v>
      </c>
      <c r="AN34" s="40" t="str">
        <f t="shared" si="13"/>
        <v xml:space="preserve"> </v>
      </c>
      <c r="AO34" s="40" t="str">
        <f t="shared" si="14"/>
        <v xml:space="preserve"> </v>
      </c>
      <c r="AP34" s="40" t="str">
        <f t="shared" si="15"/>
        <v xml:space="preserve"> </v>
      </c>
      <c r="AQ34" s="40" t="str">
        <f t="shared" si="16"/>
        <v xml:space="preserve"> </v>
      </c>
      <c r="AR34" s="41" t="e">
        <f t="shared" si="17"/>
        <v>#DIV/0!</v>
      </c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42" t="str">
        <f t="shared" si="18"/>
        <v xml:space="preserve"> </v>
      </c>
      <c r="BD34" s="42" t="str">
        <f t="shared" si="19"/>
        <v xml:space="preserve"> </v>
      </c>
      <c r="BE34" s="42" t="str">
        <f t="shared" si="20"/>
        <v xml:space="preserve"> </v>
      </c>
      <c r="BF34" s="42" t="str">
        <f t="shared" si="21"/>
        <v xml:space="preserve"> </v>
      </c>
      <c r="BG34" s="42" t="str">
        <f t="shared" si="22"/>
        <v xml:space="preserve"> </v>
      </c>
      <c r="BH34" s="42" t="str">
        <f t="shared" si="23"/>
        <v xml:space="preserve"> </v>
      </c>
      <c r="BI34" s="42" t="str">
        <f t="shared" si="24"/>
        <v xml:space="preserve"> </v>
      </c>
      <c r="BJ34" s="42" t="str">
        <f t="shared" si="25"/>
        <v xml:space="preserve"> </v>
      </c>
      <c r="BK34" s="42" t="str">
        <f t="shared" si="26"/>
        <v xml:space="preserve"> </v>
      </c>
      <c r="BL34" s="42" t="str">
        <f t="shared" si="27"/>
        <v xml:space="preserve"> </v>
      </c>
      <c r="BM34" s="43" t="e">
        <f t="shared" si="28"/>
        <v>#DIV/0!</v>
      </c>
      <c r="BN34" s="38"/>
      <c r="BO34" s="44" t="e">
        <f t="shared" si="29"/>
        <v>#DIV/0!</v>
      </c>
      <c r="BP34" s="20"/>
      <c r="BQ34" s="39" t="e">
        <f t="shared" si="73"/>
        <v>#DIV/0!</v>
      </c>
      <c r="BR34" s="23" t="e">
        <f t="shared" si="96"/>
        <v>#DIV/0!</v>
      </c>
      <c r="BS34" s="45"/>
      <c r="BT34" s="46"/>
      <c r="BU34" s="46"/>
      <c r="BV34" s="46"/>
      <c r="BW34" s="21" t="str">
        <f t="shared" si="30"/>
        <v/>
      </c>
      <c r="BX34" s="22" t="str">
        <f t="shared" si="31"/>
        <v/>
      </c>
      <c r="BY34" s="22" t="str">
        <f t="shared" si="32"/>
        <v/>
      </c>
      <c r="BZ34" s="22" t="str">
        <f t="shared" si="33"/>
        <v/>
      </c>
      <c r="CA34" s="22" t="str">
        <f t="shared" si="34"/>
        <v/>
      </c>
      <c r="CB34" s="22" t="str">
        <f t="shared" si="35"/>
        <v/>
      </c>
      <c r="CC34" s="22" t="str">
        <f t="shared" si="36"/>
        <v/>
      </c>
      <c r="CD34" s="22" t="str">
        <f t="shared" si="37"/>
        <v/>
      </c>
      <c r="CE34" s="22" t="str">
        <f t="shared" si="38"/>
        <v/>
      </c>
      <c r="CF34" s="22" t="str">
        <f t="shared" si="39"/>
        <v/>
      </c>
      <c r="CG34" s="22" t="str">
        <f t="shared" si="40"/>
        <v/>
      </c>
      <c r="CH34" s="22" t="str">
        <f t="shared" si="41"/>
        <v/>
      </c>
      <c r="CI34" s="22" t="str">
        <f t="shared" si="42"/>
        <v/>
      </c>
      <c r="CJ34" s="22" t="str">
        <f t="shared" si="43"/>
        <v/>
      </c>
      <c r="CK34" s="22" t="str">
        <f t="shared" si="44"/>
        <v/>
      </c>
      <c r="CL34" s="22" t="str">
        <f t="shared" si="45"/>
        <v/>
      </c>
      <c r="CM34" s="22" t="str">
        <f t="shared" si="46"/>
        <v/>
      </c>
      <c r="CN34" s="22" t="str">
        <f t="shared" si="47"/>
        <v/>
      </c>
      <c r="CO34" s="22" t="str">
        <f t="shared" si="48"/>
        <v/>
      </c>
      <c r="CP34" s="22" t="str">
        <f t="shared" si="49"/>
        <v/>
      </c>
      <c r="CQ34" s="22">
        <f t="shared" si="75"/>
        <v>0</v>
      </c>
      <c r="CR34" s="22">
        <f t="shared" si="3"/>
        <v>0</v>
      </c>
      <c r="CS34" s="22" t="str">
        <f t="shared" si="50"/>
        <v/>
      </c>
      <c r="CT34" s="22" t="str">
        <f t="shared" si="51"/>
        <v/>
      </c>
      <c r="CU34" s="22" t="str">
        <f t="shared" si="52"/>
        <v/>
      </c>
      <c r="CV34" s="22" t="str">
        <f t="shared" si="53"/>
        <v/>
      </c>
      <c r="CW34" s="22" t="str">
        <f t="shared" si="54"/>
        <v/>
      </c>
      <c r="CX34" s="22" t="str">
        <f t="shared" si="55"/>
        <v/>
      </c>
      <c r="CY34" s="22" t="str">
        <f t="shared" si="56"/>
        <v/>
      </c>
      <c r="CZ34" s="22" t="str">
        <f t="shared" si="57"/>
        <v/>
      </c>
      <c r="DA34" s="22" t="str">
        <f t="shared" si="58"/>
        <v/>
      </c>
      <c r="DB34" s="22" t="str">
        <f t="shared" si="59"/>
        <v/>
      </c>
      <c r="DC34" s="22" t="str">
        <f t="shared" si="60"/>
        <v/>
      </c>
      <c r="DD34" s="22" t="str">
        <f t="shared" si="61"/>
        <v/>
      </c>
      <c r="DE34" s="22" t="str">
        <f t="shared" si="62"/>
        <v/>
      </c>
      <c r="DF34" s="22" t="str">
        <f t="shared" si="63"/>
        <v/>
      </c>
      <c r="DG34" s="22" t="str">
        <f t="shared" si="64"/>
        <v/>
      </c>
      <c r="DH34" s="22" t="str">
        <f t="shared" si="65"/>
        <v/>
      </c>
      <c r="DI34" s="22" t="str">
        <f t="shared" si="66"/>
        <v/>
      </c>
      <c r="DJ34" s="22" t="str">
        <f t="shared" si="67"/>
        <v/>
      </c>
      <c r="DK34" s="22" t="str">
        <f t="shared" si="68"/>
        <v/>
      </c>
      <c r="DL34" s="22" t="str">
        <f t="shared" si="69"/>
        <v/>
      </c>
      <c r="DM34" s="22">
        <f t="shared" si="70"/>
        <v>0</v>
      </c>
      <c r="DN34" s="36">
        <f t="shared" ref="DN34:DW34" si="123">DN33</f>
        <v>0</v>
      </c>
      <c r="DO34" s="36">
        <f t="shared" si="123"/>
        <v>0</v>
      </c>
      <c r="DP34" s="36">
        <f t="shared" si="123"/>
        <v>0</v>
      </c>
      <c r="DQ34" s="36">
        <f t="shared" si="123"/>
        <v>0</v>
      </c>
      <c r="DR34" s="36">
        <f t="shared" si="123"/>
        <v>0</v>
      </c>
      <c r="DS34" s="36">
        <f t="shared" si="123"/>
        <v>0</v>
      </c>
      <c r="DT34" s="36">
        <f t="shared" si="123"/>
        <v>0</v>
      </c>
      <c r="DU34" s="36">
        <f t="shared" si="123"/>
        <v>0</v>
      </c>
      <c r="DV34" s="36">
        <f t="shared" si="123"/>
        <v>0</v>
      </c>
      <c r="DW34" s="36">
        <f t="shared" si="123"/>
        <v>0</v>
      </c>
      <c r="DX34" s="23">
        <f t="shared" si="90"/>
        <v>0</v>
      </c>
      <c r="DY34" s="23">
        <f t="shared" si="98"/>
        <v>0</v>
      </c>
      <c r="DZ34" s="23">
        <f t="shared" si="99"/>
        <v>0</v>
      </c>
      <c r="EA34" s="23">
        <f t="shared" si="100"/>
        <v>0</v>
      </c>
      <c r="EB34" s="23">
        <f t="shared" si="101"/>
        <v>0</v>
      </c>
      <c r="EC34" s="23">
        <f t="shared" si="102"/>
        <v>0</v>
      </c>
      <c r="ED34" s="23">
        <f t="shared" si="103"/>
        <v>0</v>
      </c>
      <c r="EE34" s="23">
        <f t="shared" si="104"/>
        <v>0</v>
      </c>
      <c r="EF34" s="23">
        <f t="shared" si="105"/>
        <v>0</v>
      </c>
      <c r="EG34" s="23">
        <f t="shared" si="106"/>
        <v>0</v>
      </c>
      <c r="EH34" s="23">
        <f t="shared" si="107"/>
        <v>0</v>
      </c>
      <c r="EI34" s="23">
        <f t="shared" si="87"/>
        <v>0</v>
      </c>
      <c r="EJ34" s="23">
        <f t="shared" si="88"/>
        <v>0</v>
      </c>
    </row>
    <row r="35" spans="1:140" ht="9.9" customHeight="1" x14ac:dyDescent="0.3">
      <c r="A35" s="23">
        <v>26</v>
      </c>
      <c r="B35" s="37" t="str">
        <f>IF(ISBLANK(Informations!B36),"",Informations!B36)</f>
        <v>ONGQUE, CHERRY A.</v>
      </c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9" t="e">
        <f t="shared" si="6"/>
        <v>#DIV/0!</v>
      </c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40" t="str">
        <f t="shared" si="7"/>
        <v xml:space="preserve"> </v>
      </c>
      <c r="AI35" s="40" t="str">
        <f t="shared" si="8"/>
        <v xml:space="preserve"> </v>
      </c>
      <c r="AJ35" s="40" t="str">
        <f t="shared" si="9"/>
        <v xml:space="preserve"> </v>
      </c>
      <c r="AK35" s="40" t="str">
        <f t="shared" si="10"/>
        <v xml:space="preserve"> </v>
      </c>
      <c r="AL35" s="40" t="str">
        <f t="shared" si="11"/>
        <v xml:space="preserve"> </v>
      </c>
      <c r="AM35" s="40" t="str">
        <f t="shared" si="12"/>
        <v xml:space="preserve"> </v>
      </c>
      <c r="AN35" s="40" t="str">
        <f t="shared" si="13"/>
        <v xml:space="preserve"> </v>
      </c>
      <c r="AO35" s="40" t="str">
        <f t="shared" si="14"/>
        <v xml:space="preserve"> </v>
      </c>
      <c r="AP35" s="40" t="str">
        <f t="shared" si="15"/>
        <v xml:space="preserve"> </v>
      </c>
      <c r="AQ35" s="40" t="str">
        <f t="shared" si="16"/>
        <v xml:space="preserve"> </v>
      </c>
      <c r="AR35" s="41" t="e">
        <f t="shared" si="17"/>
        <v>#DIV/0!</v>
      </c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42" t="str">
        <f t="shared" si="18"/>
        <v xml:space="preserve"> </v>
      </c>
      <c r="BD35" s="42" t="str">
        <f t="shared" si="19"/>
        <v xml:space="preserve"> </v>
      </c>
      <c r="BE35" s="42" t="str">
        <f t="shared" si="20"/>
        <v xml:space="preserve"> </v>
      </c>
      <c r="BF35" s="42" t="str">
        <f t="shared" si="21"/>
        <v xml:space="preserve"> </v>
      </c>
      <c r="BG35" s="42" t="str">
        <f t="shared" si="22"/>
        <v xml:space="preserve"> </v>
      </c>
      <c r="BH35" s="42" t="str">
        <f t="shared" si="23"/>
        <v xml:space="preserve"> </v>
      </c>
      <c r="BI35" s="42" t="str">
        <f t="shared" si="24"/>
        <v xml:space="preserve"> </v>
      </c>
      <c r="BJ35" s="42" t="str">
        <f t="shared" si="25"/>
        <v xml:space="preserve"> </v>
      </c>
      <c r="BK35" s="42" t="str">
        <f t="shared" si="26"/>
        <v xml:space="preserve"> </v>
      </c>
      <c r="BL35" s="42" t="str">
        <f t="shared" si="27"/>
        <v xml:space="preserve"> </v>
      </c>
      <c r="BM35" s="43" t="e">
        <f t="shared" si="28"/>
        <v>#DIV/0!</v>
      </c>
      <c r="BN35" s="38"/>
      <c r="BO35" s="44" t="e">
        <f t="shared" si="29"/>
        <v>#DIV/0!</v>
      </c>
      <c r="BP35" s="20"/>
      <c r="BQ35" s="39" t="e">
        <f t="shared" si="73"/>
        <v>#DIV/0!</v>
      </c>
      <c r="BR35" s="23" t="e">
        <f t="shared" si="96"/>
        <v>#DIV/0!</v>
      </c>
      <c r="BS35" s="45"/>
      <c r="BT35" s="46"/>
      <c r="BU35" s="46"/>
      <c r="BV35" s="46"/>
      <c r="BW35" s="21" t="str">
        <f t="shared" si="30"/>
        <v/>
      </c>
      <c r="BX35" s="22" t="str">
        <f t="shared" si="31"/>
        <v/>
      </c>
      <c r="BY35" s="22" t="str">
        <f t="shared" si="32"/>
        <v/>
      </c>
      <c r="BZ35" s="22" t="str">
        <f t="shared" si="33"/>
        <v/>
      </c>
      <c r="CA35" s="22" t="str">
        <f t="shared" si="34"/>
        <v/>
      </c>
      <c r="CB35" s="22" t="str">
        <f t="shared" si="35"/>
        <v/>
      </c>
      <c r="CC35" s="22" t="str">
        <f t="shared" si="36"/>
        <v/>
      </c>
      <c r="CD35" s="22" t="str">
        <f t="shared" si="37"/>
        <v/>
      </c>
      <c r="CE35" s="22" t="str">
        <f t="shared" si="38"/>
        <v/>
      </c>
      <c r="CF35" s="22" t="str">
        <f t="shared" si="39"/>
        <v/>
      </c>
      <c r="CG35" s="22" t="str">
        <f t="shared" si="40"/>
        <v/>
      </c>
      <c r="CH35" s="22" t="str">
        <f t="shared" si="41"/>
        <v/>
      </c>
      <c r="CI35" s="22" t="str">
        <f t="shared" si="42"/>
        <v/>
      </c>
      <c r="CJ35" s="22" t="str">
        <f t="shared" si="43"/>
        <v/>
      </c>
      <c r="CK35" s="22" t="str">
        <f t="shared" si="44"/>
        <v/>
      </c>
      <c r="CL35" s="22" t="str">
        <f t="shared" si="45"/>
        <v/>
      </c>
      <c r="CM35" s="22" t="str">
        <f t="shared" si="46"/>
        <v/>
      </c>
      <c r="CN35" s="22" t="str">
        <f t="shared" si="47"/>
        <v/>
      </c>
      <c r="CO35" s="22" t="str">
        <f t="shared" si="48"/>
        <v/>
      </c>
      <c r="CP35" s="22" t="str">
        <f t="shared" si="49"/>
        <v/>
      </c>
      <c r="CQ35" s="22">
        <f t="shared" si="75"/>
        <v>0</v>
      </c>
      <c r="CR35" s="22">
        <f t="shared" si="3"/>
        <v>0</v>
      </c>
      <c r="CS35" s="22" t="str">
        <f t="shared" si="50"/>
        <v/>
      </c>
      <c r="CT35" s="22" t="str">
        <f t="shared" si="51"/>
        <v/>
      </c>
      <c r="CU35" s="22" t="str">
        <f t="shared" si="52"/>
        <v/>
      </c>
      <c r="CV35" s="22" t="str">
        <f t="shared" si="53"/>
        <v/>
      </c>
      <c r="CW35" s="22" t="str">
        <f t="shared" si="54"/>
        <v/>
      </c>
      <c r="CX35" s="22" t="str">
        <f t="shared" si="55"/>
        <v/>
      </c>
      <c r="CY35" s="22" t="str">
        <f t="shared" si="56"/>
        <v/>
      </c>
      <c r="CZ35" s="22" t="str">
        <f t="shared" si="57"/>
        <v/>
      </c>
      <c r="DA35" s="22" t="str">
        <f t="shared" si="58"/>
        <v/>
      </c>
      <c r="DB35" s="22" t="str">
        <f t="shared" si="59"/>
        <v/>
      </c>
      <c r="DC35" s="22" t="str">
        <f t="shared" si="60"/>
        <v/>
      </c>
      <c r="DD35" s="22" t="str">
        <f t="shared" si="61"/>
        <v/>
      </c>
      <c r="DE35" s="22" t="str">
        <f t="shared" si="62"/>
        <v/>
      </c>
      <c r="DF35" s="22" t="str">
        <f t="shared" si="63"/>
        <v/>
      </c>
      <c r="DG35" s="22" t="str">
        <f t="shared" si="64"/>
        <v/>
      </c>
      <c r="DH35" s="22" t="str">
        <f t="shared" si="65"/>
        <v/>
      </c>
      <c r="DI35" s="22" t="str">
        <f t="shared" si="66"/>
        <v/>
      </c>
      <c r="DJ35" s="22" t="str">
        <f t="shared" si="67"/>
        <v/>
      </c>
      <c r="DK35" s="22" t="str">
        <f t="shared" si="68"/>
        <v/>
      </c>
      <c r="DL35" s="22" t="str">
        <f t="shared" si="69"/>
        <v/>
      </c>
      <c r="DM35" s="22">
        <f t="shared" si="70"/>
        <v>0</v>
      </c>
      <c r="DN35" s="36">
        <f t="shared" ref="DN35:DW35" si="124">DN34</f>
        <v>0</v>
      </c>
      <c r="DO35" s="36">
        <f t="shared" si="124"/>
        <v>0</v>
      </c>
      <c r="DP35" s="36">
        <f t="shared" si="124"/>
        <v>0</v>
      </c>
      <c r="DQ35" s="36">
        <f t="shared" si="124"/>
        <v>0</v>
      </c>
      <c r="DR35" s="36">
        <f t="shared" si="124"/>
        <v>0</v>
      </c>
      <c r="DS35" s="36">
        <f t="shared" si="124"/>
        <v>0</v>
      </c>
      <c r="DT35" s="36">
        <f t="shared" si="124"/>
        <v>0</v>
      </c>
      <c r="DU35" s="36">
        <f t="shared" si="124"/>
        <v>0</v>
      </c>
      <c r="DV35" s="36">
        <f t="shared" si="124"/>
        <v>0</v>
      </c>
      <c r="DW35" s="36">
        <f t="shared" si="124"/>
        <v>0</v>
      </c>
      <c r="DX35" s="23">
        <f t="shared" si="90"/>
        <v>0</v>
      </c>
      <c r="DY35" s="23">
        <f t="shared" si="98"/>
        <v>0</v>
      </c>
      <c r="DZ35" s="23">
        <f t="shared" si="99"/>
        <v>0</v>
      </c>
      <c r="EA35" s="23">
        <f t="shared" si="100"/>
        <v>0</v>
      </c>
      <c r="EB35" s="23">
        <f t="shared" si="101"/>
        <v>0</v>
      </c>
      <c r="EC35" s="23">
        <f t="shared" si="102"/>
        <v>0</v>
      </c>
      <c r="ED35" s="23">
        <f t="shared" si="103"/>
        <v>0</v>
      </c>
      <c r="EE35" s="23">
        <f t="shared" si="104"/>
        <v>0</v>
      </c>
      <c r="EF35" s="23">
        <f t="shared" si="105"/>
        <v>0</v>
      </c>
      <c r="EG35" s="23">
        <f t="shared" si="106"/>
        <v>0</v>
      </c>
      <c r="EH35" s="23">
        <f t="shared" si="107"/>
        <v>0</v>
      </c>
      <c r="EI35" s="23">
        <f t="shared" si="87"/>
        <v>0</v>
      </c>
      <c r="EJ35" s="23">
        <f t="shared" si="88"/>
        <v>0</v>
      </c>
    </row>
    <row r="36" spans="1:140" ht="9.9" customHeight="1" x14ac:dyDescent="0.3">
      <c r="A36" s="23">
        <v>27</v>
      </c>
      <c r="B36" s="37" t="str">
        <f>IF(ISBLANK(Informations!B37),"",Informations!B37)</f>
        <v>PAT, APRIL JANE L.</v>
      </c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9" t="e">
        <f t="shared" si="6"/>
        <v>#DIV/0!</v>
      </c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40" t="str">
        <f t="shared" si="7"/>
        <v xml:space="preserve"> </v>
      </c>
      <c r="AI36" s="40" t="str">
        <f t="shared" si="8"/>
        <v xml:space="preserve"> </v>
      </c>
      <c r="AJ36" s="40" t="str">
        <f t="shared" si="9"/>
        <v xml:space="preserve"> </v>
      </c>
      <c r="AK36" s="40" t="str">
        <f t="shared" si="10"/>
        <v xml:space="preserve"> </v>
      </c>
      <c r="AL36" s="40" t="str">
        <f t="shared" si="11"/>
        <v xml:space="preserve"> </v>
      </c>
      <c r="AM36" s="40" t="str">
        <f t="shared" si="12"/>
        <v xml:space="preserve"> </v>
      </c>
      <c r="AN36" s="40" t="str">
        <f t="shared" si="13"/>
        <v xml:space="preserve"> </v>
      </c>
      <c r="AO36" s="40" t="str">
        <f t="shared" si="14"/>
        <v xml:space="preserve"> </v>
      </c>
      <c r="AP36" s="40" t="str">
        <f t="shared" si="15"/>
        <v xml:space="preserve"> </v>
      </c>
      <c r="AQ36" s="40" t="str">
        <f t="shared" si="16"/>
        <v xml:space="preserve"> </v>
      </c>
      <c r="AR36" s="41" t="e">
        <f t="shared" si="17"/>
        <v>#DIV/0!</v>
      </c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42" t="str">
        <f t="shared" si="18"/>
        <v xml:space="preserve"> </v>
      </c>
      <c r="BD36" s="42" t="str">
        <f t="shared" si="19"/>
        <v xml:space="preserve"> </v>
      </c>
      <c r="BE36" s="42" t="str">
        <f t="shared" si="20"/>
        <v xml:space="preserve"> </v>
      </c>
      <c r="BF36" s="42" t="str">
        <f t="shared" si="21"/>
        <v xml:space="preserve"> </v>
      </c>
      <c r="BG36" s="42" t="str">
        <f t="shared" si="22"/>
        <v xml:space="preserve"> </v>
      </c>
      <c r="BH36" s="42" t="str">
        <f t="shared" si="23"/>
        <v xml:space="preserve"> </v>
      </c>
      <c r="BI36" s="42" t="str">
        <f t="shared" si="24"/>
        <v xml:space="preserve"> </v>
      </c>
      <c r="BJ36" s="42" t="str">
        <f t="shared" si="25"/>
        <v xml:space="preserve"> </v>
      </c>
      <c r="BK36" s="42" t="str">
        <f t="shared" si="26"/>
        <v xml:space="preserve"> </v>
      </c>
      <c r="BL36" s="42" t="str">
        <f t="shared" si="27"/>
        <v xml:space="preserve"> </v>
      </c>
      <c r="BM36" s="43" t="e">
        <f t="shared" si="28"/>
        <v>#DIV/0!</v>
      </c>
      <c r="BN36" s="38"/>
      <c r="BO36" s="44" t="e">
        <f t="shared" si="29"/>
        <v>#DIV/0!</v>
      </c>
      <c r="BP36" s="20"/>
      <c r="BQ36" s="39" t="e">
        <f t="shared" si="73"/>
        <v>#DIV/0!</v>
      </c>
      <c r="BR36" s="23" t="e">
        <f t="shared" si="96"/>
        <v>#DIV/0!</v>
      </c>
      <c r="BS36" s="45"/>
      <c r="BT36" s="46"/>
      <c r="BU36" s="46"/>
      <c r="BV36" s="46"/>
      <c r="BW36" s="21" t="str">
        <f t="shared" si="30"/>
        <v/>
      </c>
      <c r="BX36" s="22" t="str">
        <f t="shared" si="31"/>
        <v/>
      </c>
      <c r="BY36" s="22" t="str">
        <f t="shared" si="32"/>
        <v/>
      </c>
      <c r="BZ36" s="22" t="str">
        <f t="shared" si="33"/>
        <v/>
      </c>
      <c r="CA36" s="22" t="str">
        <f t="shared" si="34"/>
        <v/>
      </c>
      <c r="CB36" s="22" t="str">
        <f t="shared" si="35"/>
        <v/>
      </c>
      <c r="CC36" s="22" t="str">
        <f t="shared" si="36"/>
        <v/>
      </c>
      <c r="CD36" s="22" t="str">
        <f t="shared" si="37"/>
        <v/>
      </c>
      <c r="CE36" s="22" t="str">
        <f t="shared" si="38"/>
        <v/>
      </c>
      <c r="CF36" s="22" t="str">
        <f t="shared" si="39"/>
        <v/>
      </c>
      <c r="CG36" s="22" t="str">
        <f t="shared" si="40"/>
        <v/>
      </c>
      <c r="CH36" s="22" t="str">
        <f t="shared" si="41"/>
        <v/>
      </c>
      <c r="CI36" s="22" t="str">
        <f t="shared" si="42"/>
        <v/>
      </c>
      <c r="CJ36" s="22" t="str">
        <f t="shared" si="43"/>
        <v/>
      </c>
      <c r="CK36" s="22" t="str">
        <f t="shared" si="44"/>
        <v/>
      </c>
      <c r="CL36" s="22" t="str">
        <f t="shared" si="45"/>
        <v/>
      </c>
      <c r="CM36" s="22" t="str">
        <f t="shared" si="46"/>
        <v/>
      </c>
      <c r="CN36" s="22" t="str">
        <f t="shared" si="47"/>
        <v/>
      </c>
      <c r="CO36" s="22" t="str">
        <f t="shared" si="48"/>
        <v/>
      </c>
      <c r="CP36" s="22" t="str">
        <f t="shared" si="49"/>
        <v/>
      </c>
      <c r="CQ36" s="22">
        <f t="shared" si="75"/>
        <v>0</v>
      </c>
      <c r="CR36" s="22">
        <f t="shared" si="3"/>
        <v>0</v>
      </c>
      <c r="CS36" s="22" t="str">
        <f t="shared" si="50"/>
        <v/>
      </c>
      <c r="CT36" s="22" t="str">
        <f t="shared" si="51"/>
        <v/>
      </c>
      <c r="CU36" s="22" t="str">
        <f t="shared" si="52"/>
        <v/>
      </c>
      <c r="CV36" s="22" t="str">
        <f t="shared" si="53"/>
        <v/>
      </c>
      <c r="CW36" s="22" t="str">
        <f t="shared" si="54"/>
        <v/>
      </c>
      <c r="CX36" s="22" t="str">
        <f t="shared" si="55"/>
        <v/>
      </c>
      <c r="CY36" s="22" t="str">
        <f t="shared" si="56"/>
        <v/>
      </c>
      <c r="CZ36" s="22" t="str">
        <f t="shared" si="57"/>
        <v/>
      </c>
      <c r="DA36" s="22" t="str">
        <f t="shared" si="58"/>
        <v/>
      </c>
      <c r="DB36" s="22" t="str">
        <f t="shared" si="59"/>
        <v/>
      </c>
      <c r="DC36" s="22" t="str">
        <f t="shared" si="60"/>
        <v/>
      </c>
      <c r="DD36" s="22" t="str">
        <f t="shared" si="61"/>
        <v/>
      </c>
      <c r="DE36" s="22" t="str">
        <f t="shared" si="62"/>
        <v/>
      </c>
      <c r="DF36" s="22" t="str">
        <f t="shared" si="63"/>
        <v/>
      </c>
      <c r="DG36" s="22" t="str">
        <f t="shared" si="64"/>
        <v/>
      </c>
      <c r="DH36" s="22" t="str">
        <f t="shared" si="65"/>
        <v/>
      </c>
      <c r="DI36" s="22" t="str">
        <f t="shared" si="66"/>
        <v/>
      </c>
      <c r="DJ36" s="22" t="str">
        <f t="shared" si="67"/>
        <v/>
      </c>
      <c r="DK36" s="22" t="str">
        <f t="shared" si="68"/>
        <v/>
      </c>
      <c r="DL36" s="22" t="str">
        <f t="shared" si="69"/>
        <v/>
      </c>
      <c r="DM36" s="22">
        <f t="shared" si="70"/>
        <v>0</v>
      </c>
      <c r="DN36" s="36">
        <f t="shared" ref="DN36:DW36" si="125">DN35</f>
        <v>0</v>
      </c>
      <c r="DO36" s="36">
        <f t="shared" si="125"/>
        <v>0</v>
      </c>
      <c r="DP36" s="36">
        <f t="shared" si="125"/>
        <v>0</v>
      </c>
      <c r="DQ36" s="36">
        <f t="shared" si="125"/>
        <v>0</v>
      </c>
      <c r="DR36" s="36">
        <f t="shared" si="125"/>
        <v>0</v>
      </c>
      <c r="DS36" s="36">
        <f t="shared" si="125"/>
        <v>0</v>
      </c>
      <c r="DT36" s="36">
        <f t="shared" si="125"/>
        <v>0</v>
      </c>
      <c r="DU36" s="36">
        <f t="shared" si="125"/>
        <v>0</v>
      </c>
      <c r="DV36" s="36">
        <f t="shared" si="125"/>
        <v>0</v>
      </c>
      <c r="DW36" s="36">
        <f t="shared" si="125"/>
        <v>0</v>
      </c>
      <c r="DX36" s="23">
        <f t="shared" si="90"/>
        <v>0</v>
      </c>
      <c r="DY36" s="23">
        <f t="shared" si="98"/>
        <v>0</v>
      </c>
      <c r="DZ36" s="23">
        <f t="shared" si="99"/>
        <v>0</v>
      </c>
      <c r="EA36" s="23">
        <f t="shared" si="100"/>
        <v>0</v>
      </c>
      <c r="EB36" s="23">
        <f t="shared" si="101"/>
        <v>0</v>
      </c>
      <c r="EC36" s="23">
        <f t="shared" si="102"/>
        <v>0</v>
      </c>
      <c r="ED36" s="23">
        <f t="shared" si="103"/>
        <v>0</v>
      </c>
      <c r="EE36" s="23">
        <f t="shared" si="104"/>
        <v>0</v>
      </c>
      <c r="EF36" s="23">
        <f t="shared" si="105"/>
        <v>0</v>
      </c>
      <c r="EG36" s="23">
        <f t="shared" si="106"/>
        <v>0</v>
      </c>
      <c r="EH36" s="23">
        <f t="shared" si="107"/>
        <v>0</v>
      </c>
      <c r="EI36" s="23">
        <f t="shared" si="87"/>
        <v>0</v>
      </c>
      <c r="EJ36" s="23">
        <f t="shared" si="88"/>
        <v>0</v>
      </c>
    </row>
    <row r="37" spans="1:140" ht="9.9" customHeight="1" x14ac:dyDescent="0.3">
      <c r="A37" s="23">
        <v>28</v>
      </c>
      <c r="B37" s="37" t="str">
        <f>IF(ISBLANK(Informations!B38),"",Informations!B38)</f>
        <v>RICALDE, HARVEY C.</v>
      </c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9" t="e">
        <f t="shared" si="6"/>
        <v>#DIV/0!</v>
      </c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40" t="str">
        <f t="shared" si="7"/>
        <v xml:space="preserve"> </v>
      </c>
      <c r="AI37" s="40" t="str">
        <f t="shared" si="8"/>
        <v xml:space="preserve"> </v>
      </c>
      <c r="AJ37" s="40" t="str">
        <f t="shared" si="9"/>
        <v xml:space="preserve"> </v>
      </c>
      <c r="AK37" s="40" t="str">
        <f t="shared" si="10"/>
        <v xml:space="preserve"> </v>
      </c>
      <c r="AL37" s="40" t="str">
        <f t="shared" si="11"/>
        <v xml:space="preserve"> </v>
      </c>
      <c r="AM37" s="40" t="str">
        <f t="shared" si="12"/>
        <v xml:space="preserve"> </v>
      </c>
      <c r="AN37" s="40" t="str">
        <f t="shared" si="13"/>
        <v xml:space="preserve"> </v>
      </c>
      <c r="AO37" s="40" t="str">
        <f t="shared" si="14"/>
        <v xml:space="preserve"> </v>
      </c>
      <c r="AP37" s="40" t="str">
        <f t="shared" si="15"/>
        <v xml:space="preserve"> </v>
      </c>
      <c r="AQ37" s="40" t="str">
        <f t="shared" si="16"/>
        <v xml:space="preserve"> </v>
      </c>
      <c r="AR37" s="41" t="e">
        <f t="shared" si="17"/>
        <v>#DIV/0!</v>
      </c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42" t="str">
        <f t="shared" si="18"/>
        <v xml:space="preserve"> </v>
      </c>
      <c r="BD37" s="42" t="str">
        <f t="shared" si="19"/>
        <v xml:space="preserve"> </v>
      </c>
      <c r="BE37" s="42" t="str">
        <f t="shared" si="20"/>
        <v xml:space="preserve"> </v>
      </c>
      <c r="BF37" s="42" t="str">
        <f t="shared" si="21"/>
        <v xml:space="preserve"> </v>
      </c>
      <c r="BG37" s="42" t="str">
        <f t="shared" si="22"/>
        <v xml:space="preserve"> </v>
      </c>
      <c r="BH37" s="42" t="str">
        <f t="shared" si="23"/>
        <v xml:space="preserve"> </v>
      </c>
      <c r="BI37" s="42" t="str">
        <f t="shared" si="24"/>
        <v xml:space="preserve"> </v>
      </c>
      <c r="BJ37" s="42" t="str">
        <f t="shared" si="25"/>
        <v xml:space="preserve"> </v>
      </c>
      <c r="BK37" s="42" t="str">
        <f t="shared" si="26"/>
        <v xml:space="preserve"> </v>
      </c>
      <c r="BL37" s="42" t="str">
        <f t="shared" si="27"/>
        <v xml:space="preserve"> </v>
      </c>
      <c r="BM37" s="43" t="e">
        <f t="shared" si="28"/>
        <v>#DIV/0!</v>
      </c>
      <c r="BN37" s="38"/>
      <c r="BO37" s="44" t="e">
        <f t="shared" si="29"/>
        <v>#DIV/0!</v>
      </c>
      <c r="BP37" s="20"/>
      <c r="BQ37" s="39" t="e">
        <f t="shared" si="73"/>
        <v>#DIV/0!</v>
      </c>
      <c r="BR37" s="23" t="e">
        <f t="shared" si="96"/>
        <v>#DIV/0!</v>
      </c>
      <c r="BS37" s="45"/>
      <c r="BT37" s="46"/>
      <c r="BU37" s="46"/>
      <c r="BV37" s="46"/>
      <c r="BW37" s="21" t="str">
        <f t="shared" si="30"/>
        <v/>
      </c>
      <c r="BX37" s="22" t="str">
        <f t="shared" si="31"/>
        <v/>
      </c>
      <c r="BY37" s="22" t="str">
        <f t="shared" si="32"/>
        <v/>
      </c>
      <c r="BZ37" s="22" t="str">
        <f t="shared" si="33"/>
        <v/>
      </c>
      <c r="CA37" s="22" t="str">
        <f t="shared" si="34"/>
        <v/>
      </c>
      <c r="CB37" s="22" t="str">
        <f t="shared" si="35"/>
        <v/>
      </c>
      <c r="CC37" s="22" t="str">
        <f t="shared" si="36"/>
        <v/>
      </c>
      <c r="CD37" s="22" t="str">
        <f t="shared" si="37"/>
        <v/>
      </c>
      <c r="CE37" s="22" t="str">
        <f t="shared" si="38"/>
        <v/>
      </c>
      <c r="CF37" s="22" t="str">
        <f t="shared" si="39"/>
        <v/>
      </c>
      <c r="CG37" s="22" t="str">
        <f t="shared" si="40"/>
        <v/>
      </c>
      <c r="CH37" s="22" t="str">
        <f t="shared" si="41"/>
        <v/>
      </c>
      <c r="CI37" s="22" t="str">
        <f t="shared" si="42"/>
        <v/>
      </c>
      <c r="CJ37" s="22" t="str">
        <f t="shared" si="43"/>
        <v/>
      </c>
      <c r="CK37" s="22" t="str">
        <f t="shared" si="44"/>
        <v/>
      </c>
      <c r="CL37" s="22" t="str">
        <f t="shared" si="45"/>
        <v/>
      </c>
      <c r="CM37" s="22" t="str">
        <f t="shared" si="46"/>
        <v/>
      </c>
      <c r="CN37" s="22" t="str">
        <f t="shared" si="47"/>
        <v/>
      </c>
      <c r="CO37" s="22" t="str">
        <f t="shared" si="48"/>
        <v/>
      </c>
      <c r="CP37" s="22" t="str">
        <f t="shared" si="49"/>
        <v/>
      </c>
      <c r="CQ37" s="22">
        <f t="shared" si="75"/>
        <v>0</v>
      </c>
      <c r="CR37" s="22">
        <f t="shared" si="3"/>
        <v>0</v>
      </c>
      <c r="CS37" s="22" t="str">
        <f t="shared" si="50"/>
        <v/>
      </c>
      <c r="CT37" s="22" t="str">
        <f t="shared" si="51"/>
        <v/>
      </c>
      <c r="CU37" s="22" t="str">
        <f t="shared" si="52"/>
        <v/>
      </c>
      <c r="CV37" s="22" t="str">
        <f t="shared" si="53"/>
        <v/>
      </c>
      <c r="CW37" s="22" t="str">
        <f t="shared" si="54"/>
        <v/>
      </c>
      <c r="CX37" s="22" t="str">
        <f t="shared" si="55"/>
        <v/>
      </c>
      <c r="CY37" s="22" t="str">
        <f t="shared" si="56"/>
        <v/>
      </c>
      <c r="CZ37" s="22" t="str">
        <f t="shared" si="57"/>
        <v/>
      </c>
      <c r="DA37" s="22" t="str">
        <f t="shared" si="58"/>
        <v/>
      </c>
      <c r="DB37" s="22" t="str">
        <f t="shared" si="59"/>
        <v/>
      </c>
      <c r="DC37" s="22" t="str">
        <f t="shared" si="60"/>
        <v/>
      </c>
      <c r="DD37" s="22" t="str">
        <f t="shared" si="61"/>
        <v/>
      </c>
      <c r="DE37" s="22" t="str">
        <f t="shared" si="62"/>
        <v/>
      </c>
      <c r="DF37" s="22" t="str">
        <f t="shared" si="63"/>
        <v/>
      </c>
      <c r="DG37" s="22" t="str">
        <f t="shared" si="64"/>
        <v/>
      </c>
      <c r="DH37" s="22" t="str">
        <f t="shared" si="65"/>
        <v/>
      </c>
      <c r="DI37" s="22" t="str">
        <f t="shared" si="66"/>
        <v/>
      </c>
      <c r="DJ37" s="22" t="str">
        <f t="shared" si="67"/>
        <v/>
      </c>
      <c r="DK37" s="22" t="str">
        <f t="shared" si="68"/>
        <v/>
      </c>
      <c r="DL37" s="22" t="str">
        <f t="shared" si="69"/>
        <v/>
      </c>
      <c r="DM37" s="22">
        <f t="shared" si="70"/>
        <v>0</v>
      </c>
      <c r="DN37" s="36">
        <f t="shared" ref="DN37:DW37" si="126">DN36</f>
        <v>0</v>
      </c>
      <c r="DO37" s="36">
        <f t="shared" si="126"/>
        <v>0</v>
      </c>
      <c r="DP37" s="36">
        <f t="shared" si="126"/>
        <v>0</v>
      </c>
      <c r="DQ37" s="36">
        <f t="shared" si="126"/>
        <v>0</v>
      </c>
      <c r="DR37" s="36">
        <f t="shared" si="126"/>
        <v>0</v>
      </c>
      <c r="DS37" s="36">
        <f t="shared" si="126"/>
        <v>0</v>
      </c>
      <c r="DT37" s="36">
        <f t="shared" si="126"/>
        <v>0</v>
      </c>
      <c r="DU37" s="36">
        <f t="shared" si="126"/>
        <v>0</v>
      </c>
      <c r="DV37" s="36">
        <f t="shared" si="126"/>
        <v>0</v>
      </c>
      <c r="DW37" s="36">
        <f t="shared" si="126"/>
        <v>0</v>
      </c>
      <c r="DX37" s="23">
        <f t="shared" si="90"/>
        <v>0</v>
      </c>
      <c r="DY37" s="23">
        <f t="shared" si="98"/>
        <v>0</v>
      </c>
      <c r="DZ37" s="23">
        <f t="shared" si="99"/>
        <v>0</v>
      </c>
      <c r="EA37" s="23">
        <f t="shared" si="100"/>
        <v>0</v>
      </c>
      <c r="EB37" s="23">
        <f t="shared" si="101"/>
        <v>0</v>
      </c>
      <c r="EC37" s="23">
        <f t="shared" si="102"/>
        <v>0</v>
      </c>
      <c r="ED37" s="23">
        <f t="shared" si="103"/>
        <v>0</v>
      </c>
      <c r="EE37" s="23">
        <f t="shared" si="104"/>
        <v>0</v>
      </c>
      <c r="EF37" s="23">
        <f t="shared" si="105"/>
        <v>0</v>
      </c>
      <c r="EG37" s="23">
        <f t="shared" si="106"/>
        <v>0</v>
      </c>
      <c r="EH37" s="23">
        <f t="shared" si="107"/>
        <v>0</v>
      </c>
      <c r="EI37" s="23">
        <f t="shared" si="87"/>
        <v>0</v>
      </c>
      <c r="EJ37" s="23">
        <f t="shared" si="88"/>
        <v>0</v>
      </c>
    </row>
    <row r="38" spans="1:140" ht="9.9" customHeight="1" x14ac:dyDescent="0.3">
      <c r="A38" s="23">
        <v>29</v>
      </c>
      <c r="B38" s="37" t="str">
        <f>IF(ISBLANK(Informations!B39),"",Informations!B39)</f>
        <v>ROJAS, CYREL KEN L.</v>
      </c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9" t="e">
        <f t="shared" si="6"/>
        <v>#DIV/0!</v>
      </c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40" t="str">
        <f t="shared" si="7"/>
        <v xml:space="preserve"> </v>
      </c>
      <c r="AI38" s="40" t="str">
        <f t="shared" si="8"/>
        <v xml:space="preserve"> </v>
      </c>
      <c r="AJ38" s="40" t="str">
        <f t="shared" si="9"/>
        <v xml:space="preserve"> </v>
      </c>
      <c r="AK38" s="40" t="str">
        <f t="shared" si="10"/>
        <v xml:space="preserve"> </v>
      </c>
      <c r="AL38" s="40" t="str">
        <f t="shared" si="11"/>
        <v xml:space="preserve"> </v>
      </c>
      <c r="AM38" s="40" t="str">
        <f t="shared" si="12"/>
        <v xml:space="preserve"> </v>
      </c>
      <c r="AN38" s="40" t="str">
        <f t="shared" si="13"/>
        <v xml:space="preserve"> </v>
      </c>
      <c r="AO38" s="40" t="str">
        <f t="shared" si="14"/>
        <v xml:space="preserve"> </v>
      </c>
      <c r="AP38" s="40" t="str">
        <f t="shared" si="15"/>
        <v xml:space="preserve"> </v>
      </c>
      <c r="AQ38" s="40" t="str">
        <f t="shared" si="16"/>
        <v xml:space="preserve"> </v>
      </c>
      <c r="AR38" s="41" t="e">
        <f t="shared" si="17"/>
        <v>#DIV/0!</v>
      </c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42" t="str">
        <f t="shared" si="18"/>
        <v xml:space="preserve"> </v>
      </c>
      <c r="BD38" s="42" t="str">
        <f t="shared" si="19"/>
        <v xml:space="preserve"> </v>
      </c>
      <c r="BE38" s="42" t="str">
        <f t="shared" si="20"/>
        <v xml:space="preserve"> </v>
      </c>
      <c r="BF38" s="42" t="str">
        <f t="shared" si="21"/>
        <v xml:space="preserve"> </v>
      </c>
      <c r="BG38" s="42" t="str">
        <f t="shared" si="22"/>
        <v xml:space="preserve"> </v>
      </c>
      <c r="BH38" s="42" t="str">
        <f t="shared" si="23"/>
        <v xml:space="preserve"> </v>
      </c>
      <c r="BI38" s="42" t="str">
        <f t="shared" si="24"/>
        <v xml:space="preserve"> </v>
      </c>
      <c r="BJ38" s="42" t="str">
        <f t="shared" si="25"/>
        <v xml:space="preserve"> </v>
      </c>
      <c r="BK38" s="42" t="str">
        <f t="shared" si="26"/>
        <v xml:space="preserve"> </v>
      </c>
      <c r="BL38" s="42" t="str">
        <f t="shared" si="27"/>
        <v xml:space="preserve"> </v>
      </c>
      <c r="BM38" s="43" t="e">
        <f t="shared" si="28"/>
        <v>#DIV/0!</v>
      </c>
      <c r="BN38" s="38"/>
      <c r="BO38" s="44" t="e">
        <f t="shared" si="29"/>
        <v>#DIV/0!</v>
      </c>
      <c r="BP38" s="20"/>
      <c r="BQ38" s="39" t="e">
        <f t="shared" si="73"/>
        <v>#DIV/0!</v>
      </c>
      <c r="BR38" s="23" t="e">
        <f t="shared" si="96"/>
        <v>#DIV/0!</v>
      </c>
      <c r="BS38" s="45"/>
      <c r="BT38" s="46"/>
      <c r="BU38" s="46"/>
      <c r="BV38" s="46"/>
      <c r="BW38" s="21" t="str">
        <f t="shared" si="30"/>
        <v/>
      </c>
      <c r="BX38" s="22" t="str">
        <f t="shared" si="31"/>
        <v/>
      </c>
      <c r="BY38" s="22" t="str">
        <f t="shared" si="32"/>
        <v/>
      </c>
      <c r="BZ38" s="22" t="str">
        <f t="shared" si="33"/>
        <v/>
      </c>
      <c r="CA38" s="22" t="str">
        <f t="shared" si="34"/>
        <v/>
      </c>
      <c r="CB38" s="22" t="str">
        <f t="shared" si="35"/>
        <v/>
      </c>
      <c r="CC38" s="22" t="str">
        <f t="shared" si="36"/>
        <v/>
      </c>
      <c r="CD38" s="22" t="str">
        <f t="shared" si="37"/>
        <v/>
      </c>
      <c r="CE38" s="22" t="str">
        <f t="shared" si="38"/>
        <v/>
      </c>
      <c r="CF38" s="22" t="str">
        <f t="shared" si="39"/>
        <v/>
      </c>
      <c r="CG38" s="22" t="str">
        <f t="shared" si="40"/>
        <v/>
      </c>
      <c r="CH38" s="22" t="str">
        <f t="shared" si="41"/>
        <v/>
      </c>
      <c r="CI38" s="22" t="str">
        <f t="shared" si="42"/>
        <v/>
      </c>
      <c r="CJ38" s="22" t="str">
        <f t="shared" si="43"/>
        <v/>
      </c>
      <c r="CK38" s="22" t="str">
        <f t="shared" si="44"/>
        <v/>
      </c>
      <c r="CL38" s="22" t="str">
        <f t="shared" si="45"/>
        <v/>
      </c>
      <c r="CM38" s="22" t="str">
        <f t="shared" si="46"/>
        <v/>
      </c>
      <c r="CN38" s="22" t="str">
        <f t="shared" si="47"/>
        <v/>
      </c>
      <c r="CO38" s="22" t="str">
        <f t="shared" si="48"/>
        <v/>
      </c>
      <c r="CP38" s="22" t="str">
        <f t="shared" si="49"/>
        <v/>
      </c>
      <c r="CQ38" s="22">
        <f t="shared" si="75"/>
        <v>0</v>
      </c>
      <c r="CR38" s="22">
        <f t="shared" si="3"/>
        <v>0</v>
      </c>
      <c r="CS38" s="22" t="str">
        <f t="shared" si="50"/>
        <v/>
      </c>
      <c r="CT38" s="22" t="str">
        <f t="shared" si="51"/>
        <v/>
      </c>
      <c r="CU38" s="22" t="str">
        <f t="shared" si="52"/>
        <v/>
      </c>
      <c r="CV38" s="22" t="str">
        <f t="shared" si="53"/>
        <v/>
      </c>
      <c r="CW38" s="22" t="str">
        <f t="shared" si="54"/>
        <v/>
      </c>
      <c r="CX38" s="22" t="str">
        <f t="shared" si="55"/>
        <v/>
      </c>
      <c r="CY38" s="22" t="str">
        <f t="shared" si="56"/>
        <v/>
      </c>
      <c r="CZ38" s="22" t="str">
        <f t="shared" si="57"/>
        <v/>
      </c>
      <c r="DA38" s="22" t="str">
        <f t="shared" si="58"/>
        <v/>
      </c>
      <c r="DB38" s="22" t="str">
        <f t="shared" si="59"/>
        <v/>
      </c>
      <c r="DC38" s="22" t="str">
        <f t="shared" si="60"/>
        <v/>
      </c>
      <c r="DD38" s="22" t="str">
        <f t="shared" si="61"/>
        <v/>
      </c>
      <c r="DE38" s="22" t="str">
        <f t="shared" si="62"/>
        <v/>
      </c>
      <c r="DF38" s="22" t="str">
        <f t="shared" si="63"/>
        <v/>
      </c>
      <c r="DG38" s="22" t="str">
        <f t="shared" si="64"/>
        <v/>
      </c>
      <c r="DH38" s="22" t="str">
        <f t="shared" si="65"/>
        <v/>
      </c>
      <c r="DI38" s="22" t="str">
        <f t="shared" si="66"/>
        <v/>
      </c>
      <c r="DJ38" s="22" t="str">
        <f t="shared" si="67"/>
        <v/>
      </c>
      <c r="DK38" s="22" t="str">
        <f t="shared" si="68"/>
        <v/>
      </c>
      <c r="DL38" s="22" t="str">
        <f t="shared" si="69"/>
        <v/>
      </c>
      <c r="DM38" s="22">
        <f t="shared" si="70"/>
        <v>0</v>
      </c>
      <c r="DN38" s="36">
        <f t="shared" ref="DN38:DW38" si="127">DN37</f>
        <v>0</v>
      </c>
      <c r="DO38" s="36">
        <f t="shared" si="127"/>
        <v>0</v>
      </c>
      <c r="DP38" s="36">
        <f t="shared" si="127"/>
        <v>0</v>
      </c>
      <c r="DQ38" s="36">
        <f t="shared" si="127"/>
        <v>0</v>
      </c>
      <c r="DR38" s="36">
        <f t="shared" si="127"/>
        <v>0</v>
      </c>
      <c r="DS38" s="36">
        <f t="shared" si="127"/>
        <v>0</v>
      </c>
      <c r="DT38" s="36">
        <f t="shared" si="127"/>
        <v>0</v>
      </c>
      <c r="DU38" s="36">
        <f t="shared" si="127"/>
        <v>0</v>
      </c>
      <c r="DV38" s="36">
        <f t="shared" si="127"/>
        <v>0</v>
      </c>
      <c r="DW38" s="36">
        <f t="shared" si="127"/>
        <v>0</v>
      </c>
      <c r="DX38" s="23">
        <f t="shared" si="90"/>
        <v>0</v>
      </c>
      <c r="DY38" s="23">
        <f t="shared" si="98"/>
        <v>0</v>
      </c>
      <c r="DZ38" s="23">
        <f t="shared" si="99"/>
        <v>0</v>
      </c>
      <c r="EA38" s="23">
        <f t="shared" si="100"/>
        <v>0</v>
      </c>
      <c r="EB38" s="23">
        <f t="shared" si="101"/>
        <v>0</v>
      </c>
      <c r="EC38" s="23">
        <f t="shared" si="102"/>
        <v>0</v>
      </c>
      <c r="ED38" s="23">
        <f t="shared" si="103"/>
        <v>0</v>
      </c>
      <c r="EE38" s="23">
        <f t="shared" si="104"/>
        <v>0</v>
      </c>
      <c r="EF38" s="23">
        <f t="shared" si="105"/>
        <v>0</v>
      </c>
      <c r="EG38" s="23">
        <f t="shared" si="106"/>
        <v>0</v>
      </c>
      <c r="EH38" s="23">
        <f t="shared" si="107"/>
        <v>0</v>
      </c>
      <c r="EI38" s="23">
        <f t="shared" si="87"/>
        <v>0</v>
      </c>
      <c r="EJ38" s="23">
        <f t="shared" si="88"/>
        <v>0</v>
      </c>
    </row>
    <row r="39" spans="1:140" ht="9.9" customHeight="1" x14ac:dyDescent="0.3">
      <c r="A39" s="23">
        <v>30</v>
      </c>
      <c r="B39" s="37" t="str">
        <f>IF(ISBLANK(Informations!B40),"",Informations!B40)</f>
        <v>SAMLING, GHEZERIE C.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9" t="e">
        <f t="shared" si="6"/>
        <v>#DIV/0!</v>
      </c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40" t="str">
        <f t="shared" si="7"/>
        <v xml:space="preserve"> </v>
      </c>
      <c r="AI39" s="40" t="str">
        <f t="shared" si="8"/>
        <v xml:space="preserve"> </v>
      </c>
      <c r="AJ39" s="40" t="str">
        <f t="shared" si="9"/>
        <v xml:space="preserve"> </v>
      </c>
      <c r="AK39" s="40" t="str">
        <f t="shared" si="10"/>
        <v xml:space="preserve"> </v>
      </c>
      <c r="AL39" s="40" t="str">
        <f t="shared" si="11"/>
        <v xml:space="preserve"> </v>
      </c>
      <c r="AM39" s="40" t="str">
        <f t="shared" si="12"/>
        <v xml:space="preserve"> </v>
      </c>
      <c r="AN39" s="40" t="str">
        <f t="shared" si="13"/>
        <v xml:space="preserve"> </v>
      </c>
      <c r="AO39" s="40" t="str">
        <f t="shared" si="14"/>
        <v xml:space="preserve"> </v>
      </c>
      <c r="AP39" s="40" t="str">
        <f t="shared" si="15"/>
        <v xml:space="preserve"> </v>
      </c>
      <c r="AQ39" s="40" t="str">
        <f t="shared" si="16"/>
        <v xml:space="preserve"> </v>
      </c>
      <c r="AR39" s="41" t="e">
        <f t="shared" si="17"/>
        <v>#DIV/0!</v>
      </c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42" t="str">
        <f t="shared" si="18"/>
        <v xml:space="preserve"> </v>
      </c>
      <c r="BD39" s="42" t="str">
        <f t="shared" si="19"/>
        <v xml:space="preserve"> </v>
      </c>
      <c r="BE39" s="42" t="str">
        <f t="shared" si="20"/>
        <v xml:space="preserve"> </v>
      </c>
      <c r="BF39" s="42" t="str">
        <f t="shared" si="21"/>
        <v xml:space="preserve"> </v>
      </c>
      <c r="BG39" s="42" t="str">
        <f t="shared" si="22"/>
        <v xml:space="preserve"> </v>
      </c>
      <c r="BH39" s="42" t="str">
        <f t="shared" si="23"/>
        <v xml:space="preserve"> </v>
      </c>
      <c r="BI39" s="42" t="str">
        <f t="shared" si="24"/>
        <v xml:space="preserve"> </v>
      </c>
      <c r="BJ39" s="42" t="str">
        <f t="shared" si="25"/>
        <v xml:space="preserve"> </v>
      </c>
      <c r="BK39" s="42" t="str">
        <f t="shared" si="26"/>
        <v xml:space="preserve"> </v>
      </c>
      <c r="BL39" s="42" t="str">
        <f t="shared" si="27"/>
        <v xml:space="preserve"> </v>
      </c>
      <c r="BM39" s="43" t="e">
        <f t="shared" si="28"/>
        <v>#DIV/0!</v>
      </c>
      <c r="BN39" s="38"/>
      <c r="BO39" s="44" t="e">
        <f t="shared" si="29"/>
        <v>#DIV/0!</v>
      </c>
      <c r="BP39" s="20"/>
      <c r="BQ39" s="39" t="e">
        <f t="shared" si="73"/>
        <v>#DIV/0!</v>
      </c>
      <c r="BR39" s="23" t="e">
        <f t="shared" si="96"/>
        <v>#DIV/0!</v>
      </c>
      <c r="BS39" s="45"/>
      <c r="BT39" s="46"/>
      <c r="BU39" s="46"/>
      <c r="BV39" s="46"/>
      <c r="BW39" s="21" t="str">
        <f t="shared" si="30"/>
        <v/>
      </c>
      <c r="BX39" s="22" t="str">
        <f t="shared" si="31"/>
        <v/>
      </c>
      <c r="BY39" s="22" t="str">
        <f t="shared" si="32"/>
        <v/>
      </c>
      <c r="BZ39" s="22" t="str">
        <f t="shared" si="33"/>
        <v/>
      </c>
      <c r="CA39" s="22" t="str">
        <f t="shared" si="34"/>
        <v/>
      </c>
      <c r="CB39" s="22" t="str">
        <f t="shared" si="35"/>
        <v/>
      </c>
      <c r="CC39" s="22" t="str">
        <f t="shared" si="36"/>
        <v/>
      </c>
      <c r="CD39" s="22" t="str">
        <f t="shared" si="37"/>
        <v/>
      </c>
      <c r="CE39" s="22" t="str">
        <f t="shared" si="38"/>
        <v/>
      </c>
      <c r="CF39" s="22" t="str">
        <f t="shared" si="39"/>
        <v/>
      </c>
      <c r="CG39" s="22" t="str">
        <f t="shared" si="40"/>
        <v/>
      </c>
      <c r="CH39" s="22" t="str">
        <f t="shared" si="41"/>
        <v/>
      </c>
      <c r="CI39" s="22" t="str">
        <f t="shared" si="42"/>
        <v/>
      </c>
      <c r="CJ39" s="22" t="str">
        <f t="shared" si="43"/>
        <v/>
      </c>
      <c r="CK39" s="22" t="str">
        <f t="shared" si="44"/>
        <v/>
      </c>
      <c r="CL39" s="22" t="str">
        <f t="shared" si="45"/>
        <v/>
      </c>
      <c r="CM39" s="22" t="str">
        <f t="shared" si="46"/>
        <v/>
      </c>
      <c r="CN39" s="22" t="str">
        <f t="shared" si="47"/>
        <v/>
      </c>
      <c r="CO39" s="22" t="str">
        <f t="shared" si="48"/>
        <v/>
      </c>
      <c r="CP39" s="22" t="str">
        <f t="shared" si="49"/>
        <v/>
      </c>
      <c r="CQ39" s="22">
        <f t="shared" si="75"/>
        <v>0</v>
      </c>
      <c r="CR39" s="22">
        <f t="shared" si="3"/>
        <v>0</v>
      </c>
      <c r="CS39" s="22" t="str">
        <f t="shared" si="50"/>
        <v/>
      </c>
      <c r="CT39" s="22" t="str">
        <f t="shared" si="51"/>
        <v/>
      </c>
      <c r="CU39" s="22" t="str">
        <f t="shared" si="52"/>
        <v/>
      </c>
      <c r="CV39" s="22" t="str">
        <f t="shared" si="53"/>
        <v/>
      </c>
      <c r="CW39" s="22" t="str">
        <f t="shared" si="54"/>
        <v/>
      </c>
      <c r="CX39" s="22" t="str">
        <f t="shared" si="55"/>
        <v/>
      </c>
      <c r="CY39" s="22" t="str">
        <f t="shared" si="56"/>
        <v/>
      </c>
      <c r="CZ39" s="22" t="str">
        <f t="shared" si="57"/>
        <v/>
      </c>
      <c r="DA39" s="22" t="str">
        <f t="shared" si="58"/>
        <v/>
      </c>
      <c r="DB39" s="22" t="str">
        <f t="shared" si="59"/>
        <v/>
      </c>
      <c r="DC39" s="22" t="str">
        <f t="shared" si="60"/>
        <v/>
      </c>
      <c r="DD39" s="22" t="str">
        <f t="shared" si="61"/>
        <v/>
      </c>
      <c r="DE39" s="22" t="str">
        <f t="shared" si="62"/>
        <v/>
      </c>
      <c r="DF39" s="22" t="str">
        <f t="shared" si="63"/>
        <v/>
      </c>
      <c r="DG39" s="22" t="str">
        <f t="shared" si="64"/>
        <v/>
      </c>
      <c r="DH39" s="22" t="str">
        <f t="shared" si="65"/>
        <v/>
      </c>
      <c r="DI39" s="22" t="str">
        <f t="shared" si="66"/>
        <v/>
      </c>
      <c r="DJ39" s="22" t="str">
        <f t="shared" si="67"/>
        <v/>
      </c>
      <c r="DK39" s="22" t="str">
        <f t="shared" si="68"/>
        <v/>
      </c>
      <c r="DL39" s="22" t="str">
        <f t="shared" si="69"/>
        <v/>
      </c>
      <c r="DM39" s="22">
        <f t="shared" si="70"/>
        <v>0</v>
      </c>
      <c r="DN39" s="36">
        <f t="shared" ref="DN39:DW39" si="128">DN38</f>
        <v>0</v>
      </c>
      <c r="DO39" s="36">
        <f t="shared" si="128"/>
        <v>0</v>
      </c>
      <c r="DP39" s="36">
        <f t="shared" si="128"/>
        <v>0</v>
      </c>
      <c r="DQ39" s="36">
        <f t="shared" si="128"/>
        <v>0</v>
      </c>
      <c r="DR39" s="36">
        <f t="shared" si="128"/>
        <v>0</v>
      </c>
      <c r="DS39" s="36">
        <f t="shared" si="128"/>
        <v>0</v>
      </c>
      <c r="DT39" s="36">
        <f t="shared" si="128"/>
        <v>0</v>
      </c>
      <c r="DU39" s="36">
        <f t="shared" si="128"/>
        <v>0</v>
      </c>
      <c r="DV39" s="36">
        <f t="shared" si="128"/>
        <v>0</v>
      </c>
      <c r="DW39" s="36">
        <f t="shared" si="128"/>
        <v>0</v>
      </c>
      <c r="DX39" s="23">
        <f t="shared" si="90"/>
        <v>0</v>
      </c>
      <c r="DY39" s="23">
        <f t="shared" si="98"/>
        <v>0</v>
      </c>
      <c r="DZ39" s="23">
        <f t="shared" si="99"/>
        <v>0</v>
      </c>
      <c r="EA39" s="23">
        <f t="shared" si="100"/>
        <v>0</v>
      </c>
      <c r="EB39" s="23">
        <f t="shared" si="101"/>
        <v>0</v>
      </c>
      <c r="EC39" s="23">
        <f t="shared" si="102"/>
        <v>0</v>
      </c>
      <c r="ED39" s="23">
        <f t="shared" si="103"/>
        <v>0</v>
      </c>
      <c r="EE39" s="23">
        <f t="shared" si="104"/>
        <v>0</v>
      </c>
      <c r="EF39" s="23">
        <f t="shared" si="105"/>
        <v>0</v>
      </c>
      <c r="EG39" s="23">
        <f t="shared" si="106"/>
        <v>0</v>
      </c>
      <c r="EH39" s="23">
        <f t="shared" si="107"/>
        <v>0</v>
      </c>
      <c r="EI39" s="23">
        <f t="shared" si="87"/>
        <v>0</v>
      </c>
      <c r="EJ39" s="23">
        <f t="shared" si="88"/>
        <v>0</v>
      </c>
    </row>
    <row r="40" spans="1:140" ht="9.9" customHeight="1" x14ac:dyDescent="0.3">
      <c r="A40" s="23">
        <v>31</v>
      </c>
      <c r="B40" s="37" t="str">
        <f>IF(ISBLANK(Informations!B41),"",Informations!B41)</f>
        <v>SAPIO, DIETHER E.</v>
      </c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9" t="e">
        <f t="shared" si="6"/>
        <v>#DIV/0!</v>
      </c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40" t="str">
        <f t="shared" si="7"/>
        <v xml:space="preserve"> </v>
      </c>
      <c r="AI40" s="40" t="str">
        <f t="shared" si="8"/>
        <v xml:space="preserve"> </v>
      </c>
      <c r="AJ40" s="40" t="str">
        <f t="shared" si="9"/>
        <v xml:space="preserve"> </v>
      </c>
      <c r="AK40" s="40" t="str">
        <f t="shared" si="10"/>
        <v xml:space="preserve"> </v>
      </c>
      <c r="AL40" s="40" t="str">
        <f t="shared" si="11"/>
        <v xml:space="preserve"> </v>
      </c>
      <c r="AM40" s="40" t="str">
        <f t="shared" si="12"/>
        <v xml:space="preserve"> </v>
      </c>
      <c r="AN40" s="40" t="str">
        <f t="shared" si="13"/>
        <v xml:space="preserve"> </v>
      </c>
      <c r="AO40" s="40" t="str">
        <f t="shared" si="14"/>
        <v xml:space="preserve"> </v>
      </c>
      <c r="AP40" s="40" t="str">
        <f t="shared" si="15"/>
        <v xml:space="preserve"> </v>
      </c>
      <c r="AQ40" s="40" t="str">
        <f t="shared" si="16"/>
        <v xml:space="preserve"> </v>
      </c>
      <c r="AR40" s="41" t="e">
        <f t="shared" si="17"/>
        <v>#DIV/0!</v>
      </c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42" t="str">
        <f t="shared" si="18"/>
        <v xml:space="preserve"> </v>
      </c>
      <c r="BD40" s="42" t="str">
        <f t="shared" si="19"/>
        <v xml:space="preserve"> </v>
      </c>
      <c r="BE40" s="42" t="str">
        <f t="shared" si="20"/>
        <v xml:space="preserve"> </v>
      </c>
      <c r="BF40" s="42" t="str">
        <f t="shared" si="21"/>
        <v xml:space="preserve"> </v>
      </c>
      <c r="BG40" s="42" t="str">
        <f t="shared" si="22"/>
        <v xml:space="preserve"> </v>
      </c>
      <c r="BH40" s="42" t="str">
        <f t="shared" si="23"/>
        <v xml:space="preserve"> </v>
      </c>
      <c r="BI40" s="42" t="str">
        <f t="shared" si="24"/>
        <v xml:space="preserve"> </v>
      </c>
      <c r="BJ40" s="42" t="str">
        <f t="shared" si="25"/>
        <v xml:space="preserve"> </v>
      </c>
      <c r="BK40" s="42" t="str">
        <f t="shared" si="26"/>
        <v xml:space="preserve"> </v>
      </c>
      <c r="BL40" s="42" t="str">
        <f t="shared" si="27"/>
        <v xml:space="preserve"> </v>
      </c>
      <c r="BM40" s="43" t="e">
        <f t="shared" si="28"/>
        <v>#DIV/0!</v>
      </c>
      <c r="BN40" s="38"/>
      <c r="BO40" s="44" t="e">
        <f t="shared" si="29"/>
        <v>#DIV/0!</v>
      </c>
      <c r="BP40" s="20"/>
      <c r="BQ40" s="39" t="e">
        <f t="shared" si="73"/>
        <v>#DIV/0!</v>
      </c>
      <c r="BR40" s="23" t="e">
        <f t="shared" si="96"/>
        <v>#DIV/0!</v>
      </c>
      <c r="BS40" s="45"/>
      <c r="BT40" s="46"/>
      <c r="BU40" s="46"/>
      <c r="BV40" s="46"/>
      <c r="BW40" s="21" t="str">
        <f t="shared" si="30"/>
        <v/>
      </c>
      <c r="BX40" s="22" t="str">
        <f t="shared" si="31"/>
        <v/>
      </c>
      <c r="BY40" s="22" t="str">
        <f t="shared" si="32"/>
        <v/>
      </c>
      <c r="BZ40" s="22" t="str">
        <f t="shared" si="33"/>
        <v/>
      </c>
      <c r="CA40" s="22" t="str">
        <f t="shared" si="34"/>
        <v/>
      </c>
      <c r="CB40" s="22" t="str">
        <f t="shared" si="35"/>
        <v/>
      </c>
      <c r="CC40" s="22" t="str">
        <f t="shared" si="36"/>
        <v/>
      </c>
      <c r="CD40" s="22" t="str">
        <f t="shared" si="37"/>
        <v/>
      </c>
      <c r="CE40" s="22" t="str">
        <f t="shared" si="38"/>
        <v/>
      </c>
      <c r="CF40" s="22" t="str">
        <f t="shared" si="39"/>
        <v/>
      </c>
      <c r="CG40" s="22" t="str">
        <f t="shared" si="40"/>
        <v/>
      </c>
      <c r="CH40" s="22" t="str">
        <f t="shared" si="41"/>
        <v/>
      </c>
      <c r="CI40" s="22" t="str">
        <f t="shared" si="42"/>
        <v/>
      </c>
      <c r="CJ40" s="22" t="str">
        <f t="shared" si="43"/>
        <v/>
      </c>
      <c r="CK40" s="22" t="str">
        <f t="shared" si="44"/>
        <v/>
      </c>
      <c r="CL40" s="22" t="str">
        <f t="shared" si="45"/>
        <v/>
      </c>
      <c r="CM40" s="22" t="str">
        <f t="shared" si="46"/>
        <v/>
      </c>
      <c r="CN40" s="22" t="str">
        <f t="shared" si="47"/>
        <v/>
      </c>
      <c r="CO40" s="22" t="str">
        <f t="shared" si="48"/>
        <v/>
      </c>
      <c r="CP40" s="22" t="str">
        <f t="shared" si="49"/>
        <v/>
      </c>
      <c r="CQ40" s="22">
        <f t="shared" si="75"/>
        <v>0</v>
      </c>
      <c r="CR40" s="22">
        <f t="shared" si="3"/>
        <v>0</v>
      </c>
      <c r="CS40" s="22" t="str">
        <f t="shared" si="50"/>
        <v/>
      </c>
      <c r="CT40" s="22" t="str">
        <f t="shared" si="51"/>
        <v/>
      </c>
      <c r="CU40" s="22" t="str">
        <f t="shared" si="52"/>
        <v/>
      </c>
      <c r="CV40" s="22" t="str">
        <f t="shared" si="53"/>
        <v/>
      </c>
      <c r="CW40" s="22" t="str">
        <f t="shared" si="54"/>
        <v/>
      </c>
      <c r="CX40" s="22" t="str">
        <f t="shared" si="55"/>
        <v/>
      </c>
      <c r="CY40" s="22" t="str">
        <f t="shared" si="56"/>
        <v/>
      </c>
      <c r="CZ40" s="22" t="str">
        <f t="shared" si="57"/>
        <v/>
      </c>
      <c r="DA40" s="22" t="str">
        <f t="shared" si="58"/>
        <v/>
      </c>
      <c r="DB40" s="22" t="str">
        <f t="shared" si="59"/>
        <v/>
      </c>
      <c r="DC40" s="22" t="str">
        <f t="shared" si="60"/>
        <v/>
      </c>
      <c r="DD40" s="22" t="str">
        <f t="shared" si="61"/>
        <v/>
      </c>
      <c r="DE40" s="22" t="str">
        <f t="shared" si="62"/>
        <v/>
      </c>
      <c r="DF40" s="22" t="str">
        <f t="shared" si="63"/>
        <v/>
      </c>
      <c r="DG40" s="22" t="str">
        <f t="shared" si="64"/>
        <v/>
      </c>
      <c r="DH40" s="22" t="str">
        <f t="shared" si="65"/>
        <v/>
      </c>
      <c r="DI40" s="22" t="str">
        <f t="shared" si="66"/>
        <v/>
      </c>
      <c r="DJ40" s="22" t="str">
        <f t="shared" si="67"/>
        <v/>
      </c>
      <c r="DK40" s="22" t="str">
        <f t="shared" si="68"/>
        <v/>
      </c>
      <c r="DL40" s="22" t="str">
        <f t="shared" si="69"/>
        <v/>
      </c>
      <c r="DM40" s="22">
        <f t="shared" si="70"/>
        <v>0</v>
      </c>
      <c r="DN40" s="36">
        <f t="shared" ref="DN40:DW40" si="129">DN39</f>
        <v>0</v>
      </c>
      <c r="DO40" s="36">
        <f t="shared" si="129"/>
        <v>0</v>
      </c>
      <c r="DP40" s="36">
        <f t="shared" si="129"/>
        <v>0</v>
      </c>
      <c r="DQ40" s="36">
        <f t="shared" si="129"/>
        <v>0</v>
      </c>
      <c r="DR40" s="36">
        <f t="shared" si="129"/>
        <v>0</v>
      </c>
      <c r="DS40" s="36">
        <f t="shared" si="129"/>
        <v>0</v>
      </c>
      <c r="DT40" s="36">
        <f t="shared" si="129"/>
        <v>0</v>
      </c>
      <c r="DU40" s="36">
        <f t="shared" si="129"/>
        <v>0</v>
      </c>
      <c r="DV40" s="36">
        <f t="shared" si="129"/>
        <v>0</v>
      </c>
      <c r="DW40" s="36">
        <f t="shared" si="129"/>
        <v>0</v>
      </c>
      <c r="DX40" s="23">
        <f t="shared" si="90"/>
        <v>0</v>
      </c>
      <c r="DY40" s="23">
        <f t="shared" si="98"/>
        <v>0</v>
      </c>
      <c r="DZ40" s="23">
        <f t="shared" si="99"/>
        <v>0</v>
      </c>
      <c r="EA40" s="23">
        <f t="shared" si="100"/>
        <v>0</v>
      </c>
      <c r="EB40" s="23">
        <f t="shared" si="101"/>
        <v>0</v>
      </c>
      <c r="EC40" s="23">
        <f t="shared" si="102"/>
        <v>0</v>
      </c>
      <c r="ED40" s="23">
        <f t="shared" si="103"/>
        <v>0</v>
      </c>
      <c r="EE40" s="23">
        <f t="shared" si="104"/>
        <v>0</v>
      </c>
      <c r="EF40" s="23">
        <f t="shared" si="105"/>
        <v>0</v>
      </c>
      <c r="EG40" s="23">
        <f t="shared" si="106"/>
        <v>0</v>
      </c>
      <c r="EH40" s="23">
        <f t="shared" si="107"/>
        <v>0</v>
      </c>
      <c r="EI40" s="23">
        <f t="shared" si="87"/>
        <v>0</v>
      </c>
      <c r="EJ40" s="23">
        <f t="shared" si="88"/>
        <v>0</v>
      </c>
    </row>
    <row r="41" spans="1:140" ht="9.9" customHeight="1" x14ac:dyDescent="0.3">
      <c r="A41" s="23">
        <v>32</v>
      </c>
      <c r="B41" s="37" t="str">
        <f>IF(ISBLANK(Informations!B42),"",Informations!B42)</f>
        <v>SILPAO, JHON CHRISTIAN G.</v>
      </c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9" t="e">
        <f t="shared" si="6"/>
        <v>#DIV/0!</v>
      </c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40" t="str">
        <f t="shared" si="7"/>
        <v xml:space="preserve"> </v>
      </c>
      <c r="AI41" s="40" t="str">
        <f t="shared" si="8"/>
        <v xml:space="preserve"> </v>
      </c>
      <c r="AJ41" s="40" t="str">
        <f t="shared" si="9"/>
        <v xml:space="preserve"> </v>
      </c>
      <c r="AK41" s="40" t="str">
        <f t="shared" si="10"/>
        <v xml:space="preserve"> </v>
      </c>
      <c r="AL41" s="40" t="str">
        <f t="shared" si="11"/>
        <v xml:space="preserve"> </v>
      </c>
      <c r="AM41" s="40" t="str">
        <f t="shared" si="12"/>
        <v xml:space="preserve"> </v>
      </c>
      <c r="AN41" s="40" t="str">
        <f t="shared" si="13"/>
        <v xml:space="preserve"> </v>
      </c>
      <c r="AO41" s="40" t="str">
        <f t="shared" si="14"/>
        <v xml:space="preserve"> </v>
      </c>
      <c r="AP41" s="40" t="str">
        <f t="shared" si="15"/>
        <v xml:space="preserve"> </v>
      </c>
      <c r="AQ41" s="40" t="str">
        <f t="shared" si="16"/>
        <v xml:space="preserve"> </v>
      </c>
      <c r="AR41" s="41" t="e">
        <f t="shared" si="17"/>
        <v>#DIV/0!</v>
      </c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42" t="str">
        <f t="shared" si="18"/>
        <v xml:space="preserve"> </v>
      </c>
      <c r="BD41" s="42" t="str">
        <f t="shared" si="19"/>
        <v xml:space="preserve"> </v>
      </c>
      <c r="BE41" s="42" t="str">
        <f t="shared" si="20"/>
        <v xml:space="preserve"> </v>
      </c>
      <c r="BF41" s="42" t="str">
        <f t="shared" si="21"/>
        <v xml:space="preserve"> </v>
      </c>
      <c r="BG41" s="42" t="str">
        <f t="shared" si="22"/>
        <v xml:space="preserve"> </v>
      </c>
      <c r="BH41" s="42" t="str">
        <f t="shared" si="23"/>
        <v xml:space="preserve"> </v>
      </c>
      <c r="BI41" s="42" t="str">
        <f t="shared" si="24"/>
        <v xml:space="preserve"> </v>
      </c>
      <c r="BJ41" s="42" t="str">
        <f t="shared" si="25"/>
        <v xml:space="preserve"> </v>
      </c>
      <c r="BK41" s="42" t="str">
        <f t="shared" si="26"/>
        <v xml:space="preserve"> </v>
      </c>
      <c r="BL41" s="42" t="str">
        <f t="shared" si="27"/>
        <v xml:space="preserve"> </v>
      </c>
      <c r="BM41" s="43" t="e">
        <f t="shared" si="28"/>
        <v>#DIV/0!</v>
      </c>
      <c r="BN41" s="38"/>
      <c r="BO41" s="44" t="e">
        <f t="shared" si="29"/>
        <v>#DIV/0!</v>
      </c>
      <c r="BP41" s="20"/>
      <c r="BQ41" s="39" t="e">
        <f t="shared" si="73"/>
        <v>#DIV/0!</v>
      </c>
      <c r="BR41" s="23" t="e">
        <f t="shared" si="96"/>
        <v>#DIV/0!</v>
      </c>
      <c r="BS41" s="45"/>
      <c r="BT41" s="46"/>
      <c r="BU41" s="46"/>
      <c r="BV41" s="46"/>
      <c r="BW41" s="21" t="str">
        <f t="shared" si="30"/>
        <v/>
      </c>
      <c r="BX41" s="22" t="str">
        <f t="shared" si="31"/>
        <v/>
      </c>
      <c r="BY41" s="22" t="str">
        <f t="shared" si="32"/>
        <v/>
      </c>
      <c r="BZ41" s="22" t="str">
        <f t="shared" si="33"/>
        <v/>
      </c>
      <c r="CA41" s="22" t="str">
        <f t="shared" si="34"/>
        <v/>
      </c>
      <c r="CB41" s="22" t="str">
        <f t="shared" si="35"/>
        <v/>
      </c>
      <c r="CC41" s="22" t="str">
        <f t="shared" si="36"/>
        <v/>
      </c>
      <c r="CD41" s="22" t="str">
        <f t="shared" si="37"/>
        <v/>
      </c>
      <c r="CE41" s="22" t="str">
        <f t="shared" si="38"/>
        <v/>
      </c>
      <c r="CF41" s="22" t="str">
        <f t="shared" si="39"/>
        <v/>
      </c>
      <c r="CG41" s="22" t="str">
        <f t="shared" si="40"/>
        <v/>
      </c>
      <c r="CH41" s="22" t="str">
        <f t="shared" si="41"/>
        <v/>
      </c>
      <c r="CI41" s="22" t="str">
        <f t="shared" si="42"/>
        <v/>
      </c>
      <c r="CJ41" s="22" t="str">
        <f t="shared" si="43"/>
        <v/>
      </c>
      <c r="CK41" s="22" t="str">
        <f t="shared" si="44"/>
        <v/>
      </c>
      <c r="CL41" s="22" t="str">
        <f t="shared" si="45"/>
        <v/>
      </c>
      <c r="CM41" s="22" t="str">
        <f t="shared" si="46"/>
        <v/>
      </c>
      <c r="CN41" s="22" t="str">
        <f t="shared" si="47"/>
        <v/>
      </c>
      <c r="CO41" s="22" t="str">
        <f t="shared" si="48"/>
        <v/>
      </c>
      <c r="CP41" s="22" t="str">
        <f t="shared" si="49"/>
        <v/>
      </c>
      <c r="CQ41" s="22">
        <f t="shared" si="75"/>
        <v>0</v>
      </c>
      <c r="CR41" s="22">
        <f t="shared" ref="CR41:CR59" si="130">$CQ$7</f>
        <v>0</v>
      </c>
      <c r="CS41" s="22" t="str">
        <f t="shared" si="50"/>
        <v/>
      </c>
      <c r="CT41" s="22" t="str">
        <f t="shared" si="51"/>
        <v/>
      </c>
      <c r="CU41" s="22" t="str">
        <f t="shared" si="52"/>
        <v/>
      </c>
      <c r="CV41" s="22" t="str">
        <f t="shared" si="53"/>
        <v/>
      </c>
      <c r="CW41" s="22" t="str">
        <f t="shared" si="54"/>
        <v/>
      </c>
      <c r="CX41" s="22" t="str">
        <f t="shared" si="55"/>
        <v/>
      </c>
      <c r="CY41" s="22" t="str">
        <f t="shared" si="56"/>
        <v/>
      </c>
      <c r="CZ41" s="22" t="str">
        <f t="shared" si="57"/>
        <v/>
      </c>
      <c r="DA41" s="22" t="str">
        <f t="shared" si="58"/>
        <v/>
      </c>
      <c r="DB41" s="22" t="str">
        <f t="shared" si="59"/>
        <v/>
      </c>
      <c r="DC41" s="22" t="str">
        <f t="shared" si="60"/>
        <v/>
      </c>
      <c r="DD41" s="22" t="str">
        <f t="shared" si="61"/>
        <v/>
      </c>
      <c r="DE41" s="22" t="str">
        <f t="shared" si="62"/>
        <v/>
      </c>
      <c r="DF41" s="22" t="str">
        <f t="shared" si="63"/>
        <v/>
      </c>
      <c r="DG41" s="22" t="str">
        <f t="shared" si="64"/>
        <v/>
      </c>
      <c r="DH41" s="22" t="str">
        <f t="shared" si="65"/>
        <v/>
      </c>
      <c r="DI41" s="22" t="str">
        <f t="shared" si="66"/>
        <v/>
      </c>
      <c r="DJ41" s="22" t="str">
        <f t="shared" si="67"/>
        <v/>
      </c>
      <c r="DK41" s="22" t="str">
        <f t="shared" si="68"/>
        <v/>
      </c>
      <c r="DL41" s="22" t="str">
        <f t="shared" si="69"/>
        <v/>
      </c>
      <c r="DM41" s="22">
        <f t="shared" si="70"/>
        <v>0</v>
      </c>
      <c r="DN41" s="36">
        <f t="shared" ref="DN41:DW41" si="131">DN40</f>
        <v>0</v>
      </c>
      <c r="DO41" s="36">
        <f t="shared" si="131"/>
        <v>0</v>
      </c>
      <c r="DP41" s="36">
        <f t="shared" si="131"/>
        <v>0</v>
      </c>
      <c r="DQ41" s="36">
        <f t="shared" si="131"/>
        <v>0</v>
      </c>
      <c r="DR41" s="36">
        <f t="shared" si="131"/>
        <v>0</v>
      </c>
      <c r="DS41" s="36">
        <f t="shared" si="131"/>
        <v>0</v>
      </c>
      <c r="DT41" s="36">
        <f t="shared" si="131"/>
        <v>0</v>
      </c>
      <c r="DU41" s="36">
        <f t="shared" si="131"/>
        <v>0</v>
      </c>
      <c r="DV41" s="36">
        <f t="shared" si="131"/>
        <v>0</v>
      </c>
      <c r="DW41" s="36">
        <f t="shared" si="131"/>
        <v>0</v>
      </c>
      <c r="DX41" s="23">
        <f t="shared" si="90"/>
        <v>0</v>
      </c>
      <c r="DY41" s="23">
        <f t="shared" si="98"/>
        <v>0</v>
      </c>
      <c r="DZ41" s="23">
        <f t="shared" si="99"/>
        <v>0</v>
      </c>
      <c r="EA41" s="23">
        <f t="shared" si="100"/>
        <v>0</v>
      </c>
      <c r="EB41" s="23">
        <f t="shared" si="101"/>
        <v>0</v>
      </c>
      <c r="EC41" s="23">
        <f t="shared" si="102"/>
        <v>0</v>
      </c>
      <c r="ED41" s="23">
        <f t="shared" si="103"/>
        <v>0</v>
      </c>
      <c r="EE41" s="23">
        <f t="shared" si="104"/>
        <v>0</v>
      </c>
      <c r="EF41" s="23">
        <f t="shared" si="105"/>
        <v>0</v>
      </c>
      <c r="EG41" s="23">
        <f t="shared" si="106"/>
        <v>0</v>
      </c>
      <c r="EH41" s="23">
        <f t="shared" si="107"/>
        <v>0</v>
      </c>
      <c r="EI41" s="23">
        <f t="shared" si="87"/>
        <v>0</v>
      </c>
      <c r="EJ41" s="23">
        <f t="shared" si="88"/>
        <v>0</v>
      </c>
    </row>
    <row r="42" spans="1:140" ht="9.9" customHeight="1" x14ac:dyDescent="0.3">
      <c r="A42" s="23">
        <v>33</v>
      </c>
      <c r="B42" s="37" t="str">
        <f>IF(ISBLANK(Informations!B43),"",Informations!B43)</f>
        <v>TIMUAY, JUVY MAE T</v>
      </c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9" t="e">
        <f t="shared" ref="W42:W59" si="132">((CQ42/CR42)*60)+40</f>
        <v>#DIV/0!</v>
      </c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40" t="str">
        <f t="shared" ref="AH42:AH59" si="133">IF(DN42&gt;=1,(((X42/DN42)*60)+40)," ")</f>
        <v xml:space="preserve"> </v>
      </c>
      <c r="AI42" s="40" t="str">
        <f t="shared" ref="AI42:AI59" si="134">IF(DO42&gt;=1,(((Y42/DO42)*60)+40)," ")</f>
        <v xml:space="preserve"> </v>
      </c>
      <c r="AJ42" s="40" t="str">
        <f t="shared" ref="AJ42:AJ59" si="135">IF(DP42&gt;=1,(((Z42/DP42)*60)+40)," ")</f>
        <v xml:space="preserve"> </v>
      </c>
      <c r="AK42" s="40" t="str">
        <f t="shared" ref="AK42:AK59" si="136">IF(DQ42&gt;=1,(((AA42/DQ42)*60)+40)," ")</f>
        <v xml:space="preserve"> </v>
      </c>
      <c r="AL42" s="40" t="str">
        <f t="shared" ref="AL42:AL59" si="137">IF(DR42&gt;=1,(((AB42/DR42)*60)+40)," ")</f>
        <v xml:space="preserve"> </v>
      </c>
      <c r="AM42" s="40" t="str">
        <f t="shared" ref="AM42:AM59" si="138">IF(DS42&gt;=1,(((AC42/DS42)*60)+40)," ")</f>
        <v xml:space="preserve"> </v>
      </c>
      <c r="AN42" s="40" t="str">
        <f t="shared" ref="AN42:AN59" si="139">IF(DT42&gt;=1,(((AD42/DT42)*60)+40)," ")</f>
        <v xml:space="preserve"> </v>
      </c>
      <c r="AO42" s="40" t="str">
        <f t="shared" ref="AO42:AO59" si="140">IF(DU42&gt;=1,(((AE42/DU42)*60)+40)," ")</f>
        <v xml:space="preserve"> </v>
      </c>
      <c r="AP42" s="40" t="str">
        <f t="shared" ref="AP42:AP59" si="141">IF(DV42&gt;=1,(((AF42/DV42)*60)+40)," ")</f>
        <v xml:space="preserve"> </v>
      </c>
      <c r="AQ42" s="40" t="str">
        <f t="shared" ref="AQ42:AQ59" si="142">IF(DW42&gt;=1,(((AG42/DW42)*60)+40)," ")</f>
        <v xml:space="preserve"> </v>
      </c>
      <c r="AR42" s="41" t="e">
        <f t="shared" ref="AR42:AR59" si="143">(SUM(AH42:AQ42))/DX42</f>
        <v>#DIV/0!</v>
      </c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42" t="str">
        <f t="shared" ref="BC42:BC59" si="144">IF(DY42&gt;=1,(((AS42/DY42)*60)+40)," ")</f>
        <v xml:space="preserve"> </v>
      </c>
      <c r="BD42" s="42" t="str">
        <f t="shared" ref="BD42:BD59" si="145">IF(DZ42&gt;=1,(((AT42/DZ42)*60)+40)," ")</f>
        <v xml:space="preserve"> </v>
      </c>
      <c r="BE42" s="42" t="str">
        <f t="shared" ref="BE42:BE59" si="146">IF(EA42&gt;=1,(((AU42/EA42)*60)+40)," ")</f>
        <v xml:space="preserve"> </v>
      </c>
      <c r="BF42" s="42" t="str">
        <f t="shared" ref="BF42:BF59" si="147">IF(EB42&gt;=1,(((AV42/EB42)*60)+40)," ")</f>
        <v xml:space="preserve"> </v>
      </c>
      <c r="BG42" s="42" t="str">
        <f t="shared" ref="BG42:BG59" si="148">IF(EC42&gt;=1,(((AW42/EC42)*60)+40)," ")</f>
        <v xml:space="preserve"> </v>
      </c>
      <c r="BH42" s="42" t="str">
        <f t="shared" ref="BH42:BH59" si="149">IF(ED42&gt;=1,(((AX42/ED42)*60)+40)," ")</f>
        <v xml:space="preserve"> </v>
      </c>
      <c r="BI42" s="42" t="str">
        <f t="shared" ref="BI42:BI59" si="150">IF(EE42&gt;=1,(((AY42/EE42)*60)+40)," ")</f>
        <v xml:space="preserve"> </v>
      </c>
      <c r="BJ42" s="42" t="str">
        <f t="shared" ref="BJ42:BJ59" si="151">IF(EF42&gt;=1,(((AZ42/EF42)*60)+40)," ")</f>
        <v xml:space="preserve"> </v>
      </c>
      <c r="BK42" s="42" t="str">
        <f t="shared" ref="BK42:BK59" si="152">IF(EG42&gt;=1,(((BA42/EG42)*60)+40)," ")</f>
        <v xml:space="preserve"> </v>
      </c>
      <c r="BL42" s="42" t="str">
        <f t="shared" ref="BL42:BL59" si="153">IF(EH42&gt;=1,(((BB42/EH42)*60)+40)," ")</f>
        <v xml:space="preserve"> </v>
      </c>
      <c r="BM42" s="43" t="e">
        <f t="shared" ref="BM42:BM59" si="154">(SUM(BC42:BL42))/EI42</f>
        <v>#DIV/0!</v>
      </c>
      <c r="BN42" s="38"/>
      <c r="BO42" s="44" t="e">
        <f t="shared" ref="BO42:BO59" si="155">((BN42/EJ42)*60)+40</f>
        <v>#DIV/0!</v>
      </c>
      <c r="BP42" s="20"/>
      <c r="BQ42" s="39" t="e">
        <f t="shared" si="73"/>
        <v>#DIV/0!</v>
      </c>
      <c r="BR42" s="23" t="e">
        <f t="shared" si="96"/>
        <v>#DIV/0!</v>
      </c>
      <c r="BS42" s="45"/>
      <c r="BT42" s="46"/>
      <c r="BU42" s="46"/>
      <c r="BV42" s="46"/>
      <c r="BW42" s="21" t="str">
        <f t="shared" ref="BW42:BW59" si="156">IF(C42="P",1,IF(C42="L",1,""))</f>
        <v/>
      </c>
      <c r="BX42" s="22" t="str">
        <f t="shared" ref="BX42:BX59" si="157">IF(D42="P",1,IF(D42="L",1,""))</f>
        <v/>
      </c>
      <c r="BY42" s="22" t="str">
        <f t="shared" ref="BY42:BY59" si="158">IF(E42="P",1,IF(E42="L",1,""))</f>
        <v/>
      </c>
      <c r="BZ42" s="22" t="str">
        <f t="shared" ref="BZ42:BZ59" si="159">IF(F42="P",1,IF(F42="L",1,""))</f>
        <v/>
      </c>
      <c r="CA42" s="22" t="str">
        <f t="shared" ref="CA42:CA59" si="160">IF(G42="P",1,IF(G42="L",1,""))</f>
        <v/>
      </c>
      <c r="CB42" s="22" t="str">
        <f t="shared" ref="CB42:CB59" si="161">IF(H42="P",1,IF(H42="L",1,""))</f>
        <v/>
      </c>
      <c r="CC42" s="22" t="str">
        <f t="shared" ref="CC42:CC59" si="162">IF(I42="P",1,IF(I42="L",1,""))</f>
        <v/>
      </c>
      <c r="CD42" s="22" t="str">
        <f t="shared" ref="CD42:CD59" si="163">IF(J42="P",1,IF(J42="L",1,""))</f>
        <v/>
      </c>
      <c r="CE42" s="22" t="str">
        <f t="shared" ref="CE42:CE59" si="164">IF(K42="P",1,IF(K42="L",1,""))</f>
        <v/>
      </c>
      <c r="CF42" s="22" t="str">
        <f t="shared" ref="CF42:CF59" si="165">IF(L42="P",1,IF(L42="L",1,""))</f>
        <v/>
      </c>
      <c r="CG42" s="22" t="str">
        <f t="shared" ref="CG42:CG59" si="166">IF(M42="P",1,IF(M42="L",1,""))</f>
        <v/>
      </c>
      <c r="CH42" s="22" t="str">
        <f t="shared" ref="CH42:CH59" si="167">IF(N42="P",1,IF(N42="L",1,""))</f>
        <v/>
      </c>
      <c r="CI42" s="22" t="str">
        <f t="shared" ref="CI42:CI59" si="168">IF(O42="P",1,IF(O42="L",1,""))</f>
        <v/>
      </c>
      <c r="CJ42" s="22" t="str">
        <f t="shared" ref="CJ42:CJ59" si="169">IF(P42="P",1,IF(P42="L",1,""))</f>
        <v/>
      </c>
      <c r="CK42" s="22" t="str">
        <f t="shared" ref="CK42:CK59" si="170">IF(Q42="P",1,IF(Q42="L",1,""))</f>
        <v/>
      </c>
      <c r="CL42" s="22" t="str">
        <f t="shared" ref="CL42:CL59" si="171">IF(R42="P",1,IF(R42="L",1,""))</f>
        <v/>
      </c>
      <c r="CM42" s="22" t="str">
        <f t="shared" ref="CM42:CM59" si="172">IF(S42="P",1,IF(S42="L",1,""))</f>
        <v/>
      </c>
      <c r="CN42" s="22" t="str">
        <f t="shared" ref="CN42:CN59" si="173">IF(T42="P",1,IF(T42="L",1,""))</f>
        <v/>
      </c>
      <c r="CO42" s="22" t="str">
        <f t="shared" ref="CO42:CO59" si="174">IF(U42="P",1,IF(U42="L",1,""))</f>
        <v/>
      </c>
      <c r="CP42" s="22" t="str">
        <f t="shared" ref="CP42:CP59" si="175">IF(V42="P",1,IF(V42="L",1,""))</f>
        <v/>
      </c>
      <c r="CQ42" s="22">
        <f t="shared" si="75"/>
        <v>0</v>
      </c>
      <c r="CR42" s="22">
        <f t="shared" si="130"/>
        <v>0</v>
      </c>
      <c r="CS42" s="22" t="str">
        <f t="shared" ref="CS42:CS59" si="176">IF(C42="l",1,"")</f>
        <v/>
      </c>
      <c r="CT42" s="22" t="str">
        <f t="shared" ref="CT42:CT59" si="177">IF(D42="l",1,"")</f>
        <v/>
      </c>
      <c r="CU42" s="22" t="str">
        <f t="shared" ref="CU42:CU59" si="178">IF(E42="l",1,"")</f>
        <v/>
      </c>
      <c r="CV42" s="22" t="str">
        <f t="shared" ref="CV42:CV59" si="179">IF(F42="l",1,"")</f>
        <v/>
      </c>
      <c r="CW42" s="22" t="str">
        <f t="shared" ref="CW42:CW59" si="180">IF(G42="l",1,"")</f>
        <v/>
      </c>
      <c r="CX42" s="22" t="str">
        <f t="shared" ref="CX42:CX59" si="181">IF(H42="l",1,"")</f>
        <v/>
      </c>
      <c r="CY42" s="22" t="str">
        <f t="shared" ref="CY42:CY59" si="182">IF(I42="l",1,"")</f>
        <v/>
      </c>
      <c r="CZ42" s="22" t="str">
        <f t="shared" ref="CZ42:CZ59" si="183">IF(J42="l",1,"")</f>
        <v/>
      </c>
      <c r="DA42" s="22" t="str">
        <f t="shared" ref="DA42:DA59" si="184">IF(K42="l",1,"")</f>
        <v/>
      </c>
      <c r="DB42" s="22" t="str">
        <f t="shared" ref="DB42:DB59" si="185">IF(L42="l",1,"")</f>
        <v/>
      </c>
      <c r="DC42" s="22" t="str">
        <f t="shared" ref="DC42:DC59" si="186">IF(M42="l",1,"")</f>
        <v/>
      </c>
      <c r="DD42" s="22" t="str">
        <f t="shared" ref="DD42:DD59" si="187">IF(N42="l",1,"")</f>
        <v/>
      </c>
      <c r="DE42" s="22" t="str">
        <f t="shared" ref="DE42:DE59" si="188">IF(O42="l",1,"")</f>
        <v/>
      </c>
      <c r="DF42" s="22" t="str">
        <f t="shared" ref="DF42:DF59" si="189">IF(P42="l",1,"")</f>
        <v/>
      </c>
      <c r="DG42" s="22" t="str">
        <f t="shared" ref="DG42:DG59" si="190">IF(Q42="l",1,"")</f>
        <v/>
      </c>
      <c r="DH42" s="22" t="str">
        <f t="shared" ref="DH42:DH59" si="191">IF(R42="l",1,"")</f>
        <v/>
      </c>
      <c r="DI42" s="22" t="str">
        <f t="shared" ref="DI42:DI59" si="192">IF(S42="l",1,"")</f>
        <v/>
      </c>
      <c r="DJ42" s="22" t="str">
        <f t="shared" ref="DJ42:DJ59" si="193">IF(T42="l",1,"")</f>
        <v/>
      </c>
      <c r="DK42" s="22" t="str">
        <f t="shared" ref="DK42:DK59" si="194">IF(U42="l",1,"")</f>
        <v/>
      </c>
      <c r="DL42" s="22" t="str">
        <f t="shared" ref="DL42:DL59" si="195">IF(V42="l",1,"")</f>
        <v/>
      </c>
      <c r="DM42" s="22">
        <f t="shared" ref="DM42:DM59" si="196">TRUNC(((SUM(CS42:DL42))/3),0)</f>
        <v>0</v>
      </c>
      <c r="DN42" s="36">
        <f t="shared" ref="DN42:DW42" si="197">DN41</f>
        <v>0</v>
      </c>
      <c r="DO42" s="36">
        <f t="shared" si="197"/>
        <v>0</v>
      </c>
      <c r="DP42" s="36">
        <f t="shared" si="197"/>
        <v>0</v>
      </c>
      <c r="DQ42" s="36">
        <f t="shared" si="197"/>
        <v>0</v>
      </c>
      <c r="DR42" s="36">
        <f t="shared" si="197"/>
        <v>0</v>
      </c>
      <c r="DS42" s="36">
        <f t="shared" si="197"/>
        <v>0</v>
      </c>
      <c r="DT42" s="36">
        <f t="shared" si="197"/>
        <v>0</v>
      </c>
      <c r="DU42" s="36">
        <f t="shared" si="197"/>
        <v>0</v>
      </c>
      <c r="DV42" s="36">
        <f t="shared" si="197"/>
        <v>0</v>
      </c>
      <c r="DW42" s="36">
        <f t="shared" si="197"/>
        <v>0</v>
      </c>
      <c r="DX42" s="23">
        <f t="shared" si="90"/>
        <v>0</v>
      </c>
      <c r="DY42" s="23">
        <f t="shared" si="98"/>
        <v>0</v>
      </c>
      <c r="DZ42" s="23">
        <f t="shared" si="99"/>
        <v>0</v>
      </c>
      <c r="EA42" s="23">
        <f t="shared" si="100"/>
        <v>0</v>
      </c>
      <c r="EB42" s="23">
        <f t="shared" si="101"/>
        <v>0</v>
      </c>
      <c r="EC42" s="23">
        <f t="shared" si="102"/>
        <v>0</v>
      </c>
      <c r="ED42" s="23">
        <f t="shared" si="103"/>
        <v>0</v>
      </c>
      <c r="EE42" s="23">
        <f t="shared" si="104"/>
        <v>0</v>
      </c>
      <c r="EF42" s="23">
        <f t="shared" si="105"/>
        <v>0</v>
      </c>
      <c r="EG42" s="23">
        <f t="shared" si="106"/>
        <v>0</v>
      </c>
      <c r="EH42" s="23">
        <f t="shared" si="107"/>
        <v>0</v>
      </c>
      <c r="EI42" s="23">
        <f t="shared" si="87"/>
        <v>0</v>
      </c>
      <c r="EJ42" s="23">
        <f t="shared" si="88"/>
        <v>0</v>
      </c>
    </row>
    <row r="43" spans="1:140" ht="9.9" customHeight="1" x14ac:dyDescent="0.3">
      <c r="A43" s="23">
        <v>34</v>
      </c>
      <c r="B43" s="37" t="str">
        <f>IF(ISBLANK(Informations!B44),"",Informations!B44)</f>
        <v>VELASCO, SHYRA BABES C.</v>
      </c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9" t="e">
        <f t="shared" si="132"/>
        <v>#DIV/0!</v>
      </c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40" t="str">
        <f t="shared" si="133"/>
        <v xml:space="preserve"> </v>
      </c>
      <c r="AI43" s="40" t="str">
        <f t="shared" si="134"/>
        <v xml:space="preserve"> </v>
      </c>
      <c r="AJ43" s="40" t="str">
        <f t="shared" si="135"/>
        <v xml:space="preserve"> </v>
      </c>
      <c r="AK43" s="40" t="str">
        <f t="shared" si="136"/>
        <v xml:space="preserve"> </v>
      </c>
      <c r="AL43" s="40" t="str">
        <f t="shared" si="137"/>
        <v xml:space="preserve"> </v>
      </c>
      <c r="AM43" s="40" t="str">
        <f t="shared" si="138"/>
        <v xml:space="preserve"> </v>
      </c>
      <c r="AN43" s="40" t="str">
        <f t="shared" si="139"/>
        <v xml:space="preserve"> </v>
      </c>
      <c r="AO43" s="40" t="str">
        <f t="shared" si="140"/>
        <v xml:space="preserve"> </v>
      </c>
      <c r="AP43" s="40" t="str">
        <f t="shared" si="141"/>
        <v xml:space="preserve"> </v>
      </c>
      <c r="AQ43" s="40" t="str">
        <f t="shared" si="142"/>
        <v xml:space="preserve"> </v>
      </c>
      <c r="AR43" s="41" t="e">
        <f t="shared" si="143"/>
        <v>#DIV/0!</v>
      </c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42" t="str">
        <f t="shared" si="144"/>
        <v xml:space="preserve"> </v>
      </c>
      <c r="BD43" s="42" t="str">
        <f t="shared" si="145"/>
        <v xml:space="preserve"> </v>
      </c>
      <c r="BE43" s="42" t="str">
        <f t="shared" si="146"/>
        <v xml:space="preserve"> </v>
      </c>
      <c r="BF43" s="42" t="str">
        <f t="shared" si="147"/>
        <v xml:space="preserve"> </v>
      </c>
      <c r="BG43" s="42" t="str">
        <f t="shared" si="148"/>
        <v xml:space="preserve"> </v>
      </c>
      <c r="BH43" s="42" t="str">
        <f t="shared" si="149"/>
        <v xml:space="preserve"> </v>
      </c>
      <c r="BI43" s="42" t="str">
        <f t="shared" si="150"/>
        <v xml:space="preserve"> </v>
      </c>
      <c r="BJ43" s="42" t="str">
        <f t="shared" si="151"/>
        <v xml:space="preserve"> </v>
      </c>
      <c r="BK43" s="42" t="str">
        <f t="shared" si="152"/>
        <v xml:space="preserve"> </v>
      </c>
      <c r="BL43" s="42" t="str">
        <f t="shared" si="153"/>
        <v xml:space="preserve"> </v>
      </c>
      <c r="BM43" s="43" t="e">
        <f t="shared" si="154"/>
        <v>#DIV/0!</v>
      </c>
      <c r="BN43" s="38"/>
      <c r="BO43" s="44" t="e">
        <f t="shared" si="155"/>
        <v>#DIV/0!</v>
      </c>
      <c r="BP43" s="20"/>
      <c r="BQ43" s="39" t="e">
        <f t="shared" si="73"/>
        <v>#DIV/0!</v>
      </c>
      <c r="BR43" s="23" t="e">
        <f t="shared" si="96"/>
        <v>#DIV/0!</v>
      </c>
      <c r="BS43" s="45"/>
      <c r="BT43" s="46"/>
      <c r="BU43" s="46"/>
      <c r="BV43" s="46"/>
      <c r="BW43" s="21" t="str">
        <f t="shared" si="156"/>
        <v/>
      </c>
      <c r="BX43" s="22" t="str">
        <f t="shared" si="157"/>
        <v/>
      </c>
      <c r="BY43" s="22" t="str">
        <f t="shared" si="158"/>
        <v/>
      </c>
      <c r="BZ43" s="22" t="str">
        <f t="shared" si="159"/>
        <v/>
      </c>
      <c r="CA43" s="22" t="str">
        <f t="shared" si="160"/>
        <v/>
      </c>
      <c r="CB43" s="22" t="str">
        <f t="shared" si="161"/>
        <v/>
      </c>
      <c r="CC43" s="22" t="str">
        <f t="shared" si="162"/>
        <v/>
      </c>
      <c r="CD43" s="22" t="str">
        <f t="shared" si="163"/>
        <v/>
      </c>
      <c r="CE43" s="22" t="str">
        <f t="shared" si="164"/>
        <v/>
      </c>
      <c r="CF43" s="22" t="str">
        <f t="shared" si="165"/>
        <v/>
      </c>
      <c r="CG43" s="22" t="str">
        <f t="shared" si="166"/>
        <v/>
      </c>
      <c r="CH43" s="22" t="str">
        <f t="shared" si="167"/>
        <v/>
      </c>
      <c r="CI43" s="22" t="str">
        <f t="shared" si="168"/>
        <v/>
      </c>
      <c r="CJ43" s="22" t="str">
        <f t="shared" si="169"/>
        <v/>
      </c>
      <c r="CK43" s="22" t="str">
        <f t="shared" si="170"/>
        <v/>
      </c>
      <c r="CL43" s="22" t="str">
        <f t="shared" si="171"/>
        <v/>
      </c>
      <c r="CM43" s="22" t="str">
        <f t="shared" si="172"/>
        <v/>
      </c>
      <c r="CN43" s="22" t="str">
        <f t="shared" si="173"/>
        <v/>
      </c>
      <c r="CO43" s="22" t="str">
        <f t="shared" si="174"/>
        <v/>
      </c>
      <c r="CP43" s="22" t="str">
        <f t="shared" si="175"/>
        <v/>
      </c>
      <c r="CQ43" s="22">
        <f t="shared" si="75"/>
        <v>0</v>
      </c>
      <c r="CR43" s="22">
        <f t="shared" si="130"/>
        <v>0</v>
      </c>
      <c r="CS43" s="22" t="str">
        <f t="shared" si="176"/>
        <v/>
      </c>
      <c r="CT43" s="22" t="str">
        <f t="shared" si="177"/>
        <v/>
      </c>
      <c r="CU43" s="22" t="str">
        <f t="shared" si="178"/>
        <v/>
      </c>
      <c r="CV43" s="22" t="str">
        <f t="shared" si="179"/>
        <v/>
      </c>
      <c r="CW43" s="22" t="str">
        <f t="shared" si="180"/>
        <v/>
      </c>
      <c r="CX43" s="22" t="str">
        <f t="shared" si="181"/>
        <v/>
      </c>
      <c r="CY43" s="22" t="str">
        <f t="shared" si="182"/>
        <v/>
      </c>
      <c r="CZ43" s="22" t="str">
        <f t="shared" si="183"/>
        <v/>
      </c>
      <c r="DA43" s="22" t="str">
        <f t="shared" si="184"/>
        <v/>
      </c>
      <c r="DB43" s="22" t="str">
        <f t="shared" si="185"/>
        <v/>
      </c>
      <c r="DC43" s="22" t="str">
        <f t="shared" si="186"/>
        <v/>
      </c>
      <c r="DD43" s="22" t="str">
        <f t="shared" si="187"/>
        <v/>
      </c>
      <c r="DE43" s="22" t="str">
        <f t="shared" si="188"/>
        <v/>
      </c>
      <c r="DF43" s="22" t="str">
        <f t="shared" si="189"/>
        <v/>
      </c>
      <c r="DG43" s="22" t="str">
        <f t="shared" si="190"/>
        <v/>
      </c>
      <c r="DH43" s="22" t="str">
        <f t="shared" si="191"/>
        <v/>
      </c>
      <c r="DI43" s="22" t="str">
        <f t="shared" si="192"/>
        <v/>
      </c>
      <c r="DJ43" s="22" t="str">
        <f t="shared" si="193"/>
        <v/>
      </c>
      <c r="DK43" s="22" t="str">
        <f t="shared" si="194"/>
        <v/>
      </c>
      <c r="DL43" s="22" t="str">
        <f t="shared" si="195"/>
        <v/>
      </c>
      <c r="DM43" s="22">
        <f t="shared" si="196"/>
        <v>0</v>
      </c>
      <c r="DN43" s="36">
        <f t="shared" ref="DN43:DW43" si="198">DN42</f>
        <v>0</v>
      </c>
      <c r="DO43" s="36">
        <f t="shared" si="198"/>
        <v>0</v>
      </c>
      <c r="DP43" s="36">
        <f t="shared" si="198"/>
        <v>0</v>
      </c>
      <c r="DQ43" s="36">
        <f t="shared" si="198"/>
        <v>0</v>
      </c>
      <c r="DR43" s="36">
        <f t="shared" si="198"/>
        <v>0</v>
      </c>
      <c r="DS43" s="36">
        <f t="shared" si="198"/>
        <v>0</v>
      </c>
      <c r="DT43" s="36">
        <f t="shared" si="198"/>
        <v>0</v>
      </c>
      <c r="DU43" s="36">
        <f t="shared" si="198"/>
        <v>0</v>
      </c>
      <c r="DV43" s="36">
        <f t="shared" si="198"/>
        <v>0</v>
      </c>
      <c r="DW43" s="36">
        <f t="shared" si="198"/>
        <v>0</v>
      </c>
      <c r="DX43" s="23">
        <f t="shared" si="90"/>
        <v>0</v>
      </c>
      <c r="DY43" s="23">
        <f t="shared" si="98"/>
        <v>0</v>
      </c>
      <c r="DZ43" s="23">
        <f t="shared" si="99"/>
        <v>0</v>
      </c>
      <c r="EA43" s="23">
        <f t="shared" si="100"/>
        <v>0</v>
      </c>
      <c r="EB43" s="23">
        <f t="shared" si="101"/>
        <v>0</v>
      </c>
      <c r="EC43" s="23">
        <f t="shared" si="102"/>
        <v>0</v>
      </c>
      <c r="ED43" s="23">
        <f t="shared" si="103"/>
        <v>0</v>
      </c>
      <c r="EE43" s="23">
        <f t="shared" si="104"/>
        <v>0</v>
      </c>
      <c r="EF43" s="23">
        <f t="shared" si="105"/>
        <v>0</v>
      </c>
      <c r="EG43" s="23">
        <f t="shared" si="106"/>
        <v>0</v>
      </c>
      <c r="EH43" s="23">
        <f t="shared" si="107"/>
        <v>0</v>
      </c>
      <c r="EI43" s="23">
        <f t="shared" si="87"/>
        <v>0</v>
      </c>
      <c r="EJ43" s="23">
        <f t="shared" si="88"/>
        <v>0</v>
      </c>
    </row>
    <row r="44" spans="1:140" ht="9.9" customHeight="1" x14ac:dyDescent="0.3">
      <c r="A44" s="23">
        <v>35</v>
      </c>
      <c r="B44" s="37" t="str">
        <f>IF(ISBLANK(Informations!B45),"",Informations!B45)</f>
        <v>VENERACION, PRINCESS P.</v>
      </c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9" t="e">
        <f t="shared" si="132"/>
        <v>#DIV/0!</v>
      </c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40" t="str">
        <f t="shared" si="133"/>
        <v xml:space="preserve"> </v>
      </c>
      <c r="AI44" s="40" t="str">
        <f t="shared" si="134"/>
        <v xml:space="preserve"> </v>
      </c>
      <c r="AJ44" s="40" t="str">
        <f t="shared" si="135"/>
        <v xml:space="preserve"> </v>
      </c>
      <c r="AK44" s="40" t="str">
        <f t="shared" si="136"/>
        <v xml:space="preserve"> </v>
      </c>
      <c r="AL44" s="40" t="str">
        <f t="shared" si="137"/>
        <v xml:space="preserve"> </v>
      </c>
      <c r="AM44" s="40" t="str">
        <f t="shared" si="138"/>
        <v xml:space="preserve"> </v>
      </c>
      <c r="AN44" s="40" t="str">
        <f t="shared" si="139"/>
        <v xml:space="preserve"> </v>
      </c>
      <c r="AO44" s="40" t="str">
        <f t="shared" si="140"/>
        <v xml:space="preserve"> </v>
      </c>
      <c r="AP44" s="40" t="str">
        <f t="shared" si="141"/>
        <v xml:space="preserve"> </v>
      </c>
      <c r="AQ44" s="40" t="str">
        <f t="shared" si="142"/>
        <v xml:space="preserve"> </v>
      </c>
      <c r="AR44" s="41" t="e">
        <f t="shared" si="143"/>
        <v>#DIV/0!</v>
      </c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42" t="str">
        <f t="shared" si="144"/>
        <v xml:space="preserve"> </v>
      </c>
      <c r="BD44" s="42" t="str">
        <f t="shared" si="145"/>
        <v xml:space="preserve"> </v>
      </c>
      <c r="BE44" s="42" t="str">
        <f t="shared" si="146"/>
        <v xml:space="preserve"> </v>
      </c>
      <c r="BF44" s="42" t="str">
        <f t="shared" si="147"/>
        <v xml:space="preserve"> </v>
      </c>
      <c r="BG44" s="42" t="str">
        <f t="shared" si="148"/>
        <v xml:space="preserve"> </v>
      </c>
      <c r="BH44" s="42" t="str">
        <f t="shared" si="149"/>
        <v xml:space="preserve"> </v>
      </c>
      <c r="BI44" s="42" t="str">
        <f t="shared" si="150"/>
        <v xml:space="preserve"> </v>
      </c>
      <c r="BJ44" s="42" t="str">
        <f t="shared" si="151"/>
        <v xml:space="preserve"> </v>
      </c>
      <c r="BK44" s="42" t="str">
        <f t="shared" si="152"/>
        <v xml:space="preserve"> </v>
      </c>
      <c r="BL44" s="42" t="str">
        <f t="shared" si="153"/>
        <v xml:space="preserve"> </v>
      </c>
      <c r="BM44" s="43" t="e">
        <f t="shared" si="154"/>
        <v>#DIV/0!</v>
      </c>
      <c r="BN44" s="38"/>
      <c r="BO44" s="44" t="e">
        <f t="shared" si="155"/>
        <v>#DIV/0!</v>
      </c>
      <c r="BP44" s="20"/>
      <c r="BQ44" s="39" t="e">
        <f t="shared" si="73"/>
        <v>#DIV/0!</v>
      </c>
      <c r="BR44" s="23" t="e">
        <f t="shared" si="96"/>
        <v>#DIV/0!</v>
      </c>
      <c r="BS44" s="45"/>
      <c r="BT44" s="46"/>
      <c r="BU44" s="46"/>
      <c r="BV44" s="46"/>
      <c r="BW44" s="21" t="str">
        <f t="shared" si="156"/>
        <v/>
      </c>
      <c r="BX44" s="22" t="str">
        <f t="shared" si="157"/>
        <v/>
      </c>
      <c r="BY44" s="22" t="str">
        <f t="shared" si="158"/>
        <v/>
      </c>
      <c r="BZ44" s="22" t="str">
        <f t="shared" si="159"/>
        <v/>
      </c>
      <c r="CA44" s="22" t="str">
        <f t="shared" si="160"/>
        <v/>
      </c>
      <c r="CB44" s="22" t="str">
        <f t="shared" si="161"/>
        <v/>
      </c>
      <c r="CC44" s="22" t="str">
        <f t="shared" si="162"/>
        <v/>
      </c>
      <c r="CD44" s="22" t="str">
        <f t="shared" si="163"/>
        <v/>
      </c>
      <c r="CE44" s="22" t="str">
        <f t="shared" si="164"/>
        <v/>
      </c>
      <c r="CF44" s="22" t="str">
        <f t="shared" si="165"/>
        <v/>
      </c>
      <c r="CG44" s="22" t="str">
        <f t="shared" si="166"/>
        <v/>
      </c>
      <c r="CH44" s="22" t="str">
        <f t="shared" si="167"/>
        <v/>
      </c>
      <c r="CI44" s="22" t="str">
        <f t="shared" si="168"/>
        <v/>
      </c>
      <c r="CJ44" s="22" t="str">
        <f t="shared" si="169"/>
        <v/>
      </c>
      <c r="CK44" s="22" t="str">
        <f t="shared" si="170"/>
        <v/>
      </c>
      <c r="CL44" s="22" t="str">
        <f t="shared" si="171"/>
        <v/>
      </c>
      <c r="CM44" s="22" t="str">
        <f t="shared" si="172"/>
        <v/>
      </c>
      <c r="CN44" s="22" t="str">
        <f t="shared" si="173"/>
        <v/>
      </c>
      <c r="CO44" s="22" t="str">
        <f t="shared" si="174"/>
        <v/>
      </c>
      <c r="CP44" s="22" t="str">
        <f t="shared" si="175"/>
        <v/>
      </c>
      <c r="CQ44" s="22">
        <f t="shared" si="75"/>
        <v>0</v>
      </c>
      <c r="CR44" s="22">
        <f t="shared" si="130"/>
        <v>0</v>
      </c>
      <c r="CS44" s="22" t="str">
        <f t="shared" si="176"/>
        <v/>
      </c>
      <c r="CT44" s="22" t="str">
        <f t="shared" si="177"/>
        <v/>
      </c>
      <c r="CU44" s="22" t="str">
        <f t="shared" si="178"/>
        <v/>
      </c>
      <c r="CV44" s="22" t="str">
        <f t="shared" si="179"/>
        <v/>
      </c>
      <c r="CW44" s="22" t="str">
        <f t="shared" si="180"/>
        <v/>
      </c>
      <c r="CX44" s="22" t="str">
        <f t="shared" si="181"/>
        <v/>
      </c>
      <c r="CY44" s="22" t="str">
        <f t="shared" si="182"/>
        <v/>
      </c>
      <c r="CZ44" s="22" t="str">
        <f t="shared" si="183"/>
        <v/>
      </c>
      <c r="DA44" s="22" t="str">
        <f t="shared" si="184"/>
        <v/>
      </c>
      <c r="DB44" s="22" t="str">
        <f t="shared" si="185"/>
        <v/>
      </c>
      <c r="DC44" s="22" t="str">
        <f t="shared" si="186"/>
        <v/>
      </c>
      <c r="DD44" s="22" t="str">
        <f t="shared" si="187"/>
        <v/>
      </c>
      <c r="DE44" s="22" t="str">
        <f t="shared" si="188"/>
        <v/>
      </c>
      <c r="DF44" s="22" t="str">
        <f t="shared" si="189"/>
        <v/>
      </c>
      <c r="DG44" s="22" t="str">
        <f t="shared" si="190"/>
        <v/>
      </c>
      <c r="DH44" s="22" t="str">
        <f t="shared" si="191"/>
        <v/>
      </c>
      <c r="DI44" s="22" t="str">
        <f t="shared" si="192"/>
        <v/>
      </c>
      <c r="DJ44" s="22" t="str">
        <f t="shared" si="193"/>
        <v/>
      </c>
      <c r="DK44" s="22" t="str">
        <f t="shared" si="194"/>
        <v/>
      </c>
      <c r="DL44" s="22" t="str">
        <f t="shared" si="195"/>
        <v/>
      </c>
      <c r="DM44" s="22">
        <f t="shared" si="196"/>
        <v>0</v>
      </c>
      <c r="DN44" s="36">
        <f t="shared" ref="DN44:DW44" si="199">DN43</f>
        <v>0</v>
      </c>
      <c r="DO44" s="36">
        <f t="shared" si="199"/>
        <v>0</v>
      </c>
      <c r="DP44" s="36">
        <f t="shared" si="199"/>
        <v>0</v>
      </c>
      <c r="DQ44" s="36">
        <f t="shared" si="199"/>
        <v>0</v>
      </c>
      <c r="DR44" s="36">
        <f t="shared" si="199"/>
        <v>0</v>
      </c>
      <c r="DS44" s="36">
        <f t="shared" si="199"/>
        <v>0</v>
      </c>
      <c r="DT44" s="36">
        <f t="shared" si="199"/>
        <v>0</v>
      </c>
      <c r="DU44" s="36">
        <f t="shared" si="199"/>
        <v>0</v>
      </c>
      <c r="DV44" s="36">
        <f t="shared" si="199"/>
        <v>0</v>
      </c>
      <c r="DW44" s="36">
        <f t="shared" si="199"/>
        <v>0</v>
      </c>
      <c r="DX44" s="23">
        <f t="shared" si="90"/>
        <v>0</v>
      </c>
      <c r="DY44" s="23">
        <f t="shared" si="98"/>
        <v>0</v>
      </c>
      <c r="DZ44" s="23">
        <f t="shared" si="99"/>
        <v>0</v>
      </c>
      <c r="EA44" s="23">
        <f t="shared" si="100"/>
        <v>0</v>
      </c>
      <c r="EB44" s="23">
        <f t="shared" si="101"/>
        <v>0</v>
      </c>
      <c r="EC44" s="23">
        <f t="shared" si="102"/>
        <v>0</v>
      </c>
      <c r="ED44" s="23">
        <f t="shared" si="103"/>
        <v>0</v>
      </c>
      <c r="EE44" s="23">
        <f t="shared" si="104"/>
        <v>0</v>
      </c>
      <c r="EF44" s="23">
        <f t="shared" si="105"/>
        <v>0</v>
      </c>
      <c r="EG44" s="23">
        <f t="shared" si="106"/>
        <v>0</v>
      </c>
      <c r="EH44" s="23">
        <f t="shared" si="107"/>
        <v>0</v>
      </c>
      <c r="EI44" s="23">
        <f t="shared" si="87"/>
        <v>0</v>
      </c>
      <c r="EJ44" s="23">
        <f t="shared" si="88"/>
        <v>0</v>
      </c>
    </row>
    <row r="45" spans="1:140" ht="9.9" customHeight="1" x14ac:dyDescent="0.3">
      <c r="A45" s="23">
        <v>36</v>
      </c>
      <c r="B45" s="37" t="str">
        <f>IF(ISBLANK(Informations!B46),"",Informations!B46)</f>
        <v>VERGARA, RAYAN JAY M.</v>
      </c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9" t="e">
        <f t="shared" si="132"/>
        <v>#DIV/0!</v>
      </c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40" t="str">
        <f t="shared" si="133"/>
        <v xml:space="preserve"> </v>
      </c>
      <c r="AI45" s="40" t="str">
        <f t="shared" si="134"/>
        <v xml:space="preserve"> </v>
      </c>
      <c r="AJ45" s="40" t="str">
        <f t="shared" si="135"/>
        <v xml:space="preserve"> </v>
      </c>
      <c r="AK45" s="40" t="str">
        <f t="shared" si="136"/>
        <v xml:space="preserve"> </v>
      </c>
      <c r="AL45" s="40" t="str">
        <f t="shared" si="137"/>
        <v xml:space="preserve"> </v>
      </c>
      <c r="AM45" s="40" t="str">
        <f t="shared" si="138"/>
        <v xml:space="preserve"> </v>
      </c>
      <c r="AN45" s="40" t="str">
        <f t="shared" si="139"/>
        <v xml:space="preserve"> </v>
      </c>
      <c r="AO45" s="40" t="str">
        <f t="shared" si="140"/>
        <v xml:space="preserve"> </v>
      </c>
      <c r="AP45" s="40" t="str">
        <f t="shared" si="141"/>
        <v xml:space="preserve"> </v>
      </c>
      <c r="AQ45" s="40" t="str">
        <f t="shared" si="142"/>
        <v xml:space="preserve"> </v>
      </c>
      <c r="AR45" s="41" t="e">
        <f t="shared" si="143"/>
        <v>#DIV/0!</v>
      </c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42" t="str">
        <f t="shared" si="144"/>
        <v xml:space="preserve"> </v>
      </c>
      <c r="BD45" s="42" t="str">
        <f t="shared" si="145"/>
        <v xml:space="preserve"> </v>
      </c>
      <c r="BE45" s="42" t="str">
        <f t="shared" si="146"/>
        <v xml:space="preserve"> </v>
      </c>
      <c r="BF45" s="42" t="str">
        <f t="shared" si="147"/>
        <v xml:space="preserve"> </v>
      </c>
      <c r="BG45" s="42" t="str">
        <f t="shared" si="148"/>
        <v xml:space="preserve"> </v>
      </c>
      <c r="BH45" s="42" t="str">
        <f t="shared" si="149"/>
        <v xml:space="preserve"> </v>
      </c>
      <c r="BI45" s="42" t="str">
        <f t="shared" si="150"/>
        <v xml:space="preserve"> </v>
      </c>
      <c r="BJ45" s="42" t="str">
        <f t="shared" si="151"/>
        <v xml:space="preserve"> </v>
      </c>
      <c r="BK45" s="42" t="str">
        <f t="shared" si="152"/>
        <v xml:space="preserve"> </v>
      </c>
      <c r="BL45" s="42" t="str">
        <f t="shared" si="153"/>
        <v xml:space="preserve"> </v>
      </c>
      <c r="BM45" s="43" t="e">
        <f t="shared" si="154"/>
        <v>#DIV/0!</v>
      </c>
      <c r="BN45" s="38"/>
      <c r="BO45" s="44" t="e">
        <f t="shared" si="155"/>
        <v>#DIV/0!</v>
      </c>
      <c r="BP45" s="20"/>
      <c r="BQ45" s="39" t="e">
        <f t="shared" si="73"/>
        <v>#DIV/0!</v>
      </c>
      <c r="BR45" s="23" t="e">
        <f t="shared" si="96"/>
        <v>#DIV/0!</v>
      </c>
      <c r="BS45" s="45"/>
      <c r="BT45" s="46"/>
      <c r="BU45" s="46"/>
      <c r="BV45" s="46"/>
      <c r="BW45" s="21" t="str">
        <f t="shared" si="156"/>
        <v/>
      </c>
      <c r="BX45" s="22" t="str">
        <f t="shared" si="157"/>
        <v/>
      </c>
      <c r="BY45" s="22" t="str">
        <f t="shared" si="158"/>
        <v/>
      </c>
      <c r="BZ45" s="22" t="str">
        <f t="shared" si="159"/>
        <v/>
      </c>
      <c r="CA45" s="22" t="str">
        <f t="shared" si="160"/>
        <v/>
      </c>
      <c r="CB45" s="22" t="str">
        <f t="shared" si="161"/>
        <v/>
      </c>
      <c r="CC45" s="22" t="str">
        <f t="shared" si="162"/>
        <v/>
      </c>
      <c r="CD45" s="22" t="str">
        <f t="shared" si="163"/>
        <v/>
      </c>
      <c r="CE45" s="22" t="str">
        <f t="shared" si="164"/>
        <v/>
      </c>
      <c r="CF45" s="22" t="str">
        <f t="shared" si="165"/>
        <v/>
      </c>
      <c r="CG45" s="22" t="str">
        <f t="shared" si="166"/>
        <v/>
      </c>
      <c r="CH45" s="22" t="str">
        <f t="shared" si="167"/>
        <v/>
      </c>
      <c r="CI45" s="22" t="str">
        <f t="shared" si="168"/>
        <v/>
      </c>
      <c r="CJ45" s="22" t="str">
        <f t="shared" si="169"/>
        <v/>
      </c>
      <c r="CK45" s="22" t="str">
        <f t="shared" si="170"/>
        <v/>
      </c>
      <c r="CL45" s="22" t="str">
        <f t="shared" si="171"/>
        <v/>
      </c>
      <c r="CM45" s="22" t="str">
        <f t="shared" si="172"/>
        <v/>
      </c>
      <c r="CN45" s="22" t="str">
        <f t="shared" si="173"/>
        <v/>
      </c>
      <c r="CO45" s="22" t="str">
        <f t="shared" si="174"/>
        <v/>
      </c>
      <c r="CP45" s="22" t="str">
        <f t="shared" si="175"/>
        <v/>
      </c>
      <c r="CQ45" s="22">
        <f t="shared" si="75"/>
        <v>0</v>
      </c>
      <c r="CR45" s="22">
        <f t="shared" si="130"/>
        <v>0</v>
      </c>
      <c r="CS45" s="22" t="str">
        <f t="shared" si="176"/>
        <v/>
      </c>
      <c r="CT45" s="22" t="str">
        <f t="shared" si="177"/>
        <v/>
      </c>
      <c r="CU45" s="22" t="str">
        <f t="shared" si="178"/>
        <v/>
      </c>
      <c r="CV45" s="22" t="str">
        <f t="shared" si="179"/>
        <v/>
      </c>
      <c r="CW45" s="22" t="str">
        <f t="shared" si="180"/>
        <v/>
      </c>
      <c r="CX45" s="22" t="str">
        <f t="shared" si="181"/>
        <v/>
      </c>
      <c r="CY45" s="22" t="str">
        <f t="shared" si="182"/>
        <v/>
      </c>
      <c r="CZ45" s="22" t="str">
        <f t="shared" si="183"/>
        <v/>
      </c>
      <c r="DA45" s="22" t="str">
        <f t="shared" si="184"/>
        <v/>
      </c>
      <c r="DB45" s="22" t="str">
        <f t="shared" si="185"/>
        <v/>
      </c>
      <c r="DC45" s="22" t="str">
        <f t="shared" si="186"/>
        <v/>
      </c>
      <c r="DD45" s="22" t="str">
        <f t="shared" si="187"/>
        <v/>
      </c>
      <c r="DE45" s="22" t="str">
        <f t="shared" si="188"/>
        <v/>
      </c>
      <c r="DF45" s="22" t="str">
        <f t="shared" si="189"/>
        <v/>
      </c>
      <c r="DG45" s="22" t="str">
        <f t="shared" si="190"/>
        <v/>
      </c>
      <c r="DH45" s="22" t="str">
        <f t="shared" si="191"/>
        <v/>
      </c>
      <c r="DI45" s="22" t="str">
        <f t="shared" si="192"/>
        <v/>
      </c>
      <c r="DJ45" s="22" t="str">
        <f t="shared" si="193"/>
        <v/>
      </c>
      <c r="DK45" s="22" t="str">
        <f t="shared" si="194"/>
        <v/>
      </c>
      <c r="DL45" s="22" t="str">
        <f t="shared" si="195"/>
        <v/>
      </c>
      <c r="DM45" s="22">
        <f t="shared" si="196"/>
        <v>0</v>
      </c>
      <c r="DN45" s="36">
        <f t="shared" ref="DN45:DW45" si="200">DN44</f>
        <v>0</v>
      </c>
      <c r="DO45" s="36">
        <f t="shared" si="200"/>
        <v>0</v>
      </c>
      <c r="DP45" s="36">
        <f t="shared" si="200"/>
        <v>0</v>
      </c>
      <c r="DQ45" s="36">
        <f t="shared" si="200"/>
        <v>0</v>
      </c>
      <c r="DR45" s="36">
        <f t="shared" si="200"/>
        <v>0</v>
      </c>
      <c r="DS45" s="36">
        <f t="shared" si="200"/>
        <v>0</v>
      </c>
      <c r="DT45" s="36">
        <f t="shared" si="200"/>
        <v>0</v>
      </c>
      <c r="DU45" s="36">
        <f t="shared" si="200"/>
        <v>0</v>
      </c>
      <c r="DV45" s="36">
        <f t="shared" si="200"/>
        <v>0</v>
      </c>
      <c r="DW45" s="36">
        <f t="shared" si="200"/>
        <v>0</v>
      </c>
      <c r="DX45" s="23">
        <f t="shared" si="90"/>
        <v>0</v>
      </c>
      <c r="DY45" s="23">
        <f t="shared" si="98"/>
        <v>0</v>
      </c>
      <c r="DZ45" s="23">
        <f t="shared" si="99"/>
        <v>0</v>
      </c>
      <c r="EA45" s="23">
        <f t="shared" si="100"/>
        <v>0</v>
      </c>
      <c r="EB45" s="23">
        <f t="shared" si="101"/>
        <v>0</v>
      </c>
      <c r="EC45" s="23">
        <f t="shared" si="102"/>
        <v>0</v>
      </c>
      <c r="ED45" s="23">
        <f t="shared" si="103"/>
        <v>0</v>
      </c>
      <c r="EE45" s="23">
        <f t="shared" si="104"/>
        <v>0</v>
      </c>
      <c r="EF45" s="23">
        <f t="shared" si="105"/>
        <v>0</v>
      </c>
      <c r="EG45" s="23">
        <f t="shared" si="106"/>
        <v>0</v>
      </c>
      <c r="EH45" s="23">
        <f t="shared" si="107"/>
        <v>0</v>
      </c>
      <c r="EI45" s="23">
        <f t="shared" si="87"/>
        <v>0</v>
      </c>
      <c r="EJ45" s="23">
        <f t="shared" si="88"/>
        <v>0</v>
      </c>
    </row>
    <row r="46" spans="1:140" ht="9.9" customHeight="1" x14ac:dyDescent="0.3">
      <c r="A46" s="23">
        <v>37</v>
      </c>
      <c r="B46" s="37" t="str">
        <f>IF(ISBLANK(Informations!B47),"",Informations!B47)</f>
        <v>VILLAVER, JEHAN CEDRIC G.</v>
      </c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9" t="e">
        <f t="shared" si="132"/>
        <v>#DIV/0!</v>
      </c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40" t="str">
        <f t="shared" si="133"/>
        <v xml:space="preserve"> </v>
      </c>
      <c r="AI46" s="40" t="str">
        <f t="shared" si="134"/>
        <v xml:space="preserve"> </v>
      </c>
      <c r="AJ46" s="40" t="str">
        <f t="shared" si="135"/>
        <v xml:space="preserve"> </v>
      </c>
      <c r="AK46" s="40" t="str">
        <f t="shared" si="136"/>
        <v xml:space="preserve"> </v>
      </c>
      <c r="AL46" s="40" t="str">
        <f t="shared" si="137"/>
        <v xml:space="preserve"> </v>
      </c>
      <c r="AM46" s="40" t="str">
        <f t="shared" si="138"/>
        <v xml:space="preserve"> </v>
      </c>
      <c r="AN46" s="40" t="str">
        <f t="shared" si="139"/>
        <v xml:space="preserve"> </v>
      </c>
      <c r="AO46" s="40" t="str">
        <f t="shared" si="140"/>
        <v xml:space="preserve"> </v>
      </c>
      <c r="AP46" s="40" t="str">
        <f t="shared" si="141"/>
        <v xml:space="preserve"> </v>
      </c>
      <c r="AQ46" s="40" t="str">
        <f t="shared" si="142"/>
        <v xml:space="preserve"> </v>
      </c>
      <c r="AR46" s="41" t="e">
        <f t="shared" si="143"/>
        <v>#DIV/0!</v>
      </c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42" t="str">
        <f t="shared" si="144"/>
        <v xml:space="preserve"> </v>
      </c>
      <c r="BD46" s="42" t="str">
        <f t="shared" si="145"/>
        <v xml:space="preserve"> </v>
      </c>
      <c r="BE46" s="42" t="str">
        <f t="shared" si="146"/>
        <v xml:space="preserve"> </v>
      </c>
      <c r="BF46" s="42" t="str">
        <f t="shared" si="147"/>
        <v xml:space="preserve"> </v>
      </c>
      <c r="BG46" s="42" t="str">
        <f t="shared" si="148"/>
        <v xml:space="preserve"> </v>
      </c>
      <c r="BH46" s="42" t="str">
        <f t="shared" si="149"/>
        <v xml:space="preserve"> </v>
      </c>
      <c r="BI46" s="42" t="str">
        <f t="shared" si="150"/>
        <v xml:space="preserve"> </v>
      </c>
      <c r="BJ46" s="42" t="str">
        <f t="shared" si="151"/>
        <v xml:space="preserve"> </v>
      </c>
      <c r="BK46" s="42" t="str">
        <f t="shared" si="152"/>
        <v xml:space="preserve"> </v>
      </c>
      <c r="BL46" s="42" t="str">
        <f t="shared" si="153"/>
        <v xml:space="preserve"> </v>
      </c>
      <c r="BM46" s="43" t="e">
        <f t="shared" si="154"/>
        <v>#DIV/0!</v>
      </c>
      <c r="BN46" s="38"/>
      <c r="BO46" s="44" t="e">
        <f t="shared" si="155"/>
        <v>#DIV/0!</v>
      </c>
      <c r="BP46" s="20"/>
      <c r="BQ46" s="39" t="e">
        <f t="shared" si="73"/>
        <v>#DIV/0!</v>
      </c>
      <c r="BR46" s="23" t="e">
        <f t="shared" si="96"/>
        <v>#DIV/0!</v>
      </c>
      <c r="BS46" s="45"/>
      <c r="BT46" s="46"/>
      <c r="BU46" s="46"/>
      <c r="BV46" s="46"/>
      <c r="BW46" s="21" t="str">
        <f t="shared" si="156"/>
        <v/>
      </c>
      <c r="BX46" s="22" t="str">
        <f t="shared" si="157"/>
        <v/>
      </c>
      <c r="BY46" s="22" t="str">
        <f t="shared" si="158"/>
        <v/>
      </c>
      <c r="BZ46" s="22" t="str">
        <f t="shared" si="159"/>
        <v/>
      </c>
      <c r="CA46" s="22" t="str">
        <f t="shared" si="160"/>
        <v/>
      </c>
      <c r="CB46" s="22" t="str">
        <f t="shared" si="161"/>
        <v/>
      </c>
      <c r="CC46" s="22" t="str">
        <f t="shared" si="162"/>
        <v/>
      </c>
      <c r="CD46" s="22" t="str">
        <f t="shared" si="163"/>
        <v/>
      </c>
      <c r="CE46" s="22" t="str">
        <f t="shared" si="164"/>
        <v/>
      </c>
      <c r="CF46" s="22" t="str">
        <f t="shared" si="165"/>
        <v/>
      </c>
      <c r="CG46" s="22" t="str">
        <f t="shared" si="166"/>
        <v/>
      </c>
      <c r="CH46" s="22" t="str">
        <f t="shared" si="167"/>
        <v/>
      </c>
      <c r="CI46" s="22" t="str">
        <f t="shared" si="168"/>
        <v/>
      </c>
      <c r="CJ46" s="22" t="str">
        <f t="shared" si="169"/>
        <v/>
      </c>
      <c r="CK46" s="22" t="str">
        <f t="shared" si="170"/>
        <v/>
      </c>
      <c r="CL46" s="22" t="str">
        <f t="shared" si="171"/>
        <v/>
      </c>
      <c r="CM46" s="22" t="str">
        <f t="shared" si="172"/>
        <v/>
      </c>
      <c r="CN46" s="22" t="str">
        <f t="shared" si="173"/>
        <v/>
      </c>
      <c r="CO46" s="22" t="str">
        <f t="shared" si="174"/>
        <v/>
      </c>
      <c r="CP46" s="22" t="str">
        <f t="shared" si="175"/>
        <v/>
      </c>
      <c r="CQ46" s="22">
        <f t="shared" si="75"/>
        <v>0</v>
      </c>
      <c r="CR46" s="22">
        <f t="shared" si="130"/>
        <v>0</v>
      </c>
      <c r="CS46" s="22" t="str">
        <f t="shared" si="176"/>
        <v/>
      </c>
      <c r="CT46" s="22" t="str">
        <f t="shared" si="177"/>
        <v/>
      </c>
      <c r="CU46" s="22" t="str">
        <f t="shared" si="178"/>
        <v/>
      </c>
      <c r="CV46" s="22" t="str">
        <f t="shared" si="179"/>
        <v/>
      </c>
      <c r="CW46" s="22" t="str">
        <f t="shared" si="180"/>
        <v/>
      </c>
      <c r="CX46" s="22" t="str">
        <f t="shared" si="181"/>
        <v/>
      </c>
      <c r="CY46" s="22" t="str">
        <f t="shared" si="182"/>
        <v/>
      </c>
      <c r="CZ46" s="22" t="str">
        <f t="shared" si="183"/>
        <v/>
      </c>
      <c r="DA46" s="22" t="str">
        <f t="shared" si="184"/>
        <v/>
      </c>
      <c r="DB46" s="22" t="str">
        <f t="shared" si="185"/>
        <v/>
      </c>
      <c r="DC46" s="22" t="str">
        <f t="shared" si="186"/>
        <v/>
      </c>
      <c r="DD46" s="22" t="str">
        <f t="shared" si="187"/>
        <v/>
      </c>
      <c r="DE46" s="22" t="str">
        <f t="shared" si="188"/>
        <v/>
      </c>
      <c r="DF46" s="22" t="str">
        <f t="shared" si="189"/>
        <v/>
      </c>
      <c r="DG46" s="22" t="str">
        <f t="shared" si="190"/>
        <v/>
      </c>
      <c r="DH46" s="22" t="str">
        <f t="shared" si="191"/>
        <v/>
      </c>
      <c r="DI46" s="22" t="str">
        <f t="shared" si="192"/>
        <v/>
      </c>
      <c r="DJ46" s="22" t="str">
        <f t="shared" si="193"/>
        <v/>
      </c>
      <c r="DK46" s="22" t="str">
        <f t="shared" si="194"/>
        <v/>
      </c>
      <c r="DL46" s="22" t="str">
        <f t="shared" si="195"/>
        <v/>
      </c>
      <c r="DM46" s="22">
        <f t="shared" si="196"/>
        <v>0</v>
      </c>
      <c r="DN46" s="36">
        <f t="shared" ref="DN46:DW46" si="201">DN45</f>
        <v>0</v>
      </c>
      <c r="DO46" s="36">
        <f t="shared" si="201"/>
        <v>0</v>
      </c>
      <c r="DP46" s="36">
        <f t="shared" si="201"/>
        <v>0</v>
      </c>
      <c r="DQ46" s="36">
        <f t="shared" si="201"/>
        <v>0</v>
      </c>
      <c r="DR46" s="36">
        <f t="shared" si="201"/>
        <v>0</v>
      </c>
      <c r="DS46" s="36">
        <f t="shared" si="201"/>
        <v>0</v>
      </c>
      <c r="DT46" s="36">
        <f t="shared" si="201"/>
        <v>0</v>
      </c>
      <c r="DU46" s="36">
        <f t="shared" si="201"/>
        <v>0</v>
      </c>
      <c r="DV46" s="36">
        <f t="shared" si="201"/>
        <v>0</v>
      </c>
      <c r="DW46" s="36">
        <f t="shared" si="201"/>
        <v>0</v>
      </c>
      <c r="DX46" s="23">
        <f t="shared" si="90"/>
        <v>0</v>
      </c>
      <c r="DY46" s="23">
        <f t="shared" si="98"/>
        <v>0</v>
      </c>
      <c r="DZ46" s="23">
        <f t="shared" si="99"/>
        <v>0</v>
      </c>
      <c r="EA46" s="23">
        <f t="shared" si="100"/>
        <v>0</v>
      </c>
      <c r="EB46" s="23">
        <f t="shared" si="101"/>
        <v>0</v>
      </c>
      <c r="EC46" s="23">
        <f t="shared" si="102"/>
        <v>0</v>
      </c>
      <c r="ED46" s="23">
        <f t="shared" si="103"/>
        <v>0</v>
      </c>
      <c r="EE46" s="23">
        <f t="shared" si="104"/>
        <v>0</v>
      </c>
      <c r="EF46" s="23">
        <f t="shared" si="105"/>
        <v>0</v>
      </c>
      <c r="EG46" s="23">
        <f t="shared" si="106"/>
        <v>0</v>
      </c>
      <c r="EH46" s="23">
        <f t="shared" si="107"/>
        <v>0</v>
      </c>
      <c r="EI46" s="23">
        <f t="shared" si="87"/>
        <v>0</v>
      </c>
      <c r="EJ46" s="23">
        <f t="shared" si="88"/>
        <v>0</v>
      </c>
    </row>
    <row r="47" spans="1:140" ht="9.9" customHeight="1" x14ac:dyDescent="0.3">
      <c r="A47" s="23">
        <v>38</v>
      </c>
      <c r="B47" s="37" t="str">
        <f>IF(ISBLANK(Informations!B48),"",Informations!B48)</f>
        <v/>
      </c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9" t="e">
        <f t="shared" si="132"/>
        <v>#DIV/0!</v>
      </c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40" t="str">
        <f t="shared" si="133"/>
        <v xml:space="preserve"> </v>
      </c>
      <c r="AI47" s="40" t="str">
        <f t="shared" si="134"/>
        <v xml:space="preserve"> </v>
      </c>
      <c r="AJ47" s="40" t="str">
        <f t="shared" si="135"/>
        <v xml:space="preserve"> </v>
      </c>
      <c r="AK47" s="40" t="str">
        <f t="shared" si="136"/>
        <v xml:space="preserve"> </v>
      </c>
      <c r="AL47" s="40" t="str">
        <f t="shared" si="137"/>
        <v xml:space="preserve"> </v>
      </c>
      <c r="AM47" s="40" t="str">
        <f t="shared" si="138"/>
        <v xml:space="preserve"> </v>
      </c>
      <c r="AN47" s="40" t="str">
        <f t="shared" si="139"/>
        <v xml:space="preserve"> </v>
      </c>
      <c r="AO47" s="40" t="str">
        <f t="shared" si="140"/>
        <v xml:space="preserve"> </v>
      </c>
      <c r="AP47" s="40" t="str">
        <f t="shared" si="141"/>
        <v xml:space="preserve"> </v>
      </c>
      <c r="AQ47" s="40" t="str">
        <f t="shared" si="142"/>
        <v xml:space="preserve"> </v>
      </c>
      <c r="AR47" s="41" t="e">
        <f t="shared" si="143"/>
        <v>#DIV/0!</v>
      </c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42" t="str">
        <f t="shared" si="144"/>
        <v xml:space="preserve"> </v>
      </c>
      <c r="BD47" s="42" t="str">
        <f t="shared" si="145"/>
        <v xml:space="preserve"> </v>
      </c>
      <c r="BE47" s="42" t="str">
        <f t="shared" si="146"/>
        <v xml:space="preserve"> </v>
      </c>
      <c r="BF47" s="42" t="str">
        <f t="shared" si="147"/>
        <v xml:space="preserve"> </v>
      </c>
      <c r="BG47" s="42" t="str">
        <f t="shared" si="148"/>
        <v xml:space="preserve"> </v>
      </c>
      <c r="BH47" s="42" t="str">
        <f t="shared" si="149"/>
        <v xml:space="preserve"> </v>
      </c>
      <c r="BI47" s="42" t="str">
        <f t="shared" si="150"/>
        <v xml:space="preserve"> </v>
      </c>
      <c r="BJ47" s="42" t="str">
        <f t="shared" si="151"/>
        <v xml:space="preserve"> </v>
      </c>
      <c r="BK47" s="42" t="str">
        <f t="shared" si="152"/>
        <v xml:space="preserve"> </v>
      </c>
      <c r="BL47" s="42" t="str">
        <f t="shared" si="153"/>
        <v xml:space="preserve"> </v>
      </c>
      <c r="BM47" s="43" t="e">
        <f t="shared" si="154"/>
        <v>#DIV/0!</v>
      </c>
      <c r="BN47" s="38"/>
      <c r="BO47" s="44" t="e">
        <f t="shared" si="155"/>
        <v>#DIV/0!</v>
      </c>
      <c r="BP47" s="20"/>
      <c r="BQ47" s="39" t="e">
        <f t="shared" si="73"/>
        <v>#DIV/0!</v>
      </c>
      <c r="BR47" s="23" t="e">
        <f t="shared" si="96"/>
        <v>#DIV/0!</v>
      </c>
      <c r="BS47" s="45"/>
      <c r="BT47" s="46"/>
      <c r="BU47" s="46"/>
      <c r="BV47" s="46"/>
      <c r="BW47" s="21" t="str">
        <f t="shared" si="156"/>
        <v/>
      </c>
      <c r="BX47" s="22" t="str">
        <f t="shared" si="157"/>
        <v/>
      </c>
      <c r="BY47" s="22" t="str">
        <f t="shared" si="158"/>
        <v/>
      </c>
      <c r="BZ47" s="22" t="str">
        <f t="shared" si="159"/>
        <v/>
      </c>
      <c r="CA47" s="22" t="str">
        <f t="shared" si="160"/>
        <v/>
      </c>
      <c r="CB47" s="22" t="str">
        <f t="shared" si="161"/>
        <v/>
      </c>
      <c r="CC47" s="22" t="str">
        <f t="shared" si="162"/>
        <v/>
      </c>
      <c r="CD47" s="22" t="str">
        <f t="shared" si="163"/>
        <v/>
      </c>
      <c r="CE47" s="22" t="str">
        <f t="shared" si="164"/>
        <v/>
      </c>
      <c r="CF47" s="22" t="str">
        <f t="shared" si="165"/>
        <v/>
      </c>
      <c r="CG47" s="22" t="str">
        <f t="shared" si="166"/>
        <v/>
      </c>
      <c r="CH47" s="22" t="str">
        <f t="shared" si="167"/>
        <v/>
      </c>
      <c r="CI47" s="22" t="str">
        <f t="shared" si="168"/>
        <v/>
      </c>
      <c r="CJ47" s="22" t="str">
        <f t="shared" si="169"/>
        <v/>
      </c>
      <c r="CK47" s="22" t="str">
        <f t="shared" si="170"/>
        <v/>
      </c>
      <c r="CL47" s="22" t="str">
        <f t="shared" si="171"/>
        <v/>
      </c>
      <c r="CM47" s="22" t="str">
        <f t="shared" si="172"/>
        <v/>
      </c>
      <c r="CN47" s="22" t="str">
        <f t="shared" si="173"/>
        <v/>
      </c>
      <c r="CO47" s="22" t="str">
        <f t="shared" si="174"/>
        <v/>
      </c>
      <c r="CP47" s="22" t="str">
        <f t="shared" si="175"/>
        <v/>
      </c>
      <c r="CQ47" s="22">
        <f t="shared" si="75"/>
        <v>0</v>
      </c>
      <c r="CR47" s="22">
        <f t="shared" si="130"/>
        <v>0</v>
      </c>
      <c r="CS47" s="22" t="str">
        <f t="shared" si="176"/>
        <v/>
      </c>
      <c r="CT47" s="22" t="str">
        <f t="shared" si="177"/>
        <v/>
      </c>
      <c r="CU47" s="22" t="str">
        <f t="shared" si="178"/>
        <v/>
      </c>
      <c r="CV47" s="22" t="str">
        <f t="shared" si="179"/>
        <v/>
      </c>
      <c r="CW47" s="22" t="str">
        <f t="shared" si="180"/>
        <v/>
      </c>
      <c r="CX47" s="22" t="str">
        <f t="shared" si="181"/>
        <v/>
      </c>
      <c r="CY47" s="22" t="str">
        <f t="shared" si="182"/>
        <v/>
      </c>
      <c r="CZ47" s="22" t="str">
        <f t="shared" si="183"/>
        <v/>
      </c>
      <c r="DA47" s="22" t="str">
        <f t="shared" si="184"/>
        <v/>
      </c>
      <c r="DB47" s="22" t="str">
        <f t="shared" si="185"/>
        <v/>
      </c>
      <c r="DC47" s="22" t="str">
        <f t="shared" si="186"/>
        <v/>
      </c>
      <c r="DD47" s="22" t="str">
        <f t="shared" si="187"/>
        <v/>
      </c>
      <c r="DE47" s="22" t="str">
        <f t="shared" si="188"/>
        <v/>
      </c>
      <c r="DF47" s="22" t="str">
        <f t="shared" si="189"/>
        <v/>
      </c>
      <c r="DG47" s="22" t="str">
        <f t="shared" si="190"/>
        <v/>
      </c>
      <c r="DH47" s="22" t="str">
        <f t="shared" si="191"/>
        <v/>
      </c>
      <c r="DI47" s="22" t="str">
        <f t="shared" si="192"/>
        <v/>
      </c>
      <c r="DJ47" s="22" t="str">
        <f t="shared" si="193"/>
        <v/>
      </c>
      <c r="DK47" s="22" t="str">
        <f t="shared" si="194"/>
        <v/>
      </c>
      <c r="DL47" s="22" t="str">
        <f t="shared" si="195"/>
        <v/>
      </c>
      <c r="DM47" s="22">
        <f t="shared" si="196"/>
        <v>0</v>
      </c>
      <c r="DN47" s="36">
        <f t="shared" ref="DN47:DW47" si="202">DN46</f>
        <v>0</v>
      </c>
      <c r="DO47" s="36">
        <f t="shared" si="202"/>
        <v>0</v>
      </c>
      <c r="DP47" s="36">
        <f t="shared" si="202"/>
        <v>0</v>
      </c>
      <c r="DQ47" s="36">
        <f t="shared" si="202"/>
        <v>0</v>
      </c>
      <c r="DR47" s="36">
        <f t="shared" si="202"/>
        <v>0</v>
      </c>
      <c r="DS47" s="36">
        <f t="shared" si="202"/>
        <v>0</v>
      </c>
      <c r="DT47" s="36">
        <f t="shared" si="202"/>
        <v>0</v>
      </c>
      <c r="DU47" s="36">
        <f t="shared" si="202"/>
        <v>0</v>
      </c>
      <c r="DV47" s="36">
        <f t="shared" si="202"/>
        <v>0</v>
      </c>
      <c r="DW47" s="36">
        <f t="shared" si="202"/>
        <v>0</v>
      </c>
      <c r="DX47" s="23">
        <f t="shared" si="90"/>
        <v>0</v>
      </c>
      <c r="DY47" s="23">
        <f t="shared" si="98"/>
        <v>0</v>
      </c>
      <c r="DZ47" s="23">
        <f t="shared" si="99"/>
        <v>0</v>
      </c>
      <c r="EA47" s="23">
        <f t="shared" si="100"/>
        <v>0</v>
      </c>
      <c r="EB47" s="23">
        <f t="shared" si="101"/>
        <v>0</v>
      </c>
      <c r="EC47" s="23">
        <f t="shared" si="102"/>
        <v>0</v>
      </c>
      <c r="ED47" s="23">
        <f t="shared" si="103"/>
        <v>0</v>
      </c>
      <c r="EE47" s="23">
        <f t="shared" si="104"/>
        <v>0</v>
      </c>
      <c r="EF47" s="23">
        <f t="shared" si="105"/>
        <v>0</v>
      </c>
      <c r="EG47" s="23">
        <f t="shared" si="106"/>
        <v>0</v>
      </c>
      <c r="EH47" s="23">
        <f t="shared" si="107"/>
        <v>0</v>
      </c>
      <c r="EI47" s="23">
        <f t="shared" si="87"/>
        <v>0</v>
      </c>
      <c r="EJ47" s="23">
        <f t="shared" si="88"/>
        <v>0</v>
      </c>
    </row>
    <row r="48" spans="1:140" ht="9.9" customHeight="1" x14ac:dyDescent="0.3">
      <c r="A48" s="23">
        <v>39</v>
      </c>
      <c r="B48" s="37" t="str">
        <f>IF(ISBLANK(Informations!B49),"",Informations!B49)</f>
        <v/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9" t="e">
        <f t="shared" si="132"/>
        <v>#DIV/0!</v>
      </c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40" t="str">
        <f t="shared" si="133"/>
        <v xml:space="preserve"> </v>
      </c>
      <c r="AI48" s="40" t="str">
        <f t="shared" si="134"/>
        <v xml:space="preserve"> </v>
      </c>
      <c r="AJ48" s="40" t="str">
        <f t="shared" si="135"/>
        <v xml:space="preserve"> </v>
      </c>
      <c r="AK48" s="40" t="str">
        <f t="shared" si="136"/>
        <v xml:space="preserve"> </v>
      </c>
      <c r="AL48" s="40" t="str">
        <f t="shared" si="137"/>
        <v xml:space="preserve"> </v>
      </c>
      <c r="AM48" s="40" t="str">
        <f t="shared" si="138"/>
        <v xml:space="preserve"> </v>
      </c>
      <c r="AN48" s="40" t="str">
        <f t="shared" si="139"/>
        <v xml:space="preserve"> </v>
      </c>
      <c r="AO48" s="40" t="str">
        <f t="shared" si="140"/>
        <v xml:space="preserve"> </v>
      </c>
      <c r="AP48" s="40" t="str">
        <f t="shared" si="141"/>
        <v xml:space="preserve"> </v>
      </c>
      <c r="AQ48" s="40" t="str">
        <f t="shared" si="142"/>
        <v xml:space="preserve"> </v>
      </c>
      <c r="AR48" s="41" t="e">
        <f t="shared" si="143"/>
        <v>#DIV/0!</v>
      </c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42" t="str">
        <f t="shared" si="144"/>
        <v xml:space="preserve"> </v>
      </c>
      <c r="BD48" s="42" t="str">
        <f t="shared" si="145"/>
        <v xml:space="preserve"> </v>
      </c>
      <c r="BE48" s="42" t="str">
        <f t="shared" si="146"/>
        <v xml:space="preserve"> </v>
      </c>
      <c r="BF48" s="42" t="str">
        <f t="shared" si="147"/>
        <v xml:space="preserve"> </v>
      </c>
      <c r="BG48" s="42" t="str">
        <f t="shared" si="148"/>
        <v xml:space="preserve"> </v>
      </c>
      <c r="BH48" s="42" t="str">
        <f t="shared" si="149"/>
        <v xml:space="preserve"> </v>
      </c>
      <c r="BI48" s="42" t="str">
        <f t="shared" si="150"/>
        <v xml:space="preserve"> </v>
      </c>
      <c r="BJ48" s="42" t="str">
        <f t="shared" si="151"/>
        <v xml:space="preserve"> </v>
      </c>
      <c r="BK48" s="42" t="str">
        <f t="shared" si="152"/>
        <v xml:space="preserve"> </v>
      </c>
      <c r="BL48" s="42" t="str">
        <f t="shared" si="153"/>
        <v xml:space="preserve"> </v>
      </c>
      <c r="BM48" s="43" t="e">
        <f t="shared" si="154"/>
        <v>#DIV/0!</v>
      </c>
      <c r="BN48" s="38"/>
      <c r="BO48" s="44" t="e">
        <f t="shared" si="155"/>
        <v>#DIV/0!</v>
      </c>
      <c r="BP48" s="20"/>
      <c r="BQ48" s="39" t="e">
        <f t="shared" si="73"/>
        <v>#DIV/0!</v>
      </c>
      <c r="BR48" s="23" t="e">
        <f t="shared" si="96"/>
        <v>#DIV/0!</v>
      </c>
      <c r="BS48" s="45"/>
      <c r="BT48" s="46"/>
      <c r="BU48" s="46"/>
      <c r="BV48" s="46"/>
      <c r="BW48" s="21" t="str">
        <f t="shared" si="156"/>
        <v/>
      </c>
      <c r="BX48" s="22" t="str">
        <f t="shared" si="157"/>
        <v/>
      </c>
      <c r="BY48" s="22" t="str">
        <f t="shared" si="158"/>
        <v/>
      </c>
      <c r="BZ48" s="22" t="str">
        <f t="shared" si="159"/>
        <v/>
      </c>
      <c r="CA48" s="22" t="str">
        <f t="shared" si="160"/>
        <v/>
      </c>
      <c r="CB48" s="22" t="str">
        <f t="shared" si="161"/>
        <v/>
      </c>
      <c r="CC48" s="22" t="str">
        <f t="shared" si="162"/>
        <v/>
      </c>
      <c r="CD48" s="22" t="str">
        <f t="shared" si="163"/>
        <v/>
      </c>
      <c r="CE48" s="22" t="str">
        <f t="shared" si="164"/>
        <v/>
      </c>
      <c r="CF48" s="22" t="str">
        <f t="shared" si="165"/>
        <v/>
      </c>
      <c r="CG48" s="22" t="str">
        <f t="shared" si="166"/>
        <v/>
      </c>
      <c r="CH48" s="22" t="str">
        <f t="shared" si="167"/>
        <v/>
      </c>
      <c r="CI48" s="22" t="str">
        <f t="shared" si="168"/>
        <v/>
      </c>
      <c r="CJ48" s="22" t="str">
        <f t="shared" si="169"/>
        <v/>
      </c>
      <c r="CK48" s="22" t="str">
        <f t="shared" si="170"/>
        <v/>
      </c>
      <c r="CL48" s="22" t="str">
        <f t="shared" si="171"/>
        <v/>
      </c>
      <c r="CM48" s="22" t="str">
        <f t="shared" si="172"/>
        <v/>
      </c>
      <c r="CN48" s="22" t="str">
        <f t="shared" si="173"/>
        <v/>
      </c>
      <c r="CO48" s="22" t="str">
        <f t="shared" si="174"/>
        <v/>
      </c>
      <c r="CP48" s="22" t="str">
        <f t="shared" si="175"/>
        <v/>
      </c>
      <c r="CQ48" s="22">
        <f t="shared" si="75"/>
        <v>0</v>
      </c>
      <c r="CR48" s="22">
        <f t="shared" si="130"/>
        <v>0</v>
      </c>
      <c r="CS48" s="22" t="str">
        <f t="shared" si="176"/>
        <v/>
      </c>
      <c r="CT48" s="22" t="str">
        <f t="shared" si="177"/>
        <v/>
      </c>
      <c r="CU48" s="22" t="str">
        <f t="shared" si="178"/>
        <v/>
      </c>
      <c r="CV48" s="22" t="str">
        <f t="shared" si="179"/>
        <v/>
      </c>
      <c r="CW48" s="22" t="str">
        <f t="shared" si="180"/>
        <v/>
      </c>
      <c r="CX48" s="22" t="str">
        <f t="shared" si="181"/>
        <v/>
      </c>
      <c r="CY48" s="22" t="str">
        <f t="shared" si="182"/>
        <v/>
      </c>
      <c r="CZ48" s="22" t="str">
        <f t="shared" si="183"/>
        <v/>
      </c>
      <c r="DA48" s="22" t="str">
        <f t="shared" si="184"/>
        <v/>
      </c>
      <c r="DB48" s="22" t="str">
        <f t="shared" si="185"/>
        <v/>
      </c>
      <c r="DC48" s="22" t="str">
        <f t="shared" si="186"/>
        <v/>
      </c>
      <c r="DD48" s="22" t="str">
        <f t="shared" si="187"/>
        <v/>
      </c>
      <c r="DE48" s="22" t="str">
        <f t="shared" si="188"/>
        <v/>
      </c>
      <c r="DF48" s="22" t="str">
        <f t="shared" si="189"/>
        <v/>
      </c>
      <c r="DG48" s="22" t="str">
        <f t="shared" si="190"/>
        <v/>
      </c>
      <c r="DH48" s="22" t="str">
        <f t="shared" si="191"/>
        <v/>
      </c>
      <c r="DI48" s="22" t="str">
        <f t="shared" si="192"/>
        <v/>
      </c>
      <c r="DJ48" s="22" t="str">
        <f t="shared" si="193"/>
        <v/>
      </c>
      <c r="DK48" s="22" t="str">
        <f t="shared" si="194"/>
        <v/>
      </c>
      <c r="DL48" s="22" t="str">
        <f t="shared" si="195"/>
        <v/>
      </c>
      <c r="DM48" s="22">
        <f t="shared" si="196"/>
        <v>0</v>
      </c>
      <c r="DN48" s="36">
        <f t="shared" ref="DN48:DW48" si="203">DN47</f>
        <v>0</v>
      </c>
      <c r="DO48" s="36">
        <f t="shared" si="203"/>
        <v>0</v>
      </c>
      <c r="DP48" s="36">
        <f t="shared" si="203"/>
        <v>0</v>
      </c>
      <c r="DQ48" s="36">
        <f t="shared" si="203"/>
        <v>0</v>
      </c>
      <c r="DR48" s="36">
        <f t="shared" si="203"/>
        <v>0</v>
      </c>
      <c r="DS48" s="36">
        <f t="shared" si="203"/>
        <v>0</v>
      </c>
      <c r="DT48" s="36">
        <f t="shared" si="203"/>
        <v>0</v>
      </c>
      <c r="DU48" s="36">
        <f t="shared" si="203"/>
        <v>0</v>
      </c>
      <c r="DV48" s="36">
        <f t="shared" si="203"/>
        <v>0</v>
      </c>
      <c r="DW48" s="36">
        <f t="shared" si="203"/>
        <v>0</v>
      </c>
      <c r="DX48" s="23">
        <f t="shared" si="90"/>
        <v>0</v>
      </c>
      <c r="DY48" s="23">
        <f t="shared" si="98"/>
        <v>0</v>
      </c>
      <c r="DZ48" s="23">
        <f t="shared" si="99"/>
        <v>0</v>
      </c>
      <c r="EA48" s="23">
        <f t="shared" si="100"/>
        <v>0</v>
      </c>
      <c r="EB48" s="23">
        <f t="shared" si="101"/>
        <v>0</v>
      </c>
      <c r="EC48" s="23">
        <f t="shared" si="102"/>
        <v>0</v>
      </c>
      <c r="ED48" s="23">
        <f t="shared" si="103"/>
        <v>0</v>
      </c>
      <c r="EE48" s="23">
        <f t="shared" si="104"/>
        <v>0</v>
      </c>
      <c r="EF48" s="23">
        <f t="shared" si="105"/>
        <v>0</v>
      </c>
      <c r="EG48" s="23">
        <f t="shared" si="106"/>
        <v>0</v>
      </c>
      <c r="EH48" s="23">
        <f t="shared" si="107"/>
        <v>0</v>
      </c>
      <c r="EI48" s="23">
        <f t="shared" si="87"/>
        <v>0</v>
      </c>
      <c r="EJ48" s="23">
        <f t="shared" si="88"/>
        <v>0</v>
      </c>
    </row>
    <row r="49" spans="1:140" ht="9.9" customHeight="1" x14ac:dyDescent="0.3">
      <c r="A49" s="23">
        <v>40</v>
      </c>
      <c r="B49" s="37" t="str">
        <f>IF(ISBLANK(Informations!B50),"",Informations!B50)</f>
        <v/>
      </c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9" t="e">
        <f t="shared" si="132"/>
        <v>#DIV/0!</v>
      </c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40" t="str">
        <f t="shared" si="133"/>
        <v xml:space="preserve"> </v>
      </c>
      <c r="AI49" s="40" t="str">
        <f t="shared" si="134"/>
        <v xml:space="preserve"> </v>
      </c>
      <c r="AJ49" s="40" t="str">
        <f t="shared" si="135"/>
        <v xml:space="preserve"> </v>
      </c>
      <c r="AK49" s="40" t="str">
        <f t="shared" si="136"/>
        <v xml:space="preserve"> </v>
      </c>
      <c r="AL49" s="40" t="str">
        <f t="shared" si="137"/>
        <v xml:space="preserve"> </v>
      </c>
      <c r="AM49" s="40" t="str">
        <f t="shared" si="138"/>
        <v xml:space="preserve"> </v>
      </c>
      <c r="AN49" s="40" t="str">
        <f t="shared" si="139"/>
        <v xml:space="preserve"> </v>
      </c>
      <c r="AO49" s="40" t="str">
        <f t="shared" si="140"/>
        <v xml:space="preserve"> </v>
      </c>
      <c r="AP49" s="40" t="str">
        <f t="shared" si="141"/>
        <v xml:space="preserve"> </v>
      </c>
      <c r="AQ49" s="40" t="str">
        <f t="shared" si="142"/>
        <v xml:space="preserve"> </v>
      </c>
      <c r="AR49" s="41" t="e">
        <f t="shared" si="143"/>
        <v>#DIV/0!</v>
      </c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42" t="str">
        <f t="shared" si="144"/>
        <v xml:space="preserve"> </v>
      </c>
      <c r="BD49" s="42" t="str">
        <f t="shared" si="145"/>
        <v xml:space="preserve"> </v>
      </c>
      <c r="BE49" s="42" t="str">
        <f t="shared" si="146"/>
        <v xml:space="preserve"> </v>
      </c>
      <c r="BF49" s="42" t="str">
        <f t="shared" si="147"/>
        <v xml:space="preserve"> </v>
      </c>
      <c r="BG49" s="42" t="str">
        <f t="shared" si="148"/>
        <v xml:space="preserve"> </v>
      </c>
      <c r="BH49" s="42" t="str">
        <f t="shared" si="149"/>
        <v xml:space="preserve"> </v>
      </c>
      <c r="BI49" s="42" t="str">
        <f t="shared" si="150"/>
        <v xml:space="preserve"> </v>
      </c>
      <c r="BJ49" s="42" t="str">
        <f t="shared" si="151"/>
        <v xml:space="preserve"> </v>
      </c>
      <c r="BK49" s="42" t="str">
        <f t="shared" si="152"/>
        <v xml:space="preserve"> </v>
      </c>
      <c r="BL49" s="42" t="str">
        <f t="shared" si="153"/>
        <v xml:space="preserve"> </v>
      </c>
      <c r="BM49" s="43" t="e">
        <f t="shared" si="154"/>
        <v>#DIV/0!</v>
      </c>
      <c r="BN49" s="38"/>
      <c r="BO49" s="44" t="e">
        <f t="shared" si="155"/>
        <v>#DIV/0!</v>
      </c>
      <c r="BP49" s="20"/>
      <c r="BQ49" s="39" t="e">
        <f t="shared" si="73"/>
        <v>#DIV/0!</v>
      </c>
      <c r="BR49" s="23" t="e">
        <f t="shared" si="96"/>
        <v>#DIV/0!</v>
      </c>
      <c r="BS49" s="45"/>
      <c r="BT49" s="46"/>
      <c r="BU49" s="46"/>
      <c r="BV49" s="46"/>
      <c r="BW49" s="21" t="str">
        <f t="shared" si="156"/>
        <v/>
      </c>
      <c r="BX49" s="22" t="str">
        <f t="shared" si="157"/>
        <v/>
      </c>
      <c r="BY49" s="22" t="str">
        <f t="shared" si="158"/>
        <v/>
      </c>
      <c r="BZ49" s="22" t="str">
        <f t="shared" si="159"/>
        <v/>
      </c>
      <c r="CA49" s="22" t="str">
        <f t="shared" si="160"/>
        <v/>
      </c>
      <c r="CB49" s="22" t="str">
        <f t="shared" si="161"/>
        <v/>
      </c>
      <c r="CC49" s="22" t="str">
        <f t="shared" si="162"/>
        <v/>
      </c>
      <c r="CD49" s="22" t="str">
        <f t="shared" si="163"/>
        <v/>
      </c>
      <c r="CE49" s="22" t="str">
        <f t="shared" si="164"/>
        <v/>
      </c>
      <c r="CF49" s="22" t="str">
        <f t="shared" si="165"/>
        <v/>
      </c>
      <c r="CG49" s="22" t="str">
        <f t="shared" si="166"/>
        <v/>
      </c>
      <c r="CH49" s="22" t="str">
        <f t="shared" si="167"/>
        <v/>
      </c>
      <c r="CI49" s="22" t="str">
        <f t="shared" si="168"/>
        <v/>
      </c>
      <c r="CJ49" s="22" t="str">
        <f t="shared" si="169"/>
        <v/>
      </c>
      <c r="CK49" s="22" t="str">
        <f t="shared" si="170"/>
        <v/>
      </c>
      <c r="CL49" s="22" t="str">
        <f t="shared" si="171"/>
        <v/>
      </c>
      <c r="CM49" s="22" t="str">
        <f t="shared" si="172"/>
        <v/>
      </c>
      <c r="CN49" s="22" t="str">
        <f t="shared" si="173"/>
        <v/>
      </c>
      <c r="CO49" s="22" t="str">
        <f t="shared" si="174"/>
        <v/>
      </c>
      <c r="CP49" s="22" t="str">
        <f t="shared" si="175"/>
        <v/>
      </c>
      <c r="CQ49" s="22">
        <f t="shared" si="75"/>
        <v>0</v>
      </c>
      <c r="CR49" s="22">
        <f t="shared" si="130"/>
        <v>0</v>
      </c>
      <c r="CS49" s="22" t="str">
        <f t="shared" si="176"/>
        <v/>
      </c>
      <c r="CT49" s="22" t="str">
        <f t="shared" si="177"/>
        <v/>
      </c>
      <c r="CU49" s="22" t="str">
        <f t="shared" si="178"/>
        <v/>
      </c>
      <c r="CV49" s="22" t="str">
        <f t="shared" si="179"/>
        <v/>
      </c>
      <c r="CW49" s="22" t="str">
        <f t="shared" si="180"/>
        <v/>
      </c>
      <c r="CX49" s="22" t="str">
        <f t="shared" si="181"/>
        <v/>
      </c>
      <c r="CY49" s="22" t="str">
        <f t="shared" si="182"/>
        <v/>
      </c>
      <c r="CZ49" s="22" t="str">
        <f t="shared" si="183"/>
        <v/>
      </c>
      <c r="DA49" s="22" t="str">
        <f t="shared" si="184"/>
        <v/>
      </c>
      <c r="DB49" s="22" t="str">
        <f t="shared" si="185"/>
        <v/>
      </c>
      <c r="DC49" s="22" t="str">
        <f t="shared" si="186"/>
        <v/>
      </c>
      <c r="DD49" s="22" t="str">
        <f t="shared" si="187"/>
        <v/>
      </c>
      <c r="DE49" s="22" t="str">
        <f t="shared" si="188"/>
        <v/>
      </c>
      <c r="DF49" s="22" t="str">
        <f t="shared" si="189"/>
        <v/>
      </c>
      <c r="DG49" s="22" t="str">
        <f t="shared" si="190"/>
        <v/>
      </c>
      <c r="DH49" s="22" t="str">
        <f t="shared" si="191"/>
        <v/>
      </c>
      <c r="DI49" s="22" t="str">
        <f t="shared" si="192"/>
        <v/>
      </c>
      <c r="DJ49" s="22" t="str">
        <f t="shared" si="193"/>
        <v/>
      </c>
      <c r="DK49" s="22" t="str">
        <f t="shared" si="194"/>
        <v/>
      </c>
      <c r="DL49" s="22" t="str">
        <f t="shared" si="195"/>
        <v/>
      </c>
      <c r="DM49" s="22">
        <f t="shared" si="196"/>
        <v>0</v>
      </c>
      <c r="DN49" s="36">
        <f t="shared" ref="DN49:DW49" si="204">DN48</f>
        <v>0</v>
      </c>
      <c r="DO49" s="36">
        <f t="shared" si="204"/>
        <v>0</v>
      </c>
      <c r="DP49" s="36">
        <f t="shared" si="204"/>
        <v>0</v>
      </c>
      <c r="DQ49" s="36">
        <f t="shared" si="204"/>
        <v>0</v>
      </c>
      <c r="DR49" s="36">
        <f t="shared" si="204"/>
        <v>0</v>
      </c>
      <c r="DS49" s="36">
        <f t="shared" si="204"/>
        <v>0</v>
      </c>
      <c r="DT49" s="36">
        <f t="shared" si="204"/>
        <v>0</v>
      </c>
      <c r="DU49" s="36">
        <f t="shared" si="204"/>
        <v>0</v>
      </c>
      <c r="DV49" s="36">
        <f t="shared" si="204"/>
        <v>0</v>
      </c>
      <c r="DW49" s="36">
        <f t="shared" si="204"/>
        <v>0</v>
      </c>
      <c r="DX49" s="23">
        <f t="shared" si="90"/>
        <v>0</v>
      </c>
      <c r="DY49" s="23">
        <f t="shared" si="98"/>
        <v>0</v>
      </c>
      <c r="DZ49" s="23">
        <f t="shared" si="99"/>
        <v>0</v>
      </c>
      <c r="EA49" s="23">
        <f t="shared" si="100"/>
        <v>0</v>
      </c>
      <c r="EB49" s="23">
        <f t="shared" si="101"/>
        <v>0</v>
      </c>
      <c r="EC49" s="23">
        <f t="shared" si="102"/>
        <v>0</v>
      </c>
      <c r="ED49" s="23">
        <f t="shared" si="103"/>
        <v>0</v>
      </c>
      <c r="EE49" s="23">
        <f t="shared" si="104"/>
        <v>0</v>
      </c>
      <c r="EF49" s="23">
        <f t="shared" si="105"/>
        <v>0</v>
      </c>
      <c r="EG49" s="23">
        <f t="shared" si="106"/>
        <v>0</v>
      </c>
      <c r="EH49" s="23">
        <f t="shared" si="107"/>
        <v>0</v>
      </c>
      <c r="EI49" s="23">
        <f t="shared" si="87"/>
        <v>0</v>
      </c>
      <c r="EJ49" s="23">
        <f t="shared" si="88"/>
        <v>0</v>
      </c>
    </row>
    <row r="50" spans="1:140" ht="9.9" customHeight="1" x14ac:dyDescent="0.3">
      <c r="A50" s="23">
        <v>41</v>
      </c>
      <c r="B50" s="37" t="str">
        <f>IF(ISBLANK(Informations!B51),"",Informations!B51)</f>
        <v/>
      </c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9" t="e">
        <f t="shared" si="132"/>
        <v>#DIV/0!</v>
      </c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40" t="str">
        <f t="shared" si="133"/>
        <v xml:space="preserve"> </v>
      </c>
      <c r="AI50" s="40" t="str">
        <f t="shared" si="134"/>
        <v xml:space="preserve"> </v>
      </c>
      <c r="AJ50" s="40" t="str">
        <f t="shared" si="135"/>
        <v xml:space="preserve"> </v>
      </c>
      <c r="AK50" s="40" t="str">
        <f t="shared" si="136"/>
        <v xml:space="preserve"> </v>
      </c>
      <c r="AL50" s="40" t="str">
        <f t="shared" si="137"/>
        <v xml:space="preserve"> </v>
      </c>
      <c r="AM50" s="40" t="str">
        <f t="shared" si="138"/>
        <v xml:space="preserve"> </v>
      </c>
      <c r="AN50" s="40" t="str">
        <f t="shared" si="139"/>
        <v xml:space="preserve"> </v>
      </c>
      <c r="AO50" s="40" t="str">
        <f t="shared" si="140"/>
        <v xml:space="preserve"> </v>
      </c>
      <c r="AP50" s="40" t="str">
        <f t="shared" si="141"/>
        <v xml:space="preserve"> </v>
      </c>
      <c r="AQ50" s="40" t="str">
        <f t="shared" si="142"/>
        <v xml:space="preserve"> </v>
      </c>
      <c r="AR50" s="41" t="e">
        <f t="shared" si="143"/>
        <v>#DIV/0!</v>
      </c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42" t="str">
        <f t="shared" si="144"/>
        <v xml:space="preserve"> </v>
      </c>
      <c r="BD50" s="42" t="str">
        <f t="shared" si="145"/>
        <v xml:space="preserve"> </v>
      </c>
      <c r="BE50" s="42" t="str">
        <f t="shared" si="146"/>
        <v xml:space="preserve"> </v>
      </c>
      <c r="BF50" s="42" t="str">
        <f t="shared" si="147"/>
        <v xml:space="preserve"> </v>
      </c>
      <c r="BG50" s="42" t="str">
        <f t="shared" si="148"/>
        <v xml:space="preserve"> </v>
      </c>
      <c r="BH50" s="42" t="str">
        <f t="shared" si="149"/>
        <v xml:space="preserve"> </v>
      </c>
      <c r="BI50" s="42" t="str">
        <f t="shared" si="150"/>
        <v xml:space="preserve"> </v>
      </c>
      <c r="BJ50" s="42" t="str">
        <f t="shared" si="151"/>
        <v xml:space="preserve"> </v>
      </c>
      <c r="BK50" s="42" t="str">
        <f t="shared" si="152"/>
        <v xml:space="preserve"> </v>
      </c>
      <c r="BL50" s="42" t="str">
        <f t="shared" si="153"/>
        <v xml:space="preserve"> </v>
      </c>
      <c r="BM50" s="43" t="e">
        <f t="shared" si="154"/>
        <v>#DIV/0!</v>
      </c>
      <c r="BN50" s="38"/>
      <c r="BO50" s="44" t="e">
        <f t="shared" si="155"/>
        <v>#DIV/0!</v>
      </c>
      <c r="BP50" s="20"/>
      <c r="BQ50" s="39" t="e">
        <f t="shared" si="73"/>
        <v>#DIV/0!</v>
      </c>
      <c r="BR50" s="23" t="e">
        <f t="shared" si="96"/>
        <v>#DIV/0!</v>
      </c>
      <c r="BS50" s="45"/>
      <c r="BT50" s="46"/>
      <c r="BU50" s="46"/>
      <c r="BV50" s="46"/>
      <c r="BW50" s="21" t="str">
        <f t="shared" si="156"/>
        <v/>
      </c>
      <c r="BX50" s="22" t="str">
        <f t="shared" si="157"/>
        <v/>
      </c>
      <c r="BY50" s="22" t="str">
        <f t="shared" si="158"/>
        <v/>
      </c>
      <c r="BZ50" s="22" t="str">
        <f t="shared" si="159"/>
        <v/>
      </c>
      <c r="CA50" s="22" t="str">
        <f t="shared" si="160"/>
        <v/>
      </c>
      <c r="CB50" s="22" t="str">
        <f t="shared" si="161"/>
        <v/>
      </c>
      <c r="CC50" s="22" t="str">
        <f t="shared" si="162"/>
        <v/>
      </c>
      <c r="CD50" s="22" t="str">
        <f t="shared" si="163"/>
        <v/>
      </c>
      <c r="CE50" s="22" t="str">
        <f t="shared" si="164"/>
        <v/>
      </c>
      <c r="CF50" s="22" t="str">
        <f t="shared" si="165"/>
        <v/>
      </c>
      <c r="CG50" s="22" t="str">
        <f t="shared" si="166"/>
        <v/>
      </c>
      <c r="CH50" s="22" t="str">
        <f t="shared" si="167"/>
        <v/>
      </c>
      <c r="CI50" s="22" t="str">
        <f t="shared" si="168"/>
        <v/>
      </c>
      <c r="CJ50" s="22" t="str">
        <f t="shared" si="169"/>
        <v/>
      </c>
      <c r="CK50" s="22" t="str">
        <f t="shared" si="170"/>
        <v/>
      </c>
      <c r="CL50" s="22" t="str">
        <f t="shared" si="171"/>
        <v/>
      </c>
      <c r="CM50" s="22" t="str">
        <f t="shared" si="172"/>
        <v/>
      </c>
      <c r="CN50" s="22" t="str">
        <f t="shared" si="173"/>
        <v/>
      </c>
      <c r="CO50" s="22" t="str">
        <f t="shared" si="174"/>
        <v/>
      </c>
      <c r="CP50" s="22" t="str">
        <f t="shared" si="175"/>
        <v/>
      </c>
      <c r="CQ50" s="22">
        <f t="shared" si="75"/>
        <v>0</v>
      </c>
      <c r="CR50" s="22">
        <f t="shared" si="130"/>
        <v>0</v>
      </c>
      <c r="CS50" s="22" t="str">
        <f t="shared" si="176"/>
        <v/>
      </c>
      <c r="CT50" s="22" t="str">
        <f t="shared" si="177"/>
        <v/>
      </c>
      <c r="CU50" s="22" t="str">
        <f t="shared" si="178"/>
        <v/>
      </c>
      <c r="CV50" s="22" t="str">
        <f t="shared" si="179"/>
        <v/>
      </c>
      <c r="CW50" s="22" t="str">
        <f t="shared" si="180"/>
        <v/>
      </c>
      <c r="CX50" s="22" t="str">
        <f t="shared" si="181"/>
        <v/>
      </c>
      <c r="CY50" s="22" t="str">
        <f t="shared" si="182"/>
        <v/>
      </c>
      <c r="CZ50" s="22" t="str">
        <f t="shared" si="183"/>
        <v/>
      </c>
      <c r="DA50" s="22" t="str">
        <f t="shared" si="184"/>
        <v/>
      </c>
      <c r="DB50" s="22" t="str">
        <f t="shared" si="185"/>
        <v/>
      </c>
      <c r="DC50" s="22" t="str">
        <f t="shared" si="186"/>
        <v/>
      </c>
      <c r="DD50" s="22" t="str">
        <f t="shared" si="187"/>
        <v/>
      </c>
      <c r="DE50" s="22" t="str">
        <f t="shared" si="188"/>
        <v/>
      </c>
      <c r="DF50" s="22" t="str">
        <f t="shared" si="189"/>
        <v/>
      </c>
      <c r="DG50" s="22" t="str">
        <f t="shared" si="190"/>
        <v/>
      </c>
      <c r="DH50" s="22" t="str">
        <f t="shared" si="191"/>
        <v/>
      </c>
      <c r="DI50" s="22" t="str">
        <f t="shared" si="192"/>
        <v/>
      </c>
      <c r="DJ50" s="22" t="str">
        <f t="shared" si="193"/>
        <v/>
      </c>
      <c r="DK50" s="22" t="str">
        <f t="shared" si="194"/>
        <v/>
      </c>
      <c r="DL50" s="22" t="str">
        <f t="shared" si="195"/>
        <v/>
      </c>
      <c r="DM50" s="22">
        <f t="shared" si="196"/>
        <v>0</v>
      </c>
      <c r="DN50" s="36">
        <f t="shared" ref="DN50:DW50" si="205">DN49</f>
        <v>0</v>
      </c>
      <c r="DO50" s="36">
        <f t="shared" si="205"/>
        <v>0</v>
      </c>
      <c r="DP50" s="36">
        <f t="shared" si="205"/>
        <v>0</v>
      </c>
      <c r="DQ50" s="36">
        <f t="shared" si="205"/>
        <v>0</v>
      </c>
      <c r="DR50" s="36">
        <f t="shared" si="205"/>
        <v>0</v>
      </c>
      <c r="DS50" s="36">
        <f t="shared" si="205"/>
        <v>0</v>
      </c>
      <c r="DT50" s="36">
        <f t="shared" si="205"/>
        <v>0</v>
      </c>
      <c r="DU50" s="36">
        <f t="shared" si="205"/>
        <v>0</v>
      </c>
      <c r="DV50" s="36">
        <f t="shared" si="205"/>
        <v>0</v>
      </c>
      <c r="DW50" s="36">
        <f t="shared" si="205"/>
        <v>0</v>
      </c>
      <c r="DX50" s="23">
        <f t="shared" si="90"/>
        <v>0</v>
      </c>
      <c r="DY50" s="23">
        <f t="shared" si="98"/>
        <v>0</v>
      </c>
      <c r="DZ50" s="23">
        <f t="shared" si="99"/>
        <v>0</v>
      </c>
      <c r="EA50" s="23">
        <f t="shared" si="100"/>
        <v>0</v>
      </c>
      <c r="EB50" s="23">
        <f t="shared" si="101"/>
        <v>0</v>
      </c>
      <c r="EC50" s="23">
        <f t="shared" si="102"/>
        <v>0</v>
      </c>
      <c r="ED50" s="23">
        <f t="shared" si="103"/>
        <v>0</v>
      </c>
      <c r="EE50" s="23">
        <f t="shared" si="104"/>
        <v>0</v>
      </c>
      <c r="EF50" s="23">
        <f t="shared" si="105"/>
        <v>0</v>
      </c>
      <c r="EG50" s="23">
        <f t="shared" si="106"/>
        <v>0</v>
      </c>
      <c r="EH50" s="23">
        <f t="shared" si="107"/>
        <v>0</v>
      </c>
      <c r="EI50" s="23">
        <f t="shared" si="87"/>
        <v>0</v>
      </c>
      <c r="EJ50" s="23">
        <f t="shared" si="88"/>
        <v>0</v>
      </c>
    </row>
    <row r="51" spans="1:140" ht="9.9" customHeight="1" x14ac:dyDescent="0.3">
      <c r="A51" s="23">
        <v>42</v>
      </c>
      <c r="B51" s="37" t="str">
        <f>IF(ISBLANK(Informations!B52),"",Informations!B52)</f>
        <v/>
      </c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9" t="e">
        <f t="shared" si="132"/>
        <v>#DIV/0!</v>
      </c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40" t="str">
        <f t="shared" si="133"/>
        <v xml:space="preserve"> </v>
      </c>
      <c r="AI51" s="40" t="str">
        <f t="shared" si="134"/>
        <v xml:space="preserve"> </v>
      </c>
      <c r="AJ51" s="40" t="str">
        <f t="shared" si="135"/>
        <v xml:space="preserve"> </v>
      </c>
      <c r="AK51" s="40" t="str">
        <f t="shared" si="136"/>
        <v xml:space="preserve"> </v>
      </c>
      <c r="AL51" s="40" t="str">
        <f t="shared" si="137"/>
        <v xml:space="preserve"> </v>
      </c>
      <c r="AM51" s="40" t="str">
        <f t="shared" si="138"/>
        <v xml:space="preserve"> </v>
      </c>
      <c r="AN51" s="40" t="str">
        <f t="shared" si="139"/>
        <v xml:space="preserve"> </v>
      </c>
      <c r="AO51" s="40" t="str">
        <f t="shared" si="140"/>
        <v xml:space="preserve"> </v>
      </c>
      <c r="AP51" s="40" t="str">
        <f t="shared" si="141"/>
        <v xml:space="preserve"> </v>
      </c>
      <c r="AQ51" s="40" t="str">
        <f t="shared" si="142"/>
        <v xml:space="preserve"> </v>
      </c>
      <c r="AR51" s="41" t="e">
        <f t="shared" si="143"/>
        <v>#DIV/0!</v>
      </c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42" t="str">
        <f t="shared" si="144"/>
        <v xml:space="preserve"> </v>
      </c>
      <c r="BD51" s="42" t="str">
        <f t="shared" si="145"/>
        <v xml:space="preserve"> </v>
      </c>
      <c r="BE51" s="42" t="str">
        <f t="shared" si="146"/>
        <v xml:space="preserve"> </v>
      </c>
      <c r="BF51" s="42" t="str">
        <f t="shared" si="147"/>
        <v xml:space="preserve"> </v>
      </c>
      <c r="BG51" s="42" t="str">
        <f t="shared" si="148"/>
        <v xml:space="preserve"> </v>
      </c>
      <c r="BH51" s="42" t="str">
        <f t="shared" si="149"/>
        <v xml:space="preserve"> </v>
      </c>
      <c r="BI51" s="42" t="str">
        <f t="shared" si="150"/>
        <v xml:space="preserve"> </v>
      </c>
      <c r="BJ51" s="42" t="str">
        <f t="shared" si="151"/>
        <v xml:space="preserve"> </v>
      </c>
      <c r="BK51" s="42" t="str">
        <f t="shared" si="152"/>
        <v xml:space="preserve"> </v>
      </c>
      <c r="BL51" s="42" t="str">
        <f t="shared" si="153"/>
        <v xml:space="preserve"> </v>
      </c>
      <c r="BM51" s="43" t="e">
        <f t="shared" si="154"/>
        <v>#DIV/0!</v>
      </c>
      <c r="BN51" s="38"/>
      <c r="BO51" s="44" t="e">
        <f t="shared" si="155"/>
        <v>#DIV/0!</v>
      </c>
      <c r="BP51" s="20"/>
      <c r="BQ51" s="39" t="e">
        <f t="shared" si="73"/>
        <v>#DIV/0!</v>
      </c>
      <c r="BR51" s="23" t="e">
        <f t="shared" si="96"/>
        <v>#DIV/0!</v>
      </c>
      <c r="BS51" s="45"/>
      <c r="BT51" s="46"/>
      <c r="BU51" s="46"/>
      <c r="BV51" s="46"/>
      <c r="BW51" s="21" t="str">
        <f t="shared" si="156"/>
        <v/>
      </c>
      <c r="BX51" s="22" t="str">
        <f t="shared" si="157"/>
        <v/>
      </c>
      <c r="BY51" s="22" t="str">
        <f t="shared" si="158"/>
        <v/>
      </c>
      <c r="BZ51" s="22" t="str">
        <f t="shared" si="159"/>
        <v/>
      </c>
      <c r="CA51" s="22" t="str">
        <f t="shared" si="160"/>
        <v/>
      </c>
      <c r="CB51" s="22" t="str">
        <f t="shared" si="161"/>
        <v/>
      </c>
      <c r="CC51" s="22" t="str">
        <f t="shared" si="162"/>
        <v/>
      </c>
      <c r="CD51" s="22" t="str">
        <f t="shared" si="163"/>
        <v/>
      </c>
      <c r="CE51" s="22" t="str">
        <f t="shared" si="164"/>
        <v/>
      </c>
      <c r="CF51" s="22" t="str">
        <f t="shared" si="165"/>
        <v/>
      </c>
      <c r="CG51" s="22" t="str">
        <f t="shared" si="166"/>
        <v/>
      </c>
      <c r="CH51" s="22" t="str">
        <f t="shared" si="167"/>
        <v/>
      </c>
      <c r="CI51" s="22" t="str">
        <f t="shared" si="168"/>
        <v/>
      </c>
      <c r="CJ51" s="22" t="str">
        <f t="shared" si="169"/>
        <v/>
      </c>
      <c r="CK51" s="22" t="str">
        <f t="shared" si="170"/>
        <v/>
      </c>
      <c r="CL51" s="22" t="str">
        <f t="shared" si="171"/>
        <v/>
      </c>
      <c r="CM51" s="22" t="str">
        <f t="shared" si="172"/>
        <v/>
      </c>
      <c r="CN51" s="22" t="str">
        <f t="shared" si="173"/>
        <v/>
      </c>
      <c r="CO51" s="22" t="str">
        <f t="shared" si="174"/>
        <v/>
      </c>
      <c r="CP51" s="22" t="str">
        <f t="shared" si="175"/>
        <v/>
      </c>
      <c r="CQ51" s="22">
        <f t="shared" si="75"/>
        <v>0</v>
      </c>
      <c r="CR51" s="22">
        <f t="shared" si="130"/>
        <v>0</v>
      </c>
      <c r="CS51" s="22" t="str">
        <f t="shared" si="176"/>
        <v/>
      </c>
      <c r="CT51" s="22" t="str">
        <f t="shared" si="177"/>
        <v/>
      </c>
      <c r="CU51" s="22" t="str">
        <f t="shared" si="178"/>
        <v/>
      </c>
      <c r="CV51" s="22" t="str">
        <f t="shared" si="179"/>
        <v/>
      </c>
      <c r="CW51" s="22" t="str">
        <f t="shared" si="180"/>
        <v/>
      </c>
      <c r="CX51" s="22" t="str">
        <f t="shared" si="181"/>
        <v/>
      </c>
      <c r="CY51" s="22" t="str">
        <f t="shared" si="182"/>
        <v/>
      </c>
      <c r="CZ51" s="22" t="str">
        <f t="shared" si="183"/>
        <v/>
      </c>
      <c r="DA51" s="22" t="str">
        <f t="shared" si="184"/>
        <v/>
      </c>
      <c r="DB51" s="22" t="str">
        <f t="shared" si="185"/>
        <v/>
      </c>
      <c r="DC51" s="22" t="str">
        <f t="shared" si="186"/>
        <v/>
      </c>
      <c r="DD51" s="22" t="str">
        <f t="shared" si="187"/>
        <v/>
      </c>
      <c r="DE51" s="22" t="str">
        <f t="shared" si="188"/>
        <v/>
      </c>
      <c r="DF51" s="22" t="str">
        <f t="shared" si="189"/>
        <v/>
      </c>
      <c r="DG51" s="22" t="str">
        <f t="shared" si="190"/>
        <v/>
      </c>
      <c r="DH51" s="22" t="str">
        <f t="shared" si="191"/>
        <v/>
      </c>
      <c r="DI51" s="22" t="str">
        <f t="shared" si="192"/>
        <v/>
      </c>
      <c r="DJ51" s="22" t="str">
        <f t="shared" si="193"/>
        <v/>
      </c>
      <c r="DK51" s="22" t="str">
        <f t="shared" si="194"/>
        <v/>
      </c>
      <c r="DL51" s="22" t="str">
        <f t="shared" si="195"/>
        <v/>
      </c>
      <c r="DM51" s="22">
        <f t="shared" si="196"/>
        <v>0</v>
      </c>
      <c r="DN51" s="36">
        <f t="shared" ref="DN51:DW51" si="206">DN50</f>
        <v>0</v>
      </c>
      <c r="DO51" s="36">
        <f t="shared" si="206"/>
        <v>0</v>
      </c>
      <c r="DP51" s="36">
        <f t="shared" si="206"/>
        <v>0</v>
      </c>
      <c r="DQ51" s="36">
        <f t="shared" si="206"/>
        <v>0</v>
      </c>
      <c r="DR51" s="36">
        <f t="shared" si="206"/>
        <v>0</v>
      </c>
      <c r="DS51" s="36">
        <f t="shared" si="206"/>
        <v>0</v>
      </c>
      <c r="DT51" s="36">
        <f t="shared" si="206"/>
        <v>0</v>
      </c>
      <c r="DU51" s="36">
        <f t="shared" si="206"/>
        <v>0</v>
      </c>
      <c r="DV51" s="36">
        <f t="shared" si="206"/>
        <v>0</v>
      </c>
      <c r="DW51" s="36">
        <f t="shared" si="206"/>
        <v>0</v>
      </c>
      <c r="DX51" s="23">
        <f t="shared" si="90"/>
        <v>0</v>
      </c>
      <c r="DY51" s="23">
        <f t="shared" si="98"/>
        <v>0</v>
      </c>
      <c r="DZ51" s="23">
        <f t="shared" si="99"/>
        <v>0</v>
      </c>
      <c r="EA51" s="23">
        <f t="shared" si="100"/>
        <v>0</v>
      </c>
      <c r="EB51" s="23">
        <f t="shared" si="101"/>
        <v>0</v>
      </c>
      <c r="EC51" s="23">
        <f t="shared" si="102"/>
        <v>0</v>
      </c>
      <c r="ED51" s="23">
        <f t="shared" si="103"/>
        <v>0</v>
      </c>
      <c r="EE51" s="23">
        <f t="shared" si="104"/>
        <v>0</v>
      </c>
      <c r="EF51" s="23">
        <f t="shared" si="105"/>
        <v>0</v>
      </c>
      <c r="EG51" s="23">
        <f t="shared" si="106"/>
        <v>0</v>
      </c>
      <c r="EH51" s="23">
        <f t="shared" si="107"/>
        <v>0</v>
      </c>
      <c r="EI51" s="23">
        <f t="shared" si="87"/>
        <v>0</v>
      </c>
      <c r="EJ51" s="23">
        <f t="shared" si="88"/>
        <v>0</v>
      </c>
    </row>
    <row r="52" spans="1:140" ht="9.9" customHeight="1" x14ac:dyDescent="0.3">
      <c r="A52" s="23">
        <v>43</v>
      </c>
      <c r="B52" s="37" t="str">
        <f>IF(ISBLANK(Informations!B53),"",Informations!B53)</f>
        <v/>
      </c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9" t="e">
        <f t="shared" si="132"/>
        <v>#DIV/0!</v>
      </c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40" t="str">
        <f t="shared" si="133"/>
        <v xml:space="preserve"> </v>
      </c>
      <c r="AI52" s="40" t="str">
        <f t="shared" si="134"/>
        <v xml:space="preserve"> </v>
      </c>
      <c r="AJ52" s="40" t="str">
        <f t="shared" si="135"/>
        <v xml:space="preserve"> </v>
      </c>
      <c r="AK52" s="40" t="str">
        <f t="shared" si="136"/>
        <v xml:space="preserve"> </v>
      </c>
      <c r="AL52" s="40" t="str">
        <f t="shared" si="137"/>
        <v xml:space="preserve"> </v>
      </c>
      <c r="AM52" s="40" t="str">
        <f t="shared" si="138"/>
        <v xml:space="preserve"> </v>
      </c>
      <c r="AN52" s="40" t="str">
        <f t="shared" si="139"/>
        <v xml:space="preserve"> </v>
      </c>
      <c r="AO52" s="40" t="str">
        <f t="shared" si="140"/>
        <v xml:space="preserve"> </v>
      </c>
      <c r="AP52" s="40" t="str">
        <f t="shared" si="141"/>
        <v xml:space="preserve"> </v>
      </c>
      <c r="AQ52" s="40" t="str">
        <f t="shared" si="142"/>
        <v xml:space="preserve"> </v>
      </c>
      <c r="AR52" s="41" t="e">
        <f t="shared" si="143"/>
        <v>#DIV/0!</v>
      </c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42" t="str">
        <f t="shared" si="144"/>
        <v xml:space="preserve"> </v>
      </c>
      <c r="BD52" s="42" t="str">
        <f t="shared" si="145"/>
        <v xml:space="preserve"> </v>
      </c>
      <c r="BE52" s="42" t="str">
        <f t="shared" si="146"/>
        <v xml:space="preserve"> </v>
      </c>
      <c r="BF52" s="42" t="str">
        <f t="shared" si="147"/>
        <v xml:space="preserve"> </v>
      </c>
      <c r="BG52" s="42" t="str">
        <f t="shared" si="148"/>
        <v xml:space="preserve"> </v>
      </c>
      <c r="BH52" s="42" t="str">
        <f t="shared" si="149"/>
        <v xml:space="preserve"> </v>
      </c>
      <c r="BI52" s="42" t="str">
        <f t="shared" si="150"/>
        <v xml:space="preserve"> </v>
      </c>
      <c r="BJ52" s="42" t="str">
        <f t="shared" si="151"/>
        <v xml:space="preserve"> </v>
      </c>
      <c r="BK52" s="42" t="str">
        <f t="shared" si="152"/>
        <v xml:space="preserve"> </v>
      </c>
      <c r="BL52" s="42" t="str">
        <f t="shared" si="153"/>
        <v xml:space="preserve"> </v>
      </c>
      <c r="BM52" s="43" t="e">
        <f t="shared" si="154"/>
        <v>#DIV/0!</v>
      </c>
      <c r="BN52" s="38"/>
      <c r="BO52" s="44" t="e">
        <f t="shared" si="155"/>
        <v>#DIV/0!</v>
      </c>
      <c r="BP52" s="20"/>
      <c r="BQ52" s="39" t="e">
        <f t="shared" si="73"/>
        <v>#DIV/0!</v>
      </c>
      <c r="BR52" s="23" t="e">
        <f t="shared" si="96"/>
        <v>#DIV/0!</v>
      </c>
      <c r="BS52" s="45"/>
      <c r="BT52" s="46"/>
      <c r="BU52" s="46"/>
      <c r="BV52" s="46"/>
      <c r="BW52" s="21" t="str">
        <f t="shared" si="156"/>
        <v/>
      </c>
      <c r="BX52" s="22" t="str">
        <f t="shared" si="157"/>
        <v/>
      </c>
      <c r="BY52" s="22" t="str">
        <f t="shared" si="158"/>
        <v/>
      </c>
      <c r="BZ52" s="22" t="str">
        <f t="shared" si="159"/>
        <v/>
      </c>
      <c r="CA52" s="22" t="str">
        <f t="shared" si="160"/>
        <v/>
      </c>
      <c r="CB52" s="22" t="str">
        <f t="shared" si="161"/>
        <v/>
      </c>
      <c r="CC52" s="22" t="str">
        <f t="shared" si="162"/>
        <v/>
      </c>
      <c r="CD52" s="22" t="str">
        <f t="shared" si="163"/>
        <v/>
      </c>
      <c r="CE52" s="22" t="str">
        <f t="shared" si="164"/>
        <v/>
      </c>
      <c r="CF52" s="22" t="str">
        <f t="shared" si="165"/>
        <v/>
      </c>
      <c r="CG52" s="22" t="str">
        <f t="shared" si="166"/>
        <v/>
      </c>
      <c r="CH52" s="22" t="str">
        <f t="shared" si="167"/>
        <v/>
      </c>
      <c r="CI52" s="22" t="str">
        <f t="shared" si="168"/>
        <v/>
      </c>
      <c r="CJ52" s="22" t="str">
        <f t="shared" si="169"/>
        <v/>
      </c>
      <c r="CK52" s="22" t="str">
        <f t="shared" si="170"/>
        <v/>
      </c>
      <c r="CL52" s="22" t="str">
        <f t="shared" si="171"/>
        <v/>
      </c>
      <c r="CM52" s="22" t="str">
        <f t="shared" si="172"/>
        <v/>
      </c>
      <c r="CN52" s="22" t="str">
        <f t="shared" si="173"/>
        <v/>
      </c>
      <c r="CO52" s="22" t="str">
        <f t="shared" si="174"/>
        <v/>
      </c>
      <c r="CP52" s="22" t="str">
        <f t="shared" si="175"/>
        <v/>
      </c>
      <c r="CQ52" s="22">
        <f t="shared" si="75"/>
        <v>0</v>
      </c>
      <c r="CR52" s="22">
        <f t="shared" si="130"/>
        <v>0</v>
      </c>
      <c r="CS52" s="22" t="str">
        <f t="shared" si="176"/>
        <v/>
      </c>
      <c r="CT52" s="22" t="str">
        <f t="shared" si="177"/>
        <v/>
      </c>
      <c r="CU52" s="22" t="str">
        <f t="shared" si="178"/>
        <v/>
      </c>
      <c r="CV52" s="22" t="str">
        <f t="shared" si="179"/>
        <v/>
      </c>
      <c r="CW52" s="22" t="str">
        <f t="shared" si="180"/>
        <v/>
      </c>
      <c r="CX52" s="22" t="str">
        <f t="shared" si="181"/>
        <v/>
      </c>
      <c r="CY52" s="22" t="str">
        <f t="shared" si="182"/>
        <v/>
      </c>
      <c r="CZ52" s="22" t="str">
        <f t="shared" si="183"/>
        <v/>
      </c>
      <c r="DA52" s="22" t="str">
        <f t="shared" si="184"/>
        <v/>
      </c>
      <c r="DB52" s="22" t="str">
        <f t="shared" si="185"/>
        <v/>
      </c>
      <c r="DC52" s="22" t="str">
        <f t="shared" si="186"/>
        <v/>
      </c>
      <c r="DD52" s="22" t="str">
        <f t="shared" si="187"/>
        <v/>
      </c>
      <c r="DE52" s="22" t="str">
        <f t="shared" si="188"/>
        <v/>
      </c>
      <c r="DF52" s="22" t="str">
        <f t="shared" si="189"/>
        <v/>
      </c>
      <c r="DG52" s="22" t="str">
        <f t="shared" si="190"/>
        <v/>
      </c>
      <c r="DH52" s="22" t="str">
        <f t="shared" si="191"/>
        <v/>
      </c>
      <c r="DI52" s="22" t="str">
        <f t="shared" si="192"/>
        <v/>
      </c>
      <c r="DJ52" s="22" t="str">
        <f t="shared" si="193"/>
        <v/>
      </c>
      <c r="DK52" s="22" t="str">
        <f t="shared" si="194"/>
        <v/>
      </c>
      <c r="DL52" s="22" t="str">
        <f t="shared" si="195"/>
        <v/>
      </c>
      <c r="DM52" s="22">
        <f t="shared" si="196"/>
        <v>0</v>
      </c>
      <c r="DN52" s="36">
        <f t="shared" ref="DN52:DW52" si="207">DN51</f>
        <v>0</v>
      </c>
      <c r="DO52" s="36">
        <f t="shared" si="207"/>
        <v>0</v>
      </c>
      <c r="DP52" s="36">
        <f t="shared" si="207"/>
        <v>0</v>
      </c>
      <c r="DQ52" s="36">
        <f t="shared" si="207"/>
        <v>0</v>
      </c>
      <c r="DR52" s="36">
        <f t="shared" si="207"/>
        <v>0</v>
      </c>
      <c r="DS52" s="36">
        <f t="shared" si="207"/>
        <v>0</v>
      </c>
      <c r="DT52" s="36">
        <f t="shared" si="207"/>
        <v>0</v>
      </c>
      <c r="DU52" s="36">
        <f t="shared" si="207"/>
        <v>0</v>
      </c>
      <c r="DV52" s="36">
        <f t="shared" si="207"/>
        <v>0</v>
      </c>
      <c r="DW52" s="36">
        <f t="shared" si="207"/>
        <v>0</v>
      </c>
      <c r="DX52" s="23">
        <f t="shared" si="90"/>
        <v>0</v>
      </c>
      <c r="DY52" s="23">
        <f t="shared" si="98"/>
        <v>0</v>
      </c>
      <c r="DZ52" s="23">
        <f t="shared" si="99"/>
        <v>0</v>
      </c>
      <c r="EA52" s="23">
        <f t="shared" si="100"/>
        <v>0</v>
      </c>
      <c r="EB52" s="23">
        <f t="shared" si="101"/>
        <v>0</v>
      </c>
      <c r="EC52" s="23">
        <f t="shared" si="102"/>
        <v>0</v>
      </c>
      <c r="ED52" s="23">
        <f t="shared" si="103"/>
        <v>0</v>
      </c>
      <c r="EE52" s="23">
        <f t="shared" si="104"/>
        <v>0</v>
      </c>
      <c r="EF52" s="23">
        <f t="shared" si="105"/>
        <v>0</v>
      </c>
      <c r="EG52" s="23">
        <f t="shared" si="106"/>
        <v>0</v>
      </c>
      <c r="EH52" s="23">
        <f t="shared" si="107"/>
        <v>0</v>
      </c>
      <c r="EI52" s="23">
        <f t="shared" si="87"/>
        <v>0</v>
      </c>
      <c r="EJ52" s="23">
        <f t="shared" si="88"/>
        <v>0</v>
      </c>
    </row>
    <row r="53" spans="1:140" ht="9.9" customHeight="1" x14ac:dyDescent="0.3">
      <c r="A53" s="23">
        <v>44</v>
      </c>
      <c r="B53" s="37" t="str">
        <f>IF(ISBLANK(Informations!B54),"",Informations!B54)</f>
        <v/>
      </c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9" t="e">
        <f t="shared" si="132"/>
        <v>#DIV/0!</v>
      </c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40" t="str">
        <f t="shared" si="133"/>
        <v xml:space="preserve"> </v>
      </c>
      <c r="AI53" s="40" t="str">
        <f t="shared" si="134"/>
        <v xml:space="preserve"> </v>
      </c>
      <c r="AJ53" s="40" t="str">
        <f t="shared" si="135"/>
        <v xml:space="preserve"> </v>
      </c>
      <c r="AK53" s="40" t="str">
        <f t="shared" si="136"/>
        <v xml:space="preserve"> </v>
      </c>
      <c r="AL53" s="40" t="str">
        <f t="shared" si="137"/>
        <v xml:space="preserve"> </v>
      </c>
      <c r="AM53" s="40" t="str">
        <f t="shared" si="138"/>
        <v xml:space="preserve"> </v>
      </c>
      <c r="AN53" s="40" t="str">
        <f t="shared" si="139"/>
        <v xml:space="preserve"> </v>
      </c>
      <c r="AO53" s="40" t="str">
        <f t="shared" si="140"/>
        <v xml:space="preserve"> </v>
      </c>
      <c r="AP53" s="40" t="str">
        <f t="shared" si="141"/>
        <v xml:space="preserve"> </v>
      </c>
      <c r="AQ53" s="40" t="str">
        <f t="shared" si="142"/>
        <v xml:space="preserve"> </v>
      </c>
      <c r="AR53" s="41" t="e">
        <f t="shared" si="143"/>
        <v>#DIV/0!</v>
      </c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42" t="str">
        <f t="shared" si="144"/>
        <v xml:space="preserve"> </v>
      </c>
      <c r="BD53" s="42" t="str">
        <f t="shared" si="145"/>
        <v xml:space="preserve"> </v>
      </c>
      <c r="BE53" s="42" t="str">
        <f t="shared" si="146"/>
        <v xml:space="preserve"> </v>
      </c>
      <c r="BF53" s="42" t="str">
        <f t="shared" si="147"/>
        <v xml:space="preserve"> </v>
      </c>
      <c r="BG53" s="42" t="str">
        <f t="shared" si="148"/>
        <v xml:space="preserve"> </v>
      </c>
      <c r="BH53" s="42" t="str">
        <f t="shared" si="149"/>
        <v xml:space="preserve"> </v>
      </c>
      <c r="BI53" s="42" t="str">
        <f t="shared" si="150"/>
        <v xml:space="preserve"> </v>
      </c>
      <c r="BJ53" s="42" t="str">
        <f t="shared" si="151"/>
        <v xml:space="preserve"> </v>
      </c>
      <c r="BK53" s="42" t="str">
        <f t="shared" si="152"/>
        <v xml:space="preserve"> </v>
      </c>
      <c r="BL53" s="42" t="str">
        <f t="shared" si="153"/>
        <v xml:space="preserve"> </v>
      </c>
      <c r="BM53" s="43" t="e">
        <f t="shared" si="154"/>
        <v>#DIV/0!</v>
      </c>
      <c r="BN53" s="38"/>
      <c r="BO53" s="44" t="e">
        <f t="shared" si="155"/>
        <v>#DIV/0!</v>
      </c>
      <c r="BP53" s="20"/>
      <c r="BQ53" s="39" t="e">
        <f t="shared" si="73"/>
        <v>#DIV/0!</v>
      </c>
      <c r="BR53" s="23" t="e">
        <f t="shared" si="96"/>
        <v>#DIV/0!</v>
      </c>
      <c r="BS53" s="45"/>
      <c r="BT53" s="46"/>
      <c r="BU53" s="46"/>
      <c r="BV53" s="46"/>
      <c r="BW53" s="21" t="str">
        <f t="shared" si="156"/>
        <v/>
      </c>
      <c r="BX53" s="22" t="str">
        <f t="shared" si="157"/>
        <v/>
      </c>
      <c r="BY53" s="22" t="str">
        <f t="shared" si="158"/>
        <v/>
      </c>
      <c r="BZ53" s="22" t="str">
        <f t="shared" si="159"/>
        <v/>
      </c>
      <c r="CA53" s="22" t="str">
        <f t="shared" si="160"/>
        <v/>
      </c>
      <c r="CB53" s="22" t="str">
        <f t="shared" si="161"/>
        <v/>
      </c>
      <c r="CC53" s="22" t="str">
        <f t="shared" si="162"/>
        <v/>
      </c>
      <c r="CD53" s="22" t="str">
        <f t="shared" si="163"/>
        <v/>
      </c>
      <c r="CE53" s="22" t="str">
        <f t="shared" si="164"/>
        <v/>
      </c>
      <c r="CF53" s="22" t="str">
        <f t="shared" si="165"/>
        <v/>
      </c>
      <c r="CG53" s="22" t="str">
        <f t="shared" si="166"/>
        <v/>
      </c>
      <c r="CH53" s="22" t="str">
        <f t="shared" si="167"/>
        <v/>
      </c>
      <c r="CI53" s="22" t="str">
        <f t="shared" si="168"/>
        <v/>
      </c>
      <c r="CJ53" s="22" t="str">
        <f t="shared" si="169"/>
        <v/>
      </c>
      <c r="CK53" s="22" t="str">
        <f t="shared" si="170"/>
        <v/>
      </c>
      <c r="CL53" s="22" t="str">
        <f t="shared" si="171"/>
        <v/>
      </c>
      <c r="CM53" s="22" t="str">
        <f t="shared" si="172"/>
        <v/>
      </c>
      <c r="CN53" s="22" t="str">
        <f t="shared" si="173"/>
        <v/>
      </c>
      <c r="CO53" s="22" t="str">
        <f t="shared" si="174"/>
        <v/>
      </c>
      <c r="CP53" s="22" t="str">
        <f t="shared" si="175"/>
        <v/>
      </c>
      <c r="CQ53" s="22">
        <f t="shared" si="75"/>
        <v>0</v>
      </c>
      <c r="CR53" s="22">
        <f t="shared" si="130"/>
        <v>0</v>
      </c>
      <c r="CS53" s="22" t="str">
        <f t="shared" si="176"/>
        <v/>
      </c>
      <c r="CT53" s="22" t="str">
        <f t="shared" si="177"/>
        <v/>
      </c>
      <c r="CU53" s="22" t="str">
        <f t="shared" si="178"/>
        <v/>
      </c>
      <c r="CV53" s="22" t="str">
        <f t="shared" si="179"/>
        <v/>
      </c>
      <c r="CW53" s="22" t="str">
        <f t="shared" si="180"/>
        <v/>
      </c>
      <c r="CX53" s="22" t="str">
        <f t="shared" si="181"/>
        <v/>
      </c>
      <c r="CY53" s="22" t="str">
        <f t="shared" si="182"/>
        <v/>
      </c>
      <c r="CZ53" s="22" t="str">
        <f t="shared" si="183"/>
        <v/>
      </c>
      <c r="DA53" s="22" t="str">
        <f t="shared" si="184"/>
        <v/>
      </c>
      <c r="DB53" s="22" t="str">
        <f t="shared" si="185"/>
        <v/>
      </c>
      <c r="DC53" s="22" t="str">
        <f t="shared" si="186"/>
        <v/>
      </c>
      <c r="DD53" s="22" t="str">
        <f t="shared" si="187"/>
        <v/>
      </c>
      <c r="DE53" s="22" t="str">
        <f t="shared" si="188"/>
        <v/>
      </c>
      <c r="DF53" s="22" t="str">
        <f t="shared" si="189"/>
        <v/>
      </c>
      <c r="DG53" s="22" t="str">
        <f t="shared" si="190"/>
        <v/>
      </c>
      <c r="DH53" s="22" t="str">
        <f t="shared" si="191"/>
        <v/>
      </c>
      <c r="DI53" s="22" t="str">
        <f t="shared" si="192"/>
        <v/>
      </c>
      <c r="DJ53" s="22" t="str">
        <f t="shared" si="193"/>
        <v/>
      </c>
      <c r="DK53" s="22" t="str">
        <f t="shared" si="194"/>
        <v/>
      </c>
      <c r="DL53" s="22" t="str">
        <f t="shared" si="195"/>
        <v/>
      </c>
      <c r="DM53" s="22">
        <f t="shared" si="196"/>
        <v>0</v>
      </c>
      <c r="DN53" s="36">
        <f t="shared" ref="DN53:DW53" si="208">DN52</f>
        <v>0</v>
      </c>
      <c r="DO53" s="36">
        <f t="shared" si="208"/>
        <v>0</v>
      </c>
      <c r="DP53" s="36">
        <f t="shared" si="208"/>
        <v>0</v>
      </c>
      <c r="DQ53" s="36">
        <f t="shared" si="208"/>
        <v>0</v>
      </c>
      <c r="DR53" s="36">
        <f t="shared" si="208"/>
        <v>0</v>
      </c>
      <c r="DS53" s="36">
        <f t="shared" si="208"/>
        <v>0</v>
      </c>
      <c r="DT53" s="36">
        <f t="shared" si="208"/>
        <v>0</v>
      </c>
      <c r="DU53" s="36">
        <f t="shared" si="208"/>
        <v>0</v>
      </c>
      <c r="DV53" s="36">
        <f t="shared" si="208"/>
        <v>0</v>
      </c>
      <c r="DW53" s="36">
        <f t="shared" si="208"/>
        <v>0</v>
      </c>
      <c r="DX53" s="23">
        <f t="shared" si="90"/>
        <v>0</v>
      </c>
      <c r="DY53" s="23">
        <f t="shared" si="98"/>
        <v>0</v>
      </c>
      <c r="DZ53" s="23">
        <f t="shared" si="99"/>
        <v>0</v>
      </c>
      <c r="EA53" s="23">
        <f t="shared" si="100"/>
        <v>0</v>
      </c>
      <c r="EB53" s="23">
        <f t="shared" si="101"/>
        <v>0</v>
      </c>
      <c r="EC53" s="23">
        <f t="shared" si="102"/>
        <v>0</v>
      </c>
      <c r="ED53" s="23">
        <f t="shared" si="103"/>
        <v>0</v>
      </c>
      <c r="EE53" s="23">
        <f t="shared" si="104"/>
        <v>0</v>
      </c>
      <c r="EF53" s="23">
        <f t="shared" si="105"/>
        <v>0</v>
      </c>
      <c r="EG53" s="23">
        <f t="shared" si="106"/>
        <v>0</v>
      </c>
      <c r="EH53" s="23">
        <f t="shared" si="107"/>
        <v>0</v>
      </c>
      <c r="EI53" s="23">
        <f t="shared" si="87"/>
        <v>0</v>
      </c>
      <c r="EJ53" s="23">
        <f t="shared" si="88"/>
        <v>0</v>
      </c>
    </row>
    <row r="54" spans="1:140" ht="9.9" customHeight="1" x14ac:dyDescent="0.3">
      <c r="A54" s="23">
        <v>45</v>
      </c>
      <c r="B54" s="37" t="str">
        <f>IF(ISBLANK(Informations!B55),"",Informations!B55)</f>
        <v/>
      </c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9" t="e">
        <f t="shared" si="132"/>
        <v>#DIV/0!</v>
      </c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40" t="str">
        <f t="shared" si="133"/>
        <v xml:space="preserve"> </v>
      </c>
      <c r="AI54" s="40" t="str">
        <f t="shared" si="134"/>
        <v xml:space="preserve"> </v>
      </c>
      <c r="AJ54" s="40" t="str">
        <f t="shared" si="135"/>
        <v xml:space="preserve"> </v>
      </c>
      <c r="AK54" s="40" t="str">
        <f t="shared" si="136"/>
        <v xml:space="preserve"> </v>
      </c>
      <c r="AL54" s="40" t="str">
        <f t="shared" si="137"/>
        <v xml:space="preserve"> </v>
      </c>
      <c r="AM54" s="40" t="str">
        <f t="shared" si="138"/>
        <v xml:space="preserve"> </v>
      </c>
      <c r="AN54" s="40" t="str">
        <f t="shared" si="139"/>
        <v xml:space="preserve"> </v>
      </c>
      <c r="AO54" s="40" t="str">
        <f t="shared" si="140"/>
        <v xml:space="preserve"> </v>
      </c>
      <c r="AP54" s="40" t="str">
        <f t="shared" si="141"/>
        <v xml:space="preserve"> </v>
      </c>
      <c r="AQ54" s="40" t="str">
        <f t="shared" si="142"/>
        <v xml:space="preserve"> </v>
      </c>
      <c r="AR54" s="41" t="e">
        <f t="shared" si="143"/>
        <v>#DIV/0!</v>
      </c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42" t="str">
        <f t="shared" si="144"/>
        <v xml:space="preserve"> </v>
      </c>
      <c r="BD54" s="42" t="str">
        <f t="shared" si="145"/>
        <v xml:space="preserve"> </v>
      </c>
      <c r="BE54" s="42" t="str">
        <f t="shared" si="146"/>
        <v xml:space="preserve"> </v>
      </c>
      <c r="BF54" s="42" t="str">
        <f t="shared" si="147"/>
        <v xml:space="preserve"> </v>
      </c>
      <c r="BG54" s="42" t="str">
        <f t="shared" si="148"/>
        <v xml:space="preserve"> </v>
      </c>
      <c r="BH54" s="42" t="str">
        <f t="shared" si="149"/>
        <v xml:space="preserve"> </v>
      </c>
      <c r="BI54" s="42" t="str">
        <f t="shared" si="150"/>
        <v xml:space="preserve"> </v>
      </c>
      <c r="BJ54" s="42" t="str">
        <f t="shared" si="151"/>
        <v xml:space="preserve"> </v>
      </c>
      <c r="BK54" s="42" t="str">
        <f t="shared" si="152"/>
        <v xml:space="preserve"> </v>
      </c>
      <c r="BL54" s="42" t="str">
        <f t="shared" si="153"/>
        <v xml:space="preserve"> </v>
      </c>
      <c r="BM54" s="43" t="e">
        <f t="shared" si="154"/>
        <v>#DIV/0!</v>
      </c>
      <c r="BN54" s="38"/>
      <c r="BO54" s="44" t="e">
        <f t="shared" si="155"/>
        <v>#DIV/0!</v>
      </c>
      <c r="BP54" s="20"/>
      <c r="BQ54" s="39" t="e">
        <f t="shared" si="73"/>
        <v>#DIV/0!</v>
      </c>
      <c r="BR54" s="23" t="e">
        <f t="shared" si="96"/>
        <v>#DIV/0!</v>
      </c>
      <c r="BS54" s="45"/>
      <c r="BT54" s="46"/>
      <c r="BU54" s="46"/>
      <c r="BV54" s="46"/>
      <c r="BW54" s="21" t="str">
        <f t="shared" si="156"/>
        <v/>
      </c>
      <c r="BX54" s="22" t="str">
        <f t="shared" si="157"/>
        <v/>
      </c>
      <c r="BY54" s="22" t="str">
        <f t="shared" si="158"/>
        <v/>
      </c>
      <c r="BZ54" s="22" t="str">
        <f t="shared" si="159"/>
        <v/>
      </c>
      <c r="CA54" s="22" t="str">
        <f t="shared" si="160"/>
        <v/>
      </c>
      <c r="CB54" s="22" t="str">
        <f t="shared" si="161"/>
        <v/>
      </c>
      <c r="CC54" s="22" t="str">
        <f t="shared" si="162"/>
        <v/>
      </c>
      <c r="CD54" s="22" t="str">
        <f t="shared" si="163"/>
        <v/>
      </c>
      <c r="CE54" s="22" t="str">
        <f t="shared" si="164"/>
        <v/>
      </c>
      <c r="CF54" s="22" t="str">
        <f t="shared" si="165"/>
        <v/>
      </c>
      <c r="CG54" s="22" t="str">
        <f t="shared" si="166"/>
        <v/>
      </c>
      <c r="CH54" s="22" t="str">
        <f t="shared" si="167"/>
        <v/>
      </c>
      <c r="CI54" s="22" t="str">
        <f t="shared" si="168"/>
        <v/>
      </c>
      <c r="CJ54" s="22" t="str">
        <f t="shared" si="169"/>
        <v/>
      </c>
      <c r="CK54" s="22" t="str">
        <f t="shared" si="170"/>
        <v/>
      </c>
      <c r="CL54" s="22" t="str">
        <f t="shared" si="171"/>
        <v/>
      </c>
      <c r="CM54" s="22" t="str">
        <f t="shared" si="172"/>
        <v/>
      </c>
      <c r="CN54" s="22" t="str">
        <f t="shared" si="173"/>
        <v/>
      </c>
      <c r="CO54" s="22" t="str">
        <f t="shared" si="174"/>
        <v/>
      </c>
      <c r="CP54" s="22" t="str">
        <f t="shared" si="175"/>
        <v/>
      </c>
      <c r="CQ54" s="22">
        <f t="shared" si="75"/>
        <v>0</v>
      </c>
      <c r="CR54" s="22">
        <f t="shared" si="130"/>
        <v>0</v>
      </c>
      <c r="CS54" s="22" t="str">
        <f t="shared" si="176"/>
        <v/>
      </c>
      <c r="CT54" s="22" t="str">
        <f t="shared" si="177"/>
        <v/>
      </c>
      <c r="CU54" s="22" t="str">
        <f t="shared" si="178"/>
        <v/>
      </c>
      <c r="CV54" s="22" t="str">
        <f t="shared" si="179"/>
        <v/>
      </c>
      <c r="CW54" s="22" t="str">
        <f t="shared" si="180"/>
        <v/>
      </c>
      <c r="CX54" s="22" t="str">
        <f t="shared" si="181"/>
        <v/>
      </c>
      <c r="CY54" s="22" t="str">
        <f t="shared" si="182"/>
        <v/>
      </c>
      <c r="CZ54" s="22" t="str">
        <f t="shared" si="183"/>
        <v/>
      </c>
      <c r="DA54" s="22" t="str">
        <f t="shared" si="184"/>
        <v/>
      </c>
      <c r="DB54" s="22" t="str">
        <f t="shared" si="185"/>
        <v/>
      </c>
      <c r="DC54" s="22" t="str">
        <f t="shared" si="186"/>
        <v/>
      </c>
      <c r="DD54" s="22" t="str">
        <f t="shared" si="187"/>
        <v/>
      </c>
      <c r="DE54" s="22" t="str">
        <f t="shared" si="188"/>
        <v/>
      </c>
      <c r="DF54" s="22" t="str">
        <f t="shared" si="189"/>
        <v/>
      </c>
      <c r="DG54" s="22" t="str">
        <f t="shared" si="190"/>
        <v/>
      </c>
      <c r="DH54" s="22" t="str">
        <f t="shared" si="191"/>
        <v/>
      </c>
      <c r="DI54" s="22" t="str">
        <f t="shared" si="192"/>
        <v/>
      </c>
      <c r="DJ54" s="22" t="str">
        <f t="shared" si="193"/>
        <v/>
      </c>
      <c r="DK54" s="22" t="str">
        <f t="shared" si="194"/>
        <v/>
      </c>
      <c r="DL54" s="22" t="str">
        <f t="shared" si="195"/>
        <v/>
      </c>
      <c r="DM54" s="22">
        <f t="shared" si="196"/>
        <v>0</v>
      </c>
      <c r="DN54" s="36">
        <f t="shared" ref="DN54:DW54" si="209">DN53</f>
        <v>0</v>
      </c>
      <c r="DO54" s="36">
        <f t="shared" si="209"/>
        <v>0</v>
      </c>
      <c r="DP54" s="36">
        <f t="shared" si="209"/>
        <v>0</v>
      </c>
      <c r="DQ54" s="36">
        <f t="shared" si="209"/>
        <v>0</v>
      </c>
      <c r="DR54" s="36">
        <f t="shared" si="209"/>
        <v>0</v>
      </c>
      <c r="DS54" s="36">
        <f t="shared" si="209"/>
        <v>0</v>
      </c>
      <c r="DT54" s="36">
        <f t="shared" si="209"/>
        <v>0</v>
      </c>
      <c r="DU54" s="36">
        <f t="shared" si="209"/>
        <v>0</v>
      </c>
      <c r="DV54" s="36">
        <f t="shared" si="209"/>
        <v>0</v>
      </c>
      <c r="DW54" s="36">
        <f t="shared" si="209"/>
        <v>0</v>
      </c>
      <c r="DX54" s="23">
        <f t="shared" si="90"/>
        <v>0</v>
      </c>
      <c r="DY54" s="23">
        <f t="shared" si="98"/>
        <v>0</v>
      </c>
      <c r="DZ54" s="23">
        <f t="shared" si="99"/>
        <v>0</v>
      </c>
      <c r="EA54" s="23">
        <f t="shared" si="100"/>
        <v>0</v>
      </c>
      <c r="EB54" s="23">
        <f t="shared" si="101"/>
        <v>0</v>
      </c>
      <c r="EC54" s="23">
        <f t="shared" si="102"/>
        <v>0</v>
      </c>
      <c r="ED54" s="23">
        <f t="shared" si="103"/>
        <v>0</v>
      </c>
      <c r="EE54" s="23">
        <f t="shared" si="104"/>
        <v>0</v>
      </c>
      <c r="EF54" s="23">
        <f t="shared" si="105"/>
        <v>0</v>
      </c>
      <c r="EG54" s="23">
        <f t="shared" si="106"/>
        <v>0</v>
      </c>
      <c r="EH54" s="23">
        <f t="shared" si="107"/>
        <v>0</v>
      </c>
      <c r="EI54" s="23">
        <f t="shared" si="87"/>
        <v>0</v>
      </c>
      <c r="EJ54" s="23">
        <f t="shared" si="88"/>
        <v>0</v>
      </c>
    </row>
    <row r="55" spans="1:140" ht="9.9" customHeight="1" x14ac:dyDescent="0.3">
      <c r="A55" s="23">
        <v>46</v>
      </c>
      <c r="B55" s="37" t="str">
        <f>IF(ISBLANK(Informations!B56),"",Informations!B56)</f>
        <v/>
      </c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9" t="e">
        <f t="shared" si="132"/>
        <v>#DIV/0!</v>
      </c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40" t="str">
        <f t="shared" si="133"/>
        <v xml:space="preserve"> </v>
      </c>
      <c r="AI55" s="40" t="str">
        <f t="shared" si="134"/>
        <v xml:space="preserve"> </v>
      </c>
      <c r="AJ55" s="40" t="str">
        <f t="shared" si="135"/>
        <v xml:space="preserve"> </v>
      </c>
      <c r="AK55" s="40" t="str">
        <f t="shared" si="136"/>
        <v xml:space="preserve"> </v>
      </c>
      <c r="AL55" s="40" t="str">
        <f t="shared" si="137"/>
        <v xml:space="preserve"> </v>
      </c>
      <c r="AM55" s="40" t="str">
        <f t="shared" si="138"/>
        <v xml:space="preserve"> </v>
      </c>
      <c r="AN55" s="40" t="str">
        <f t="shared" si="139"/>
        <v xml:space="preserve"> </v>
      </c>
      <c r="AO55" s="40" t="str">
        <f t="shared" si="140"/>
        <v xml:space="preserve"> </v>
      </c>
      <c r="AP55" s="40" t="str">
        <f t="shared" si="141"/>
        <v xml:space="preserve"> </v>
      </c>
      <c r="AQ55" s="40" t="str">
        <f t="shared" si="142"/>
        <v xml:space="preserve"> </v>
      </c>
      <c r="AR55" s="41" t="e">
        <f t="shared" si="143"/>
        <v>#DIV/0!</v>
      </c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42" t="str">
        <f t="shared" si="144"/>
        <v xml:space="preserve"> </v>
      </c>
      <c r="BD55" s="42" t="str">
        <f t="shared" si="145"/>
        <v xml:space="preserve"> </v>
      </c>
      <c r="BE55" s="42" t="str">
        <f t="shared" si="146"/>
        <v xml:space="preserve"> </v>
      </c>
      <c r="BF55" s="42" t="str">
        <f t="shared" si="147"/>
        <v xml:space="preserve"> </v>
      </c>
      <c r="BG55" s="42" t="str">
        <f t="shared" si="148"/>
        <v xml:space="preserve"> </v>
      </c>
      <c r="BH55" s="42" t="str">
        <f t="shared" si="149"/>
        <v xml:space="preserve"> </v>
      </c>
      <c r="BI55" s="42" t="str">
        <f t="shared" si="150"/>
        <v xml:space="preserve"> </v>
      </c>
      <c r="BJ55" s="42" t="str">
        <f t="shared" si="151"/>
        <v xml:space="preserve"> </v>
      </c>
      <c r="BK55" s="42" t="str">
        <f t="shared" si="152"/>
        <v xml:space="preserve"> </v>
      </c>
      <c r="BL55" s="42" t="str">
        <f t="shared" si="153"/>
        <v xml:space="preserve"> </v>
      </c>
      <c r="BM55" s="43" t="e">
        <f t="shared" si="154"/>
        <v>#DIV/0!</v>
      </c>
      <c r="BN55" s="38"/>
      <c r="BO55" s="44" t="e">
        <f t="shared" si="155"/>
        <v>#DIV/0!</v>
      </c>
      <c r="BP55" s="20"/>
      <c r="BQ55" s="39" t="e">
        <f t="shared" si="73"/>
        <v>#DIV/0!</v>
      </c>
      <c r="BR55" s="23" t="e">
        <f t="shared" si="96"/>
        <v>#DIV/0!</v>
      </c>
      <c r="BS55" s="45"/>
      <c r="BT55" s="46"/>
      <c r="BU55" s="46"/>
      <c r="BV55" s="46"/>
      <c r="BW55" s="21" t="str">
        <f t="shared" si="156"/>
        <v/>
      </c>
      <c r="BX55" s="22" t="str">
        <f t="shared" si="157"/>
        <v/>
      </c>
      <c r="BY55" s="22" t="str">
        <f t="shared" si="158"/>
        <v/>
      </c>
      <c r="BZ55" s="22" t="str">
        <f t="shared" si="159"/>
        <v/>
      </c>
      <c r="CA55" s="22" t="str">
        <f t="shared" si="160"/>
        <v/>
      </c>
      <c r="CB55" s="22" t="str">
        <f t="shared" si="161"/>
        <v/>
      </c>
      <c r="CC55" s="22" t="str">
        <f t="shared" si="162"/>
        <v/>
      </c>
      <c r="CD55" s="22" t="str">
        <f t="shared" si="163"/>
        <v/>
      </c>
      <c r="CE55" s="22" t="str">
        <f t="shared" si="164"/>
        <v/>
      </c>
      <c r="CF55" s="22" t="str">
        <f t="shared" si="165"/>
        <v/>
      </c>
      <c r="CG55" s="22" t="str">
        <f t="shared" si="166"/>
        <v/>
      </c>
      <c r="CH55" s="22" t="str">
        <f t="shared" si="167"/>
        <v/>
      </c>
      <c r="CI55" s="22" t="str">
        <f t="shared" si="168"/>
        <v/>
      </c>
      <c r="CJ55" s="22" t="str">
        <f t="shared" si="169"/>
        <v/>
      </c>
      <c r="CK55" s="22" t="str">
        <f t="shared" si="170"/>
        <v/>
      </c>
      <c r="CL55" s="22" t="str">
        <f t="shared" si="171"/>
        <v/>
      </c>
      <c r="CM55" s="22" t="str">
        <f t="shared" si="172"/>
        <v/>
      </c>
      <c r="CN55" s="22" t="str">
        <f t="shared" si="173"/>
        <v/>
      </c>
      <c r="CO55" s="22" t="str">
        <f t="shared" si="174"/>
        <v/>
      </c>
      <c r="CP55" s="22" t="str">
        <f t="shared" si="175"/>
        <v/>
      </c>
      <c r="CQ55" s="22">
        <f t="shared" si="75"/>
        <v>0</v>
      </c>
      <c r="CR55" s="22">
        <f t="shared" si="130"/>
        <v>0</v>
      </c>
      <c r="CS55" s="22" t="str">
        <f t="shared" si="176"/>
        <v/>
      </c>
      <c r="CT55" s="22" t="str">
        <f t="shared" si="177"/>
        <v/>
      </c>
      <c r="CU55" s="22" t="str">
        <f t="shared" si="178"/>
        <v/>
      </c>
      <c r="CV55" s="22" t="str">
        <f t="shared" si="179"/>
        <v/>
      </c>
      <c r="CW55" s="22" t="str">
        <f t="shared" si="180"/>
        <v/>
      </c>
      <c r="CX55" s="22" t="str">
        <f t="shared" si="181"/>
        <v/>
      </c>
      <c r="CY55" s="22" t="str">
        <f t="shared" si="182"/>
        <v/>
      </c>
      <c r="CZ55" s="22" t="str">
        <f t="shared" si="183"/>
        <v/>
      </c>
      <c r="DA55" s="22" t="str">
        <f t="shared" si="184"/>
        <v/>
      </c>
      <c r="DB55" s="22" t="str">
        <f t="shared" si="185"/>
        <v/>
      </c>
      <c r="DC55" s="22" t="str">
        <f t="shared" si="186"/>
        <v/>
      </c>
      <c r="DD55" s="22" t="str">
        <f t="shared" si="187"/>
        <v/>
      </c>
      <c r="DE55" s="22" t="str">
        <f t="shared" si="188"/>
        <v/>
      </c>
      <c r="DF55" s="22" t="str">
        <f t="shared" si="189"/>
        <v/>
      </c>
      <c r="DG55" s="22" t="str">
        <f t="shared" si="190"/>
        <v/>
      </c>
      <c r="DH55" s="22" t="str">
        <f t="shared" si="191"/>
        <v/>
      </c>
      <c r="DI55" s="22" t="str">
        <f t="shared" si="192"/>
        <v/>
      </c>
      <c r="DJ55" s="22" t="str">
        <f t="shared" si="193"/>
        <v/>
      </c>
      <c r="DK55" s="22" t="str">
        <f t="shared" si="194"/>
        <v/>
      </c>
      <c r="DL55" s="22" t="str">
        <f t="shared" si="195"/>
        <v/>
      </c>
      <c r="DM55" s="22">
        <f t="shared" si="196"/>
        <v>0</v>
      </c>
      <c r="DN55" s="36">
        <f t="shared" ref="DN55:DW55" si="210">DN54</f>
        <v>0</v>
      </c>
      <c r="DO55" s="36">
        <f t="shared" si="210"/>
        <v>0</v>
      </c>
      <c r="DP55" s="36">
        <f t="shared" si="210"/>
        <v>0</v>
      </c>
      <c r="DQ55" s="36">
        <f t="shared" si="210"/>
        <v>0</v>
      </c>
      <c r="DR55" s="36">
        <f t="shared" si="210"/>
        <v>0</v>
      </c>
      <c r="DS55" s="36">
        <f t="shared" si="210"/>
        <v>0</v>
      </c>
      <c r="DT55" s="36">
        <f t="shared" si="210"/>
        <v>0</v>
      </c>
      <c r="DU55" s="36">
        <f t="shared" si="210"/>
        <v>0</v>
      </c>
      <c r="DV55" s="36">
        <f t="shared" si="210"/>
        <v>0</v>
      </c>
      <c r="DW55" s="36">
        <f t="shared" si="210"/>
        <v>0</v>
      </c>
      <c r="DX55" s="23">
        <f t="shared" si="90"/>
        <v>0</v>
      </c>
      <c r="DY55" s="23">
        <f t="shared" si="98"/>
        <v>0</v>
      </c>
      <c r="DZ55" s="23">
        <f t="shared" si="99"/>
        <v>0</v>
      </c>
      <c r="EA55" s="23">
        <f t="shared" si="100"/>
        <v>0</v>
      </c>
      <c r="EB55" s="23">
        <f t="shared" si="101"/>
        <v>0</v>
      </c>
      <c r="EC55" s="23">
        <f t="shared" si="102"/>
        <v>0</v>
      </c>
      <c r="ED55" s="23">
        <f t="shared" si="103"/>
        <v>0</v>
      </c>
      <c r="EE55" s="23">
        <f t="shared" si="104"/>
        <v>0</v>
      </c>
      <c r="EF55" s="23">
        <f t="shared" si="105"/>
        <v>0</v>
      </c>
      <c r="EG55" s="23">
        <f t="shared" si="106"/>
        <v>0</v>
      </c>
      <c r="EH55" s="23">
        <f t="shared" si="107"/>
        <v>0</v>
      </c>
      <c r="EI55" s="23">
        <f t="shared" si="87"/>
        <v>0</v>
      </c>
      <c r="EJ55" s="23">
        <f t="shared" si="88"/>
        <v>0</v>
      </c>
    </row>
    <row r="56" spans="1:140" ht="9.9" customHeight="1" x14ac:dyDescent="0.3">
      <c r="A56" s="23">
        <v>47</v>
      </c>
      <c r="B56" s="37" t="str">
        <f>IF(ISBLANK(Informations!B57),"",Informations!B57)</f>
        <v/>
      </c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9" t="e">
        <f t="shared" si="132"/>
        <v>#DIV/0!</v>
      </c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40" t="str">
        <f t="shared" si="133"/>
        <v xml:space="preserve"> </v>
      </c>
      <c r="AI56" s="40" t="str">
        <f t="shared" si="134"/>
        <v xml:space="preserve"> </v>
      </c>
      <c r="AJ56" s="40" t="str">
        <f t="shared" si="135"/>
        <v xml:space="preserve"> </v>
      </c>
      <c r="AK56" s="40" t="str">
        <f t="shared" si="136"/>
        <v xml:space="preserve"> </v>
      </c>
      <c r="AL56" s="40" t="str">
        <f t="shared" si="137"/>
        <v xml:space="preserve"> </v>
      </c>
      <c r="AM56" s="40" t="str">
        <f t="shared" si="138"/>
        <v xml:space="preserve"> </v>
      </c>
      <c r="AN56" s="40" t="str">
        <f t="shared" si="139"/>
        <v xml:space="preserve"> </v>
      </c>
      <c r="AO56" s="40" t="str">
        <f t="shared" si="140"/>
        <v xml:space="preserve"> </v>
      </c>
      <c r="AP56" s="40" t="str">
        <f t="shared" si="141"/>
        <v xml:space="preserve"> </v>
      </c>
      <c r="AQ56" s="40" t="str">
        <f t="shared" si="142"/>
        <v xml:space="preserve"> </v>
      </c>
      <c r="AR56" s="41" t="e">
        <f t="shared" si="143"/>
        <v>#DIV/0!</v>
      </c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42" t="str">
        <f t="shared" si="144"/>
        <v xml:space="preserve"> </v>
      </c>
      <c r="BD56" s="42" t="str">
        <f t="shared" si="145"/>
        <v xml:space="preserve"> </v>
      </c>
      <c r="BE56" s="42" t="str">
        <f t="shared" si="146"/>
        <v xml:space="preserve"> </v>
      </c>
      <c r="BF56" s="42" t="str">
        <f t="shared" si="147"/>
        <v xml:space="preserve"> </v>
      </c>
      <c r="BG56" s="42" t="str">
        <f t="shared" si="148"/>
        <v xml:space="preserve"> </v>
      </c>
      <c r="BH56" s="42" t="str">
        <f t="shared" si="149"/>
        <v xml:space="preserve"> </v>
      </c>
      <c r="BI56" s="42" t="str">
        <f t="shared" si="150"/>
        <v xml:space="preserve"> </v>
      </c>
      <c r="BJ56" s="42" t="str">
        <f t="shared" si="151"/>
        <v xml:space="preserve"> </v>
      </c>
      <c r="BK56" s="42" t="str">
        <f t="shared" si="152"/>
        <v xml:space="preserve"> </v>
      </c>
      <c r="BL56" s="42" t="str">
        <f t="shared" si="153"/>
        <v xml:space="preserve"> </v>
      </c>
      <c r="BM56" s="43" t="e">
        <f t="shared" si="154"/>
        <v>#DIV/0!</v>
      </c>
      <c r="BN56" s="38"/>
      <c r="BO56" s="44" t="e">
        <f t="shared" si="155"/>
        <v>#DIV/0!</v>
      </c>
      <c r="BP56" s="20"/>
      <c r="BQ56" s="39" t="e">
        <f t="shared" si="73"/>
        <v>#DIV/0!</v>
      </c>
      <c r="BR56" s="23" t="e">
        <f t="shared" si="96"/>
        <v>#DIV/0!</v>
      </c>
      <c r="BS56" s="45"/>
      <c r="BT56" s="46"/>
      <c r="BU56" s="46"/>
      <c r="BV56" s="46"/>
      <c r="BW56" s="21" t="str">
        <f t="shared" si="156"/>
        <v/>
      </c>
      <c r="BX56" s="22" t="str">
        <f t="shared" si="157"/>
        <v/>
      </c>
      <c r="BY56" s="22" t="str">
        <f t="shared" si="158"/>
        <v/>
      </c>
      <c r="BZ56" s="22" t="str">
        <f t="shared" si="159"/>
        <v/>
      </c>
      <c r="CA56" s="22" t="str">
        <f t="shared" si="160"/>
        <v/>
      </c>
      <c r="CB56" s="22" t="str">
        <f t="shared" si="161"/>
        <v/>
      </c>
      <c r="CC56" s="22" t="str">
        <f t="shared" si="162"/>
        <v/>
      </c>
      <c r="CD56" s="22" t="str">
        <f t="shared" si="163"/>
        <v/>
      </c>
      <c r="CE56" s="22" t="str">
        <f t="shared" si="164"/>
        <v/>
      </c>
      <c r="CF56" s="22" t="str">
        <f t="shared" si="165"/>
        <v/>
      </c>
      <c r="CG56" s="22" t="str">
        <f t="shared" si="166"/>
        <v/>
      </c>
      <c r="CH56" s="22" t="str">
        <f t="shared" si="167"/>
        <v/>
      </c>
      <c r="CI56" s="22" t="str">
        <f t="shared" si="168"/>
        <v/>
      </c>
      <c r="CJ56" s="22" t="str">
        <f t="shared" si="169"/>
        <v/>
      </c>
      <c r="CK56" s="22" t="str">
        <f t="shared" si="170"/>
        <v/>
      </c>
      <c r="CL56" s="22" t="str">
        <f t="shared" si="171"/>
        <v/>
      </c>
      <c r="CM56" s="22" t="str">
        <f t="shared" si="172"/>
        <v/>
      </c>
      <c r="CN56" s="22" t="str">
        <f t="shared" si="173"/>
        <v/>
      </c>
      <c r="CO56" s="22" t="str">
        <f t="shared" si="174"/>
        <v/>
      </c>
      <c r="CP56" s="22" t="str">
        <f t="shared" si="175"/>
        <v/>
      </c>
      <c r="CQ56" s="22">
        <f t="shared" si="75"/>
        <v>0</v>
      </c>
      <c r="CR56" s="22">
        <f t="shared" si="130"/>
        <v>0</v>
      </c>
      <c r="CS56" s="22" t="str">
        <f t="shared" si="176"/>
        <v/>
      </c>
      <c r="CT56" s="22" t="str">
        <f t="shared" si="177"/>
        <v/>
      </c>
      <c r="CU56" s="22" t="str">
        <f t="shared" si="178"/>
        <v/>
      </c>
      <c r="CV56" s="22" t="str">
        <f t="shared" si="179"/>
        <v/>
      </c>
      <c r="CW56" s="22" t="str">
        <f t="shared" si="180"/>
        <v/>
      </c>
      <c r="CX56" s="22" t="str">
        <f t="shared" si="181"/>
        <v/>
      </c>
      <c r="CY56" s="22" t="str">
        <f t="shared" si="182"/>
        <v/>
      </c>
      <c r="CZ56" s="22" t="str">
        <f t="shared" si="183"/>
        <v/>
      </c>
      <c r="DA56" s="22" t="str">
        <f t="shared" si="184"/>
        <v/>
      </c>
      <c r="DB56" s="22" t="str">
        <f t="shared" si="185"/>
        <v/>
      </c>
      <c r="DC56" s="22" t="str">
        <f t="shared" si="186"/>
        <v/>
      </c>
      <c r="DD56" s="22" t="str">
        <f t="shared" si="187"/>
        <v/>
      </c>
      <c r="DE56" s="22" t="str">
        <f t="shared" si="188"/>
        <v/>
      </c>
      <c r="DF56" s="22" t="str">
        <f t="shared" si="189"/>
        <v/>
      </c>
      <c r="DG56" s="22" t="str">
        <f t="shared" si="190"/>
        <v/>
      </c>
      <c r="DH56" s="22" t="str">
        <f t="shared" si="191"/>
        <v/>
      </c>
      <c r="DI56" s="22" t="str">
        <f t="shared" si="192"/>
        <v/>
      </c>
      <c r="DJ56" s="22" t="str">
        <f t="shared" si="193"/>
        <v/>
      </c>
      <c r="DK56" s="22" t="str">
        <f t="shared" si="194"/>
        <v/>
      </c>
      <c r="DL56" s="22" t="str">
        <f t="shared" si="195"/>
        <v/>
      </c>
      <c r="DM56" s="22">
        <f t="shared" si="196"/>
        <v>0</v>
      </c>
      <c r="DN56" s="36">
        <f t="shared" ref="DN56:DW56" si="211">DN55</f>
        <v>0</v>
      </c>
      <c r="DO56" s="36">
        <f t="shared" si="211"/>
        <v>0</v>
      </c>
      <c r="DP56" s="36">
        <f t="shared" si="211"/>
        <v>0</v>
      </c>
      <c r="DQ56" s="36">
        <f t="shared" si="211"/>
        <v>0</v>
      </c>
      <c r="DR56" s="36">
        <f t="shared" si="211"/>
        <v>0</v>
      </c>
      <c r="DS56" s="36">
        <f t="shared" si="211"/>
        <v>0</v>
      </c>
      <c r="DT56" s="36">
        <f t="shared" si="211"/>
        <v>0</v>
      </c>
      <c r="DU56" s="36">
        <f t="shared" si="211"/>
        <v>0</v>
      </c>
      <c r="DV56" s="36">
        <f t="shared" si="211"/>
        <v>0</v>
      </c>
      <c r="DW56" s="36">
        <f t="shared" si="211"/>
        <v>0</v>
      </c>
      <c r="DX56" s="23">
        <f t="shared" si="90"/>
        <v>0</v>
      </c>
      <c r="DY56" s="23">
        <f t="shared" si="98"/>
        <v>0</v>
      </c>
      <c r="DZ56" s="23">
        <f t="shared" si="99"/>
        <v>0</v>
      </c>
      <c r="EA56" s="23">
        <f t="shared" si="100"/>
        <v>0</v>
      </c>
      <c r="EB56" s="23">
        <f t="shared" si="101"/>
        <v>0</v>
      </c>
      <c r="EC56" s="23">
        <f t="shared" si="102"/>
        <v>0</v>
      </c>
      <c r="ED56" s="23">
        <f t="shared" si="103"/>
        <v>0</v>
      </c>
      <c r="EE56" s="23">
        <f t="shared" si="104"/>
        <v>0</v>
      </c>
      <c r="EF56" s="23">
        <f t="shared" si="105"/>
        <v>0</v>
      </c>
      <c r="EG56" s="23">
        <f t="shared" si="106"/>
        <v>0</v>
      </c>
      <c r="EH56" s="23">
        <f t="shared" si="107"/>
        <v>0</v>
      </c>
      <c r="EI56" s="23">
        <f t="shared" si="87"/>
        <v>0</v>
      </c>
      <c r="EJ56" s="23">
        <f t="shared" si="88"/>
        <v>0</v>
      </c>
    </row>
    <row r="57" spans="1:140" ht="9.9" customHeight="1" x14ac:dyDescent="0.3">
      <c r="A57" s="23">
        <v>48</v>
      </c>
      <c r="B57" s="37" t="str">
        <f>IF(ISBLANK(Informations!B58),"",Informations!B58)</f>
        <v/>
      </c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9" t="e">
        <f t="shared" si="132"/>
        <v>#DIV/0!</v>
      </c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40" t="str">
        <f t="shared" si="133"/>
        <v xml:space="preserve"> </v>
      </c>
      <c r="AI57" s="40" t="str">
        <f t="shared" si="134"/>
        <v xml:space="preserve"> </v>
      </c>
      <c r="AJ57" s="40" t="str">
        <f t="shared" si="135"/>
        <v xml:space="preserve"> </v>
      </c>
      <c r="AK57" s="40" t="str">
        <f t="shared" si="136"/>
        <v xml:space="preserve"> </v>
      </c>
      <c r="AL57" s="40" t="str">
        <f t="shared" si="137"/>
        <v xml:space="preserve"> </v>
      </c>
      <c r="AM57" s="40" t="str">
        <f t="shared" si="138"/>
        <v xml:space="preserve"> </v>
      </c>
      <c r="AN57" s="40" t="str">
        <f t="shared" si="139"/>
        <v xml:space="preserve"> </v>
      </c>
      <c r="AO57" s="40" t="str">
        <f t="shared" si="140"/>
        <v xml:space="preserve"> </v>
      </c>
      <c r="AP57" s="40" t="str">
        <f t="shared" si="141"/>
        <v xml:space="preserve"> </v>
      </c>
      <c r="AQ57" s="40" t="str">
        <f t="shared" si="142"/>
        <v xml:space="preserve"> </v>
      </c>
      <c r="AR57" s="41" t="e">
        <f t="shared" si="143"/>
        <v>#DIV/0!</v>
      </c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42" t="str">
        <f t="shared" si="144"/>
        <v xml:space="preserve"> </v>
      </c>
      <c r="BD57" s="42" t="str">
        <f t="shared" si="145"/>
        <v xml:space="preserve"> </v>
      </c>
      <c r="BE57" s="42" t="str">
        <f t="shared" si="146"/>
        <v xml:space="preserve"> </v>
      </c>
      <c r="BF57" s="42" t="str">
        <f t="shared" si="147"/>
        <v xml:space="preserve"> </v>
      </c>
      <c r="BG57" s="42" t="str">
        <f t="shared" si="148"/>
        <v xml:space="preserve"> </v>
      </c>
      <c r="BH57" s="42" t="str">
        <f t="shared" si="149"/>
        <v xml:space="preserve"> </v>
      </c>
      <c r="BI57" s="42" t="str">
        <f t="shared" si="150"/>
        <v xml:space="preserve"> </v>
      </c>
      <c r="BJ57" s="42" t="str">
        <f t="shared" si="151"/>
        <v xml:space="preserve"> </v>
      </c>
      <c r="BK57" s="42" t="str">
        <f t="shared" si="152"/>
        <v xml:space="preserve"> </v>
      </c>
      <c r="BL57" s="42" t="str">
        <f t="shared" si="153"/>
        <v xml:space="preserve"> </v>
      </c>
      <c r="BM57" s="43" t="e">
        <f t="shared" si="154"/>
        <v>#DIV/0!</v>
      </c>
      <c r="BN57" s="38"/>
      <c r="BO57" s="44" t="e">
        <f t="shared" si="155"/>
        <v>#DIV/0!</v>
      </c>
      <c r="BP57" s="20"/>
      <c r="BQ57" s="39" t="e">
        <f t="shared" si="73"/>
        <v>#DIV/0!</v>
      </c>
      <c r="BR57" s="23" t="e">
        <f t="shared" si="96"/>
        <v>#DIV/0!</v>
      </c>
      <c r="BS57" s="45"/>
      <c r="BT57" s="46"/>
      <c r="BU57" s="46"/>
      <c r="BV57" s="46"/>
      <c r="BW57" s="21" t="str">
        <f t="shared" si="156"/>
        <v/>
      </c>
      <c r="BX57" s="22" t="str">
        <f t="shared" si="157"/>
        <v/>
      </c>
      <c r="BY57" s="22" t="str">
        <f t="shared" si="158"/>
        <v/>
      </c>
      <c r="BZ57" s="22" t="str">
        <f t="shared" si="159"/>
        <v/>
      </c>
      <c r="CA57" s="22" t="str">
        <f t="shared" si="160"/>
        <v/>
      </c>
      <c r="CB57" s="22" t="str">
        <f t="shared" si="161"/>
        <v/>
      </c>
      <c r="CC57" s="22" t="str">
        <f t="shared" si="162"/>
        <v/>
      </c>
      <c r="CD57" s="22" t="str">
        <f t="shared" si="163"/>
        <v/>
      </c>
      <c r="CE57" s="22" t="str">
        <f t="shared" si="164"/>
        <v/>
      </c>
      <c r="CF57" s="22" t="str">
        <f t="shared" si="165"/>
        <v/>
      </c>
      <c r="CG57" s="22" t="str">
        <f t="shared" si="166"/>
        <v/>
      </c>
      <c r="CH57" s="22" t="str">
        <f t="shared" si="167"/>
        <v/>
      </c>
      <c r="CI57" s="22" t="str">
        <f t="shared" si="168"/>
        <v/>
      </c>
      <c r="CJ57" s="22" t="str">
        <f t="shared" si="169"/>
        <v/>
      </c>
      <c r="CK57" s="22" t="str">
        <f t="shared" si="170"/>
        <v/>
      </c>
      <c r="CL57" s="22" t="str">
        <f t="shared" si="171"/>
        <v/>
      </c>
      <c r="CM57" s="22" t="str">
        <f t="shared" si="172"/>
        <v/>
      </c>
      <c r="CN57" s="22" t="str">
        <f t="shared" si="173"/>
        <v/>
      </c>
      <c r="CO57" s="22" t="str">
        <f t="shared" si="174"/>
        <v/>
      </c>
      <c r="CP57" s="22" t="str">
        <f t="shared" si="175"/>
        <v/>
      </c>
      <c r="CQ57" s="22">
        <f t="shared" si="75"/>
        <v>0</v>
      </c>
      <c r="CR57" s="22">
        <f t="shared" si="130"/>
        <v>0</v>
      </c>
      <c r="CS57" s="22" t="str">
        <f t="shared" si="176"/>
        <v/>
      </c>
      <c r="CT57" s="22" t="str">
        <f t="shared" si="177"/>
        <v/>
      </c>
      <c r="CU57" s="22" t="str">
        <f t="shared" si="178"/>
        <v/>
      </c>
      <c r="CV57" s="22" t="str">
        <f t="shared" si="179"/>
        <v/>
      </c>
      <c r="CW57" s="22" t="str">
        <f t="shared" si="180"/>
        <v/>
      </c>
      <c r="CX57" s="22" t="str">
        <f t="shared" si="181"/>
        <v/>
      </c>
      <c r="CY57" s="22" t="str">
        <f t="shared" si="182"/>
        <v/>
      </c>
      <c r="CZ57" s="22" t="str">
        <f t="shared" si="183"/>
        <v/>
      </c>
      <c r="DA57" s="22" t="str">
        <f t="shared" si="184"/>
        <v/>
      </c>
      <c r="DB57" s="22" t="str">
        <f t="shared" si="185"/>
        <v/>
      </c>
      <c r="DC57" s="22" t="str">
        <f t="shared" si="186"/>
        <v/>
      </c>
      <c r="DD57" s="22" t="str">
        <f t="shared" si="187"/>
        <v/>
      </c>
      <c r="DE57" s="22" t="str">
        <f t="shared" si="188"/>
        <v/>
      </c>
      <c r="DF57" s="22" t="str">
        <f t="shared" si="189"/>
        <v/>
      </c>
      <c r="DG57" s="22" t="str">
        <f t="shared" si="190"/>
        <v/>
      </c>
      <c r="DH57" s="22" t="str">
        <f t="shared" si="191"/>
        <v/>
      </c>
      <c r="DI57" s="22" t="str">
        <f t="shared" si="192"/>
        <v/>
      </c>
      <c r="DJ57" s="22" t="str">
        <f t="shared" si="193"/>
        <v/>
      </c>
      <c r="DK57" s="22" t="str">
        <f t="shared" si="194"/>
        <v/>
      </c>
      <c r="DL57" s="22" t="str">
        <f t="shared" si="195"/>
        <v/>
      </c>
      <c r="DM57" s="22">
        <f t="shared" si="196"/>
        <v>0</v>
      </c>
      <c r="DN57" s="36">
        <f t="shared" ref="DN57:DW57" si="212">DN56</f>
        <v>0</v>
      </c>
      <c r="DO57" s="36">
        <f t="shared" si="212"/>
        <v>0</v>
      </c>
      <c r="DP57" s="36">
        <f t="shared" si="212"/>
        <v>0</v>
      </c>
      <c r="DQ57" s="36">
        <f t="shared" si="212"/>
        <v>0</v>
      </c>
      <c r="DR57" s="36">
        <f t="shared" si="212"/>
        <v>0</v>
      </c>
      <c r="DS57" s="36">
        <f t="shared" si="212"/>
        <v>0</v>
      </c>
      <c r="DT57" s="36">
        <f t="shared" si="212"/>
        <v>0</v>
      </c>
      <c r="DU57" s="36">
        <f t="shared" si="212"/>
        <v>0</v>
      </c>
      <c r="DV57" s="36">
        <f t="shared" si="212"/>
        <v>0</v>
      </c>
      <c r="DW57" s="36">
        <f t="shared" si="212"/>
        <v>0</v>
      </c>
      <c r="DX57" s="23">
        <f t="shared" si="90"/>
        <v>0</v>
      </c>
      <c r="DY57" s="23">
        <f t="shared" si="98"/>
        <v>0</v>
      </c>
      <c r="DZ57" s="23">
        <f t="shared" si="99"/>
        <v>0</v>
      </c>
      <c r="EA57" s="23">
        <f t="shared" si="100"/>
        <v>0</v>
      </c>
      <c r="EB57" s="23">
        <f t="shared" si="101"/>
        <v>0</v>
      </c>
      <c r="EC57" s="23">
        <f t="shared" si="102"/>
        <v>0</v>
      </c>
      <c r="ED57" s="23">
        <f t="shared" si="103"/>
        <v>0</v>
      </c>
      <c r="EE57" s="23">
        <f t="shared" si="104"/>
        <v>0</v>
      </c>
      <c r="EF57" s="23">
        <f t="shared" si="105"/>
        <v>0</v>
      </c>
      <c r="EG57" s="23">
        <f t="shared" si="106"/>
        <v>0</v>
      </c>
      <c r="EH57" s="23">
        <f t="shared" si="107"/>
        <v>0</v>
      </c>
      <c r="EI57" s="23">
        <f t="shared" si="87"/>
        <v>0</v>
      </c>
      <c r="EJ57" s="23">
        <f t="shared" si="88"/>
        <v>0</v>
      </c>
    </row>
    <row r="58" spans="1:140" ht="9.9" customHeight="1" x14ac:dyDescent="0.3">
      <c r="A58" s="23">
        <v>49</v>
      </c>
      <c r="B58" s="37" t="str">
        <f>IF(ISBLANK(Informations!B59),"",Informations!B59)</f>
        <v/>
      </c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9" t="e">
        <f t="shared" si="132"/>
        <v>#DIV/0!</v>
      </c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40" t="str">
        <f t="shared" si="133"/>
        <v xml:space="preserve"> </v>
      </c>
      <c r="AI58" s="40" t="str">
        <f t="shared" si="134"/>
        <v xml:space="preserve"> </v>
      </c>
      <c r="AJ58" s="40" t="str">
        <f t="shared" si="135"/>
        <v xml:space="preserve"> </v>
      </c>
      <c r="AK58" s="40" t="str">
        <f t="shared" si="136"/>
        <v xml:space="preserve"> </v>
      </c>
      <c r="AL58" s="40" t="str">
        <f t="shared" si="137"/>
        <v xml:space="preserve"> </v>
      </c>
      <c r="AM58" s="40" t="str">
        <f t="shared" si="138"/>
        <v xml:space="preserve"> </v>
      </c>
      <c r="AN58" s="40" t="str">
        <f t="shared" si="139"/>
        <v xml:space="preserve"> </v>
      </c>
      <c r="AO58" s="40" t="str">
        <f t="shared" si="140"/>
        <v xml:space="preserve"> </v>
      </c>
      <c r="AP58" s="40" t="str">
        <f t="shared" si="141"/>
        <v xml:space="preserve"> </v>
      </c>
      <c r="AQ58" s="40" t="str">
        <f t="shared" si="142"/>
        <v xml:space="preserve"> </v>
      </c>
      <c r="AR58" s="41" t="e">
        <f t="shared" si="143"/>
        <v>#DIV/0!</v>
      </c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42" t="str">
        <f t="shared" si="144"/>
        <v xml:space="preserve"> </v>
      </c>
      <c r="BD58" s="42" t="str">
        <f t="shared" si="145"/>
        <v xml:space="preserve"> </v>
      </c>
      <c r="BE58" s="42" t="str">
        <f t="shared" si="146"/>
        <v xml:space="preserve"> </v>
      </c>
      <c r="BF58" s="42" t="str">
        <f t="shared" si="147"/>
        <v xml:space="preserve"> </v>
      </c>
      <c r="BG58" s="42" t="str">
        <f t="shared" si="148"/>
        <v xml:space="preserve"> </v>
      </c>
      <c r="BH58" s="42" t="str">
        <f t="shared" si="149"/>
        <v xml:space="preserve"> </v>
      </c>
      <c r="BI58" s="42" t="str">
        <f t="shared" si="150"/>
        <v xml:space="preserve"> </v>
      </c>
      <c r="BJ58" s="42" t="str">
        <f t="shared" si="151"/>
        <v xml:space="preserve"> </v>
      </c>
      <c r="BK58" s="42" t="str">
        <f t="shared" si="152"/>
        <v xml:space="preserve"> </v>
      </c>
      <c r="BL58" s="42" t="str">
        <f t="shared" si="153"/>
        <v xml:space="preserve"> </v>
      </c>
      <c r="BM58" s="43" t="e">
        <f t="shared" si="154"/>
        <v>#DIV/0!</v>
      </c>
      <c r="BN58" s="38"/>
      <c r="BO58" s="44" t="e">
        <f t="shared" si="155"/>
        <v>#DIV/0!</v>
      </c>
      <c r="BP58" s="20"/>
      <c r="BQ58" s="39" t="e">
        <f t="shared" si="73"/>
        <v>#DIV/0!</v>
      </c>
      <c r="BR58" s="23" t="e">
        <f t="shared" si="96"/>
        <v>#DIV/0!</v>
      </c>
      <c r="BS58" s="45"/>
      <c r="BT58" s="46"/>
      <c r="BU58" s="46"/>
      <c r="BV58" s="46"/>
      <c r="BW58" s="21" t="str">
        <f t="shared" si="156"/>
        <v/>
      </c>
      <c r="BX58" s="22" t="str">
        <f t="shared" si="157"/>
        <v/>
      </c>
      <c r="BY58" s="22" t="str">
        <f t="shared" si="158"/>
        <v/>
      </c>
      <c r="BZ58" s="22" t="str">
        <f t="shared" si="159"/>
        <v/>
      </c>
      <c r="CA58" s="22" t="str">
        <f t="shared" si="160"/>
        <v/>
      </c>
      <c r="CB58" s="22" t="str">
        <f t="shared" si="161"/>
        <v/>
      </c>
      <c r="CC58" s="22" t="str">
        <f t="shared" si="162"/>
        <v/>
      </c>
      <c r="CD58" s="22" t="str">
        <f t="shared" si="163"/>
        <v/>
      </c>
      <c r="CE58" s="22" t="str">
        <f t="shared" si="164"/>
        <v/>
      </c>
      <c r="CF58" s="22" t="str">
        <f t="shared" si="165"/>
        <v/>
      </c>
      <c r="CG58" s="22" t="str">
        <f t="shared" si="166"/>
        <v/>
      </c>
      <c r="CH58" s="22" t="str">
        <f t="shared" si="167"/>
        <v/>
      </c>
      <c r="CI58" s="22" t="str">
        <f t="shared" si="168"/>
        <v/>
      </c>
      <c r="CJ58" s="22" t="str">
        <f t="shared" si="169"/>
        <v/>
      </c>
      <c r="CK58" s="22" t="str">
        <f t="shared" si="170"/>
        <v/>
      </c>
      <c r="CL58" s="22" t="str">
        <f t="shared" si="171"/>
        <v/>
      </c>
      <c r="CM58" s="22" t="str">
        <f t="shared" si="172"/>
        <v/>
      </c>
      <c r="CN58" s="22" t="str">
        <f t="shared" si="173"/>
        <v/>
      </c>
      <c r="CO58" s="22" t="str">
        <f t="shared" si="174"/>
        <v/>
      </c>
      <c r="CP58" s="22" t="str">
        <f t="shared" si="175"/>
        <v/>
      </c>
      <c r="CQ58" s="22">
        <f t="shared" si="75"/>
        <v>0</v>
      </c>
      <c r="CR58" s="22">
        <f t="shared" si="130"/>
        <v>0</v>
      </c>
      <c r="CS58" s="22" t="str">
        <f t="shared" si="176"/>
        <v/>
      </c>
      <c r="CT58" s="22" t="str">
        <f t="shared" si="177"/>
        <v/>
      </c>
      <c r="CU58" s="22" t="str">
        <f t="shared" si="178"/>
        <v/>
      </c>
      <c r="CV58" s="22" t="str">
        <f t="shared" si="179"/>
        <v/>
      </c>
      <c r="CW58" s="22" t="str">
        <f t="shared" si="180"/>
        <v/>
      </c>
      <c r="CX58" s="22" t="str">
        <f t="shared" si="181"/>
        <v/>
      </c>
      <c r="CY58" s="22" t="str">
        <f t="shared" si="182"/>
        <v/>
      </c>
      <c r="CZ58" s="22" t="str">
        <f t="shared" si="183"/>
        <v/>
      </c>
      <c r="DA58" s="22" t="str">
        <f t="shared" si="184"/>
        <v/>
      </c>
      <c r="DB58" s="22" t="str">
        <f t="shared" si="185"/>
        <v/>
      </c>
      <c r="DC58" s="22" t="str">
        <f t="shared" si="186"/>
        <v/>
      </c>
      <c r="DD58" s="22" t="str">
        <f t="shared" si="187"/>
        <v/>
      </c>
      <c r="DE58" s="22" t="str">
        <f t="shared" si="188"/>
        <v/>
      </c>
      <c r="DF58" s="22" t="str">
        <f t="shared" si="189"/>
        <v/>
      </c>
      <c r="DG58" s="22" t="str">
        <f t="shared" si="190"/>
        <v/>
      </c>
      <c r="DH58" s="22" t="str">
        <f t="shared" si="191"/>
        <v/>
      </c>
      <c r="DI58" s="22" t="str">
        <f t="shared" si="192"/>
        <v/>
      </c>
      <c r="DJ58" s="22" t="str">
        <f t="shared" si="193"/>
        <v/>
      </c>
      <c r="DK58" s="22" t="str">
        <f t="shared" si="194"/>
        <v/>
      </c>
      <c r="DL58" s="22" t="str">
        <f t="shared" si="195"/>
        <v/>
      </c>
      <c r="DM58" s="22">
        <f t="shared" si="196"/>
        <v>0</v>
      </c>
      <c r="DN58" s="36">
        <f t="shared" ref="DN58:DW58" si="213">DN57</f>
        <v>0</v>
      </c>
      <c r="DO58" s="36">
        <f t="shared" si="213"/>
        <v>0</v>
      </c>
      <c r="DP58" s="36">
        <f t="shared" si="213"/>
        <v>0</v>
      </c>
      <c r="DQ58" s="36">
        <f t="shared" si="213"/>
        <v>0</v>
      </c>
      <c r="DR58" s="36">
        <f t="shared" si="213"/>
        <v>0</v>
      </c>
      <c r="DS58" s="36">
        <f t="shared" si="213"/>
        <v>0</v>
      </c>
      <c r="DT58" s="36">
        <f t="shared" si="213"/>
        <v>0</v>
      </c>
      <c r="DU58" s="36">
        <f t="shared" si="213"/>
        <v>0</v>
      </c>
      <c r="DV58" s="36">
        <f t="shared" si="213"/>
        <v>0</v>
      </c>
      <c r="DW58" s="36">
        <f t="shared" si="213"/>
        <v>0</v>
      </c>
      <c r="DX58" s="23">
        <f t="shared" si="90"/>
        <v>0</v>
      </c>
      <c r="DY58" s="23">
        <f t="shared" si="98"/>
        <v>0</v>
      </c>
      <c r="DZ58" s="23">
        <f t="shared" si="99"/>
        <v>0</v>
      </c>
      <c r="EA58" s="23">
        <f t="shared" si="100"/>
        <v>0</v>
      </c>
      <c r="EB58" s="23">
        <f t="shared" si="101"/>
        <v>0</v>
      </c>
      <c r="EC58" s="23">
        <f t="shared" si="102"/>
        <v>0</v>
      </c>
      <c r="ED58" s="23">
        <f t="shared" si="103"/>
        <v>0</v>
      </c>
      <c r="EE58" s="23">
        <f t="shared" si="104"/>
        <v>0</v>
      </c>
      <c r="EF58" s="23">
        <f t="shared" si="105"/>
        <v>0</v>
      </c>
      <c r="EG58" s="23">
        <f t="shared" si="106"/>
        <v>0</v>
      </c>
      <c r="EH58" s="23">
        <f t="shared" si="107"/>
        <v>0</v>
      </c>
      <c r="EI58" s="23">
        <f t="shared" si="87"/>
        <v>0</v>
      </c>
      <c r="EJ58" s="23">
        <f t="shared" si="88"/>
        <v>0</v>
      </c>
    </row>
    <row r="59" spans="1:140" ht="9.9" customHeight="1" x14ac:dyDescent="0.3">
      <c r="A59" s="23">
        <v>50</v>
      </c>
      <c r="B59" s="37" t="str">
        <f>IF(ISBLANK(Informations!B60),"",Informations!B60)</f>
        <v/>
      </c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9" t="e">
        <f t="shared" si="132"/>
        <v>#DIV/0!</v>
      </c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40" t="str">
        <f t="shared" si="133"/>
        <v xml:space="preserve"> </v>
      </c>
      <c r="AI59" s="40" t="str">
        <f t="shared" si="134"/>
        <v xml:space="preserve"> </v>
      </c>
      <c r="AJ59" s="40" t="str">
        <f t="shared" si="135"/>
        <v xml:space="preserve"> </v>
      </c>
      <c r="AK59" s="40" t="str">
        <f t="shared" si="136"/>
        <v xml:space="preserve"> </v>
      </c>
      <c r="AL59" s="40" t="str">
        <f t="shared" si="137"/>
        <v xml:space="preserve"> </v>
      </c>
      <c r="AM59" s="40" t="str">
        <f t="shared" si="138"/>
        <v xml:space="preserve"> </v>
      </c>
      <c r="AN59" s="40" t="str">
        <f t="shared" si="139"/>
        <v xml:space="preserve"> </v>
      </c>
      <c r="AO59" s="40" t="str">
        <f t="shared" si="140"/>
        <v xml:space="preserve"> </v>
      </c>
      <c r="AP59" s="40" t="str">
        <f t="shared" si="141"/>
        <v xml:space="preserve"> </v>
      </c>
      <c r="AQ59" s="40" t="str">
        <f t="shared" si="142"/>
        <v xml:space="preserve"> </v>
      </c>
      <c r="AR59" s="41" t="e">
        <f t="shared" si="143"/>
        <v>#DIV/0!</v>
      </c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42" t="str">
        <f t="shared" si="144"/>
        <v xml:space="preserve"> </v>
      </c>
      <c r="BD59" s="42" t="str">
        <f t="shared" si="145"/>
        <v xml:space="preserve"> </v>
      </c>
      <c r="BE59" s="42" t="str">
        <f t="shared" si="146"/>
        <v xml:space="preserve"> </v>
      </c>
      <c r="BF59" s="42" t="str">
        <f t="shared" si="147"/>
        <v xml:space="preserve"> </v>
      </c>
      <c r="BG59" s="42" t="str">
        <f t="shared" si="148"/>
        <v xml:space="preserve"> </v>
      </c>
      <c r="BH59" s="42" t="str">
        <f t="shared" si="149"/>
        <v xml:space="preserve"> </v>
      </c>
      <c r="BI59" s="42" t="str">
        <f t="shared" si="150"/>
        <v xml:space="preserve"> </v>
      </c>
      <c r="BJ59" s="42" t="str">
        <f t="shared" si="151"/>
        <v xml:space="preserve"> </v>
      </c>
      <c r="BK59" s="42" t="str">
        <f t="shared" si="152"/>
        <v xml:space="preserve"> </v>
      </c>
      <c r="BL59" s="42" t="str">
        <f t="shared" si="153"/>
        <v xml:space="preserve"> </v>
      </c>
      <c r="BM59" s="43" t="e">
        <f t="shared" si="154"/>
        <v>#DIV/0!</v>
      </c>
      <c r="BN59" s="38"/>
      <c r="BO59" s="44" t="e">
        <f t="shared" si="155"/>
        <v>#DIV/0!</v>
      </c>
      <c r="BP59" s="20"/>
      <c r="BQ59" s="39" t="e">
        <f t="shared" si="73"/>
        <v>#DIV/0!</v>
      </c>
      <c r="BR59" s="23" t="e">
        <f t="shared" si="96"/>
        <v>#DIV/0!</v>
      </c>
      <c r="BS59" s="45"/>
      <c r="BT59" s="46"/>
      <c r="BU59" s="46"/>
      <c r="BV59" s="46"/>
      <c r="BW59" s="21" t="str">
        <f t="shared" si="156"/>
        <v/>
      </c>
      <c r="BX59" s="22" t="str">
        <f t="shared" si="157"/>
        <v/>
      </c>
      <c r="BY59" s="22" t="str">
        <f t="shared" si="158"/>
        <v/>
      </c>
      <c r="BZ59" s="22" t="str">
        <f t="shared" si="159"/>
        <v/>
      </c>
      <c r="CA59" s="22" t="str">
        <f t="shared" si="160"/>
        <v/>
      </c>
      <c r="CB59" s="22" t="str">
        <f t="shared" si="161"/>
        <v/>
      </c>
      <c r="CC59" s="22" t="str">
        <f t="shared" si="162"/>
        <v/>
      </c>
      <c r="CD59" s="22" t="str">
        <f t="shared" si="163"/>
        <v/>
      </c>
      <c r="CE59" s="22" t="str">
        <f t="shared" si="164"/>
        <v/>
      </c>
      <c r="CF59" s="22" t="str">
        <f t="shared" si="165"/>
        <v/>
      </c>
      <c r="CG59" s="22" t="str">
        <f t="shared" si="166"/>
        <v/>
      </c>
      <c r="CH59" s="22" t="str">
        <f t="shared" si="167"/>
        <v/>
      </c>
      <c r="CI59" s="22" t="str">
        <f t="shared" si="168"/>
        <v/>
      </c>
      <c r="CJ59" s="22" t="str">
        <f t="shared" si="169"/>
        <v/>
      </c>
      <c r="CK59" s="22" t="str">
        <f t="shared" si="170"/>
        <v/>
      </c>
      <c r="CL59" s="22" t="str">
        <f t="shared" si="171"/>
        <v/>
      </c>
      <c r="CM59" s="22" t="str">
        <f t="shared" si="172"/>
        <v/>
      </c>
      <c r="CN59" s="22" t="str">
        <f t="shared" si="173"/>
        <v/>
      </c>
      <c r="CO59" s="22" t="str">
        <f t="shared" si="174"/>
        <v/>
      </c>
      <c r="CP59" s="22" t="str">
        <f t="shared" si="175"/>
        <v/>
      </c>
      <c r="CQ59" s="22">
        <f t="shared" si="75"/>
        <v>0</v>
      </c>
      <c r="CR59" s="22">
        <f t="shared" si="130"/>
        <v>0</v>
      </c>
      <c r="CS59" s="22" t="str">
        <f t="shared" si="176"/>
        <v/>
      </c>
      <c r="CT59" s="22" t="str">
        <f t="shared" si="177"/>
        <v/>
      </c>
      <c r="CU59" s="22" t="str">
        <f t="shared" si="178"/>
        <v/>
      </c>
      <c r="CV59" s="22" t="str">
        <f t="shared" si="179"/>
        <v/>
      </c>
      <c r="CW59" s="22" t="str">
        <f t="shared" si="180"/>
        <v/>
      </c>
      <c r="CX59" s="22" t="str">
        <f t="shared" si="181"/>
        <v/>
      </c>
      <c r="CY59" s="22" t="str">
        <f t="shared" si="182"/>
        <v/>
      </c>
      <c r="CZ59" s="22" t="str">
        <f t="shared" si="183"/>
        <v/>
      </c>
      <c r="DA59" s="22" t="str">
        <f t="shared" si="184"/>
        <v/>
      </c>
      <c r="DB59" s="22" t="str">
        <f t="shared" si="185"/>
        <v/>
      </c>
      <c r="DC59" s="22" t="str">
        <f t="shared" si="186"/>
        <v/>
      </c>
      <c r="DD59" s="22" t="str">
        <f t="shared" si="187"/>
        <v/>
      </c>
      <c r="DE59" s="22" t="str">
        <f t="shared" si="188"/>
        <v/>
      </c>
      <c r="DF59" s="22" t="str">
        <f t="shared" si="189"/>
        <v/>
      </c>
      <c r="DG59" s="22" t="str">
        <f t="shared" si="190"/>
        <v/>
      </c>
      <c r="DH59" s="22" t="str">
        <f t="shared" si="191"/>
        <v/>
      </c>
      <c r="DI59" s="22" t="str">
        <f t="shared" si="192"/>
        <v/>
      </c>
      <c r="DJ59" s="22" t="str">
        <f t="shared" si="193"/>
        <v/>
      </c>
      <c r="DK59" s="22" t="str">
        <f t="shared" si="194"/>
        <v/>
      </c>
      <c r="DL59" s="22" t="str">
        <f t="shared" si="195"/>
        <v/>
      </c>
      <c r="DM59" s="22">
        <f t="shared" si="196"/>
        <v>0</v>
      </c>
      <c r="DN59" s="36">
        <f t="shared" ref="DN59:DW59" si="214">DN58</f>
        <v>0</v>
      </c>
      <c r="DO59" s="36">
        <f t="shared" si="214"/>
        <v>0</v>
      </c>
      <c r="DP59" s="36">
        <f t="shared" si="214"/>
        <v>0</v>
      </c>
      <c r="DQ59" s="36">
        <f t="shared" si="214"/>
        <v>0</v>
      </c>
      <c r="DR59" s="36">
        <f t="shared" si="214"/>
        <v>0</v>
      </c>
      <c r="DS59" s="36">
        <f t="shared" si="214"/>
        <v>0</v>
      </c>
      <c r="DT59" s="36">
        <f t="shared" si="214"/>
        <v>0</v>
      </c>
      <c r="DU59" s="36">
        <f t="shared" si="214"/>
        <v>0</v>
      </c>
      <c r="DV59" s="36">
        <f t="shared" si="214"/>
        <v>0</v>
      </c>
      <c r="DW59" s="36">
        <f t="shared" si="214"/>
        <v>0</v>
      </c>
      <c r="DX59" s="23">
        <f t="shared" si="90"/>
        <v>0</v>
      </c>
      <c r="DY59" s="23">
        <f t="shared" si="98"/>
        <v>0</v>
      </c>
      <c r="DZ59" s="23">
        <f t="shared" si="99"/>
        <v>0</v>
      </c>
      <c r="EA59" s="23">
        <f t="shared" si="100"/>
        <v>0</v>
      </c>
      <c r="EB59" s="23">
        <f t="shared" si="101"/>
        <v>0</v>
      </c>
      <c r="EC59" s="23">
        <f t="shared" si="102"/>
        <v>0</v>
      </c>
      <c r="ED59" s="23">
        <f t="shared" si="103"/>
        <v>0</v>
      </c>
      <c r="EE59" s="23">
        <f t="shared" si="104"/>
        <v>0</v>
      </c>
      <c r="EF59" s="23">
        <f t="shared" si="105"/>
        <v>0</v>
      </c>
      <c r="EG59" s="23">
        <f t="shared" si="106"/>
        <v>0</v>
      </c>
      <c r="EH59" s="23">
        <f t="shared" si="107"/>
        <v>0</v>
      </c>
      <c r="EI59" s="23">
        <f t="shared" si="87"/>
        <v>0</v>
      </c>
      <c r="EJ59" s="23">
        <f t="shared" si="88"/>
        <v>0</v>
      </c>
    </row>
    <row r="60" spans="1:140" ht="9.9" customHeight="1" x14ac:dyDescent="0.3">
      <c r="W60" s="14"/>
      <c r="AH60" s="12"/>
      <c r="AI60" s="12"/>
      <c r="AJ60" s="12"/>
      <c r="AR60" s="12"/>
      <c r="BM60" s="12"/>
      <c r="BO60" s="12"/>
      <c r="BQ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</row>
    <row r="61" spans="1:140" ht="9.9" customHeight="1" x14ac:dyDescent="0.3">
      <c r="W61" s="14"/>
      <c r="AH61" s="12"/>
      <c r="AI61" s="12"/>
      <c r="AJ61" s="12"/>
      <c r="AR61" s="12"/>
      <c r="BM61" s="12"/>
      <c r="BO61" s="12"/>
      <c r="BQ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</row>
    <row r="62" spans="1:140" ht="9.9" customHeight="1" x14ac:dyDescent="0.3">
      <c r="W62" s="14"/>
      <c r="AH62" s="12"/>
      <c r="AI62" s="12"/>
      <c r="AJ62" s="12"/>
      <c r="AR62" s="12"/>
      <c r="BM62" s="12"/>
      <c r="BO62" s="12"/>
      <c r="BQ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</row>
    <row r="63" spans="1:140" ht="9.9" customHeight="1" x14ac:dyDescent="0.3">
      <c r="W63" s="14"/>
      <c r="AH63" s="12"/>
      <c r="AI63" s="12"/>
      <c r="AJ63" s="12"/>
      <c r="AR63" s="12"/>
      <c r="BM63" s="12"/>
      <c r="BO63" s="12"/>
      <c r="BQ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</row>
    <row r="64" spans="1:140" ht="9.9" customHeight="1" x14ac:dyDescent="0.3">
      <c r="W64" s="14"/>
      <c r="AH64" s="12"/>
      <c r="AI64" s="12"/>
      <c r="AJ64" s="12"/>
      <c r="AR64" s="12"/>
      <c r="BM64" s="12"/>
      <c r="BO64" s="12"/>
      <c r="BQ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</row>
    <row r="65" spans="2:127" ht="9.9" customHeight="1" x14ac:dyDescent="0.3">
      <c r="W65" s="14"/>
      <c r="AH65" s="12"/>
      <c r="AI65" s="12"/>
      <c r="AJ65" s="12"/>
      <c r="AR65" s="12"/>
      <c r="BM65" s="12"/>
      <c r="BO65" s="12"/>
      <c r="BQ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</row>
    <row r="66" spans="2:127" ht="9.9" customHeight="1" x14ac:dyDescent="0.3">
      <c r="B66" s="12"/>
      <c r="W66" s="14"/>
      <c r="AH66" s="12"/>
      <c r="AI66" s="12"/>
      <c r="AJ66" s="12"/>
      <c r="AR66" s="12"/>
      <c r="BM66" s="12"/>
      <c r="BO66" s="12"/>
      <c r="BQ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</row>
    <row r="67" spans="2:127" ht="9.9" customHeight="1" x14ac:dyDescent="0.3">
      <c r="B67" s="12"/>
      <c r="W67" s="14"/>
      <c r="AH67" s="12"/>
      <c r="AI67" s="12"/>
      <c r="AJ67" s="12"/>
      <c r="AR67" s="12"/>
      <c r="BM67" s="12"/>
      <c r="BO67" s="12"/>
      <c r="BQ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</row>
    <row r="68" spans="2:127" ht="9.9" customHeight="1" x14ac:dyDescent="0.3">
      <c r="B68" s="12"/>
      <c r="W68" s="14"/>
      <c r="AH68" s="12"/>
      <c r="AI68" s="12"/>
      <c r="AJ68" s="12"/>
      <c r="AR68" s="12"/>
      <c r="BM68" s="12"/>
      <c r="BO68" s="12"/>
      <c r="BQ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</row>
    <row r="69" spans="2:127" ht="9.9" customHeight="1" x14ac:dyDescent="0.3">
      <c r="B69" s="12"/>
      <c r="W69" s="14"/>
      <c r="AH69" s="12"/>
      <c r="AI69" s="12"/>
      <c r="AJ69" s="12"/>
      <c r="AR69" s="12"/>
      <c r="BM69" s="12"/>
      <c r="BO69" s="12"/>
      <c r="BQ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</row>
    <row r="70" spans="2:127" ht="9.9" customHeight="1" x14ac:dyDescent="0.3">
      <c r="B70" s="12"/>
      <c r="W70" s="14"/>
      <c r="AH70" s="12"/>
      <c r="AI70" s="12"/>
      <c r="AJ70" s="12"/>
      <c r="AR70" s="12"/>
      <c r="BM70" s="12"/>
      <c r="BO70" s="12"/>
      <c r="BQ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</row>
    <row r="71" spans="2:127" ht="9.9" customHeight="1" x14ac:dyDescent="0.3">
      <c r="B71" s="12"/>
      <c r="W71" s="14"/>
      <c r="AH71" s="12"/>
      <c r="AI71" s="12"/>
      <c r="AJ71" s="12"/>
      <c r="AR71" s="12"/>
      <c r="BM71" s="12"/>
      <c r="BO71" s="12"/>
      <c r="BQ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</row>
    <row r="72" spans="2:127" ht="9.9" customHeight="1" x14ac:dyDescent="0.3">
      <c r="B72" s="12"/>
      <c r="W72" s="14"/>
      <c r="AH72" s="12"/>
      <c r="AI72" s="12"/>
      <c r="AJ72" s="12"/>
      <c r="AR72" s="12"/>
      <c r="BM72" s="12"/>
      <c r="BO72" s="12"/>
      <c r="BQ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</row>
    <row r="73" spans="2:127" ht="9.9" customHeight="1" x14ac:dyDescent="0.3">
      <c r="B73" s="12"/>
      <c r="W73" s="14"/>
      <c r="AH73" s="12"/>
      <c r="AI73" s="12"/>
      <c r="AJ73" s="12"/>
      <c r="AR73" s="12"/>
      <c r="BM73" s="12"/>
      <c r="BO73" s="12"/>
      <c r="BQ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</row>
    <row r="74" spans="2:127" ht="9.9" customHeight="1" x14ac:dyDescent="0.3">
      <c r="B74" s="12"/>
      <c r="W74" s="14"/>
      <c r="AH74" s="12"/>
      <c r="AI74" s="12"/>
      <c r="AJ74" s="12"/>
      <c r="AR74" s="12"/>
      <c r="BM74" s="12"/>
      <c r="BO74" s="12"/>
      <c r="BQ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</row>
    <row r="75" spans="2:127" ht="9.9" customHeight="1" x14ac:dyDescent="0.3">
      <c r="B75" s="12"/>
      <c r="W75" s="14"/>
      <c r="AH75" s="12"/>
      <c r="AI75" s="12"/>
      <c r="AJ75" s="12"/>
      <c r="AR75" s="12"/>
      <c r="BM75" s="12"/>
      <c r="BO75" s="12"/>
      <c r="BQ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</row>
    <row r="76" spans="2:127" ht="9.9" customHeight="1" x14ac:dyDescent="0.3">
      <c r="B76" s="12"/>
      <c r="W76" s="14"/>
      <c r="AH76" s="12"/>
      <c r="AI76" s="12"/>
      <c r="AJ76" s="12"/>
      <c r="AR76" s="12"/>
      <c r="BM76" s="12"/>
      <c r="BO76" s="12"/>
      <c r="BQ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</row>
    <row r="77" spans="2:127" ht="9.9" customHeight="1" x14ac:dyDescent="0.3">
      <c r="B77" s="12"/>
      <c r="W77" s="14"/>
      <c r="AH77" s="12"/>
      <c r="AI77" s="12"/>
      <c r="AJ77" s="12"/>
      <c r="AR77" s="12"/>
      <c r="BM77" s="12"/>
      <c r="BO77" s="12"/>
      <c r="BQ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</row>
    <row r="78" spans="2:127" ht="9.9" customHeight="1" x14ac:dyDescent="0.3">
      <c r="B78" s="12"/>
      <c r="W78" s="14"/>
      <c r="AH78" s="12"/>
      <c r="AI78" s="12"/>
      <c r="AJ78" s="12"/>
      <c r="AR78" s="12"/>
      <c r="BM78" s="12"/>
      <c r="BO78" s="12"/>
      <c r="BQ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</row>
    <row r="79" spans="2:127" ht="9.9" customHeight="1" x14ac:dyDescent="0.3">
      <c r="B79" s="12"/>
      <c r="W79" s="14"/>
      <c r="AH79" s="12"/>
      <c r="AI79" s="12"/>
      <c r="AJ79" s="12"/>
      <c r="AR79" s="12"/>
      <c r="BM79" s="12"/>
      <c r="BO79" s="12"/>
      <c r="BQ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</row>
    <row r="80" spans="2:127" ht="9.9" customHeight="1" x14ac:dyDescent="0.3">
      <c r="B80" s="12"/>
      <c r="W80" s="14"/>
      <c r="AH80" s="12"/>
      <c r="AI80" s="12"/>
      <c r="AJ80" s="12"/>
      <c r="AR80" s="12"/>
      <c r="BM80" s="12"/>
      <c r="BO80" s="12"/>
      <c r="BQ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</row>
    <row r="81" spans="23:23" s="12" customFormat="1" ht="9.9" customHeight="1" x14ac:dyDescent="0.3">
      <c r="W81" s="14"/>
    </row>
    <row r="82" spans="23:23" s="12" customFormat="1" ht="9.9" customHeight="1" x14ac:dyDescent="0.3">
      <c r="W82" s="14"/>
    </row>
    <row r="83" spans="23:23" s="12" customFormat="1" ht="9.9" customHeight="1" x14ac:dyDescent="0.3">
      <c r="W83" s="14"/>
    </row>
    <row r="84" spans="23:23" s="12" customFormat="1" ht="9.9" customHeight="1" x14ac:dyDescent="0.3">
      <c r="W84" s="14"/>
    </row>
    <row r="85" spans="23:23" s="12" customFormat="1" ht="9.9" customHeight="1" x14ac:dyDescent="0.3">
      <c r="W85" s="14"/>
    </row>
    <row r="86" spans="23:23" s="12" customFormat="1" ht="9.9" customHeight="1" x14ac:dyDescent="0.3">
      <c r="W86" s="14"/>
    </row>
    <row r="87" spans="23:23" s="12" customFormat="1" ht="9.9" customHeight="1" x14ac:dyDescent="0.3">
      <c r="W87" s="14"/>
    </row>
    <row r="88" spans="23:23" s="12" customFormat="1" ht="9.9" customHeight="1" x14ac:dyDescent="0.3">
      <c r="W88" s="14"/>
    </row>
    <row r="89" spans="23:23" s="12" customFormat="1" ht="9.9" customHeight="1" x14ac:dyDescent="0.3">
      <c r="W89" s="14"/>
    </row>
    <row r="90" spans="23:23" s="12" customFormat="1" ht="9.9" customHeight="1" x14ac:dyDescent="0.3">
      <c r="W90" s="14"/>
    </row>
    <row r="91" spans="23:23" s="12" customFormat="1" ht="9.9" customHeight="1" x14ac:dyDescent="0.3">
      <c r="W91" s="14"/>
    </row>
    <row r="92" spans="23:23" s="12" customFormat="1" ht="9.9" customHeight="1" x14ac:dyDescent="0.3">
      <c r="W92" s="14"/>
    </row>
    <row r="93" spans="23:23" s="12" customFormat="1" ht="9.9" customHeight="1" x14ac:dyDescent="0.3">
      <c r="W93" s="14"/>
    </row>
    <row r="94" spans="23:23" s="12" customFormat="1" ht="9.9" customHeight="1" x14ac:dyDescent="0.3">
      <c r="W94" s="14"/>
    </row>
    <row r="95" spans="23:23" s="12" customFormat="1" ht="9.9" customHeight="1" x14ac:dyDescent="0.3">
      <c r="W95" s="14"/>
    </row>
    <row r="96" spans="23:23" s="12" customFormat="1" ht="9.9" customHeight="1" x14ac:dyDescent="0.3">
      <c r="W96" s="14"/>
    </row>
    <row r="97" spans="23:23" s="12" customFormat="1" ht="9.9" customHeight="1" x14ac:dyDescent="0.3">
      <c r="W97" s="14"/>
    </row>
    <row r="98" spans="23:23" s="12" customFormat="1" ht="9.9" customHeight="1" x14ac:dyDescent="0.3">
      <c r="W98" s="14"/>
    </row>
    <row r="99" spans="23:23" s="12" customFormat="1" ht="9.9" customHeight="1" x14ac:dyDescent="0.3">
      <c r="W99" s="14"/>
    </row>
    <row r="100" spans="23:23" s="12" customFormat="1" ht="9.9" customHeight="1" x14ac:dyDescent="0.3">
      <c r="W100" s="14"/>
    </row>
    <row r="101" spans="23:23" s="12" customFormat="1" ht="9.9" customHeight="1" x14ac:dyDescent="0.3">
      <c r="W101" s="14"/>
    </row>
    <row r="102" spans="23:23" s="12" customFormat="1" ht="9.9" customHeight="1" x14ac:dyDescent="0.3">
      <c r="W102" s="14"/>
    </row>
    <row r="103" spans="23:23" s="12" customFormat="1" ht="9.9" customHeight="1" x14ac:dyDescent="0.3">
      <c r="W103" s="14"/>
    </row>
    <row r="104" spans="23:23" s="12" customFormat="1" ht="9.9" customHeight="1" x14ac:dyDescent="0.3">
      <c r="W104" s="14"/>
    </row>
    <row r="105" spans="23:23" s="12" customFormat="1" ht="9.9" customHeight="1" x14ac:dyDescent="0.3">
      <c r="W105" s="14"/>
    </row>
    <row r="106" spans="23:23" s="12" customFormat="1" ht="9.9" customHeight="1" x14ac:dyDescent="0.3">
      <c r="W106" s="14"/>
    </row>
    <row r="107" spans="23:23" s="12" customFormat="1" ht="9.9" customHeight="1" x14ac:dyDescent="0.3">
      <c r="W107" s="14"/>
    </row>
    <row r="108" spans="23:23" s="12" customFormat="1" ht="9.9" customHeight="1" x14ac:dyDescent="0.3">
      <c r="W108" s="14"/>
    </row>
    <row r="109" spans="23:23" s="12" customFormat="1" ht="9.9" customHeight="1" x14ac:dyDescent="0.3">
      <c r="W109" s="14"/>
    </row>
    <row r="110" spans="23:23" s="12" customFormat="1" ht="9.9" customHeight="1" x14ac:dyDescent="0.3">
      <c r="W110" s="14"/>
    </row>
    <row r="111" spans="23:23" s="12" customFormat="1" ht="9.9" customHeight="1" x14ac:dyDescent="0.3">
      <c r="W111" s="14"/>
    </row>
    <row r="112" spans="23:23" s="12" customFormat="1" ht="9.9" customHeight="1" x14ac:dyDescent="0.3">
      <c r="W112" s="14"/>
    </row>
    <row r="113" spans="23:23" s="12" customFormat="1" ht="9.9" customHeight="1" x14ac:dyDescent="0.3">
      <c r="W113" s="14"/>
    </row>
    <row r="114" spans="23:23" s="12" customFormat="1" ht="9.9" customHeight="1" x14ac:dyDescent="0.3">
      <c r="W114" s="14"/>
    </row>
    <row r="115" spans="23:23" s="12" customFormat="1" ht="9.9" customHeight="1" x14ac:dyDescent="0.3">
      <c r="W115" s="14"/>
    </row>
    <row r="116" spans="23:23" s="12" customFormat="1" ht="9.9" customHeight="1" x14ac:dyDescent="0.3">
      <c r="W116" s="14"/>
    </row>
    <row r="117" spans="23:23" s="12" customFormat="1" ht="9.9" customHeight="1" x14ac:dyDescent="0.3">
      <c r="W117" s="14"/>
    </row>
    <row r="118" spans="23:23" s="12" customFormat="1" ht="9.9" customHeight="1" x14ac:dyDescent="0.3">
      <c r="W118" s="14"/>
    </row>
    <row r="119" spans="23:23" s="12" customFormat="1" ht="9.9" customHeight="1" x14ac:dyDescent="0.3">
      <c r="W119" s="14"/>
    </row>
    <row r="120" spans="23:23" s="12" customFormat="1" ht="9.9" customHeight="1" x14ac:dyDescent="0.3">
      <c r="W120" s="14"/>
    </row>
    <row r="121" spans="23:23" s="12" customFormat="1" ht="9.9" customHeight="1" x14ac:dyDescent="0.3">
      <c r="W121" s="14"/>
    </row>
    <row r="122" spans="23:23" s="12" customFormat="1" ht="9.9" customHeight="1" x14ac:dyDescent="0.3">
      <c r="W122" s="14"/>
    </row>
    <row r="123" spans="23:23" s="12" customFormat="1" ht="9.9" customHeight="1" x14ac:dyDescent="0.3">
      <c r="W123" s="14"/>
    </row>
    <row r="124" spans="23:23" s="12" customFormat="1" ht="9.9" customHeight="1" x14ac:dyDescent="0.3">
      <c r="W124" s="14"/>
    </row>
    <row r="125" spans="23:23" s="12" customFormat="1" ht="9.9" customHeight="1" x14ac:dyDescent="0.3">
      <c r="W125" s="14"/>
    </row>
    <row r="126" spans="23:23" s="12" customFormat="1" ht="9.9" customHeight="1" x14ac:dyDescent="0.3">
      <c r="W126" s="14"/>
    </row>
    <row r="127" spans="23:23" s="12" customFormat="1" ht="9.9" customHeight="1" x14ac:dyDescent="0.3">
      <c r="W127" s="14"/>
    </row>
    <row r="128" spans="23:23" s="12" customFormat="1" ht="9.9" customHeight="1" x14ac:dyDescent="0.3">
      <c r="W128" s="14"/>
    </row>
    <row r="129" spans="23:23" s="12" customFormat="1" ht="9.9" customHeight="1" x14ac:dyDescent="0.3">
      <c r="W129" s="14"/>
    </row>
    <row r="130" spans="23:23" s="12" customFormat="1" ht="9.9" customHeight="1" x14ac:dyDescent="0.3">
      <c r="W130" s="14"/>
    </row>
    <row r="131" spans="23:23" s="12" customFormat="1" ht="9.9" customHeight="1" x14ac:dyDescent="0.3">
      <c r="W131" s="14"/>
    </row>
    <row r="132" spans="23:23" s="12" customFormat="1" ht="9.9" customHeight="1" x14ac:dyDescent="0.3">
      <c r="W132" s="14"/>
    </row>
    <row r="133" spans="23:23" s="12" customFormat="1" ht="9.9" customHeight="1" x14ac:dyDescent="0.3">
      <c r="W133" s="14"/>
    </row>
    <row r="134" spans="23:23" s="12" customFormat="1" ht="9.9" customHeight="1" x14ac:dyDescent="0.3">
      <c r="W134" s="14"/>
    </row>
    <row r="135" spans="23:23" s="12" customFormat="1" ht="9.9" customHeight="1" x14ac:dyDescent="0.3">
      <c r="W135" s="14"/>
    </row>
    <row r="136" spans="23:23" s="12" customFormat="1" ht="9.9" customHeight="1" x14ac:dyDescent="0.3">
      <c r="W136" s="14"/>
    </row>
    <row r="137" spans="23:23" s="12" customFormat="1" ht="9.9" customHeight="1" x14ac:dyDescent="0.3">
      <c r="W137" s="14"/>
    </row>
    <row r="138" spans="23:23" s="12" customFormat="1" ht="9.9" customHeight="1" x14ac:dyDescent="0.3">
      <c r="W138" s="14"/>
    </row>
    <row r="139" spans="23:23" s="12" customFormat="1" ht="9.9" customHeight="1" x14ac:dyDescent="0.3">
      <c r="W139" s="14"/>
    </row>
    <row r="140" spans="23:23" s="12" customFormat="1" ht="9.9" customHeight="1" x14ac:dyDescent="0.3">
      <c r="W140" s="14"/>
    </row>
    <row r="141" spans="23:23" s="12" customFormat="1" ht="9.9" customHeight="1" x14ac:dyDescent="0.3">
      <c r="W141" s="14"/>
    </row>
    <row r="142" spans="23:23" s="12" customFormat="1" ht="9.9" customHeight="1" x14ac:dyDescent="0.3">
      <c r="W142" s="14"/>
    </row>
    <row r="143" spans="23:23" s="12" customFormat="1" ht="9.9" customHeight="1" x14ac:dyDescent="0.3">
      <c r="W143" s="14"/>
    </row>
    <row r="144" spans="23:23" s="12" customFormat="1" ht="9.9" customHeight="1" x14ac:dyDescent="0.3">
      <c r="W144" s="14"/>
    </row>
    <row r="145" spans="23:23" s="12" customFormat="1" ht="9.9" customHeight="1" x14ac:dyDescent="0.3">
      <c r="W145" s="14"/>
    </row>
    <row r="146" spans="23:23" s="12" customFormat="1" ht="9.9" customHeight="1" x14ac:dyDescent="0.3">
      <c r="W146" s="14"/>
    </row>
    <row r="147" spans="23:23" s="12" customFormat="1" ht="9.9" customHeight="1" x14ac:dyDescent="0.3">
      <c r="W147" s="14"/>
    </row>
    <row r="148" spans="23:23" s="12" customFormat="1" ht="9.9" customHeight="1" x14ac:dyDescent="0.3">
      <c r="W148" s="14"/>
    </row>
    <row r="149" spans="23:23" s="12" customFormat="1" ht="9.9" customHeight="1" x14ac:dyDescent="0.3">
      <c r="W149" s="14"/>
    </row>
    <row r="150" spans="23:23" s="12" customFormat="1" ht="9.9" customHeight="1" x14ac:dyDescent="0.3">
      <c r="W150" s="14"/>
    </row>
    <row r="151" spans="23:23" s="12" customFormat="1" ht="9.9" customHeight="1" x14ac:dyDescent="0.3">
      <c r="W151" s="14"/>
    </row>
    <row r="152" spans="23:23" s="12" customFormat="1" ht="11.7" customHeight="1" x14ac:dyDescent="0.3">
      <c r="W152" s="14"/>
    </row>
    <row r="153" spans="23:23" s="12" customFormat="1" ht="11.7" customHeight="1" x14ac:dyDescent="0.3">
      <c r="W153" s="14"/>
    </row>
    <row r="154" spans="23:23" s="12" customFormat="1" ht="11.7" customHeight="1" x14ac:dyDescent="0.3">
      <c r="W154" s="14"/>
    </row>
    <row r="155" spans="23:23" s="12" customFormat="1" ht="11.7" customHeight="1" x14ac:dyDescent="0.3">
      <c r="W155" s="14"/>
    </row>
    <row r="156" spans="23:23" s="12" customFormat="1" ht="11.7" customHeight="1" x14ac:dyDescent="0.3">
      <c r="W156" s="14"/>
    </row>
    <row r="157" spans="23:23" s="12" customFormat="1" ht="11.7" customHeight="1" x14ac:dyDescent="0.3">
      <c r="W157" s="14"/>
    </row>
    <row r="158" spans="23:23" s="12" customFormat="1" ht="11.7" customHeight="1" x14ac:dyDescent="0.3">
      <c r="W158" s="14"/>
    </row>
    <row r="159" spans="23:23" s="12" customFormat="1" ht="11.7" customHeight="1" x14ac:dyDescent="0.3">
      <c r="W159" s="14"/>
    </row>
    <row r="160" spans="23:23" s="12" customFormat="1" ht="11.7" customHeight="1" x14ac:dyDescent="0.3">
      <c r="W160" s="14"/>
    </row>
    <row r="161" spans="23:23" s="12" customFormat="1" ht="11.7" customHeight="1" x14ac:dyDescent="0.3">
      <c r="W161" s="14"/>
    </row>
    <row r="162" spans="23:23" s="12" customFormat="1" ht="11.7" customHeight="1" x14ac:dyDescent="0.3">
      <c r="W162" s="14"/>
    </row>
    <row r="163" spans="23:23" s="12" customFormat="1" ht="11.7" customHeight="1" x14ac:dyDescent="0.3">
      <c r="W163" s="14"/>
    </row>
    <row r="164" spans="23:23" s="12" customFormat="1" ht="11.7" customHeight="1" x14ac:dyDescent="0.3">
      <c r="W164" s="14"/>
    </row>
    <row r="165" spans="23:23" s="12" customFormat="1" ht="11.7" customHeight="1" x14ac:dyDescent="0.3">
      <c r="W165" s="14"/>
    </row>
    <row r="166" spans="23:23" s="12" customFormat="1" ht="11.7" customHeight="1" x14ac:dyDescent="0.3">
      <c r="W166" s="14"/>
    </row>
    <row r="167" spans="23:23" s="12" customFormat="1" ht="11.7" customHeight="1" x14ac:dyDescent="0.3">
      <c r="W167" s="14"/>
    </row>
    <row r="168" spans="23:23" s="12" customFormat="1" ht="11.7" customHeight="1" x14ac:dyDescent="0.3">
      <c r="W168" s="14"/>
    </row>
    <row r="169" spans="23:23" s="12" customFormat="1" ht="11.7" customHeight="1" x14ac:dyDescent="0.3">
      <c r="W169" s="14"/>
    </row>
    <row r="170" spans="23:23" s="12" customFormat="1" ht="11.7" customHeight="1" x14ac:dyDescent="0.3">
      <c r="W170" s="14"/>
    </row>
    <row r="171" spans="23:23" s="12" customFormat="1" ht="11.7" customHeight="1" x14ac:dyDescent="0.3">
      <c r="W171" s="14"/>
    </row>
    <row r="172" spans="23:23" s="12" customFormat="1" ht="11.7" customHeight="1" x14ac:dyDescent="0.3">
      <c r="W172" s="14"/>
    </row>
    <row r="173" spans="23:23" s="12" customFormat="1" ht="11.7" customHeight="1" x14ac:dyDescent="0.3">
      <c r="W173" s="14"/>
    </row>
    <row r="174" spans="23:23" s="12" customFormat="1" ht="11.7" customHeight="1" x14ac:dyDescent="0.3">
      <c r="W174" s="14"/>
    </row>
    <row r="175" spans="23:23" s="12" customFormat="1" ht="11.7" customHeight="1" x14ac:dyDescent="0.3">
      <c r="W175" s="14"/>
    </row>
    <row r="176" spans="23:23" s="12" customFormat="1" ht="11.7" customHeight="1" x14ac:dyDescent="0.3">
      <c r="W176" s="14"/>
    </row>
    <row r="177" spans="23:23" s="12" customFormat="1" ht="11.7" customHeight="1" x14ac:dyDescent="0.3">
      <c r="W177" s="14"/>
    </row>
    <row r="178" spans="23:23" s="12" customFormat="1" ht="11.7" customHeight="1" x14ac:dyDescent="0.3">
      <c r="W178" s="14"/>
    </row>
    <row r="179" spans="23:23" s="12" customFormat="1" ht="11.7" customHeight="1" x14ac:dyDescent="0.3">
      <c r="W179" s="14"/>
    </row>
    <row r="180" spans="23:23" s="12" customFormat="1" ht="11.7" customHeight="1" x14ac:dyDescent="0.3">
      <c r="W180" s="14"/>
    </row>
    <row r="181" spans="23:23" s="12" customFormat="1" ht="11.7" customHeight="1" x14ac:dyDescent="0.3">
      <c r="W181" s="14"/>
    </row>
    <row r="182" spans="23:23" s="12" customFormat="1" ht="11.7" customHeight="1" x14ac:dyDescent="0.3">
      <c r="W182" s="14"/>
    </row>
    <row r="183" spans="23:23" s="12" customFormat="1" ht="11.7" customHeight="1" x14ac:dyDescent="0.3">
      <c r="W183" s="14"/>
    </row>
    <row r="184" spans="23:23" s="12" customFormat="1" ht="11.7" customHeight="1" x14ac:dyDescent="0.3">
      <c r="W184" s="14"/>
    </row>
    <row r="185" spans="23:23" s="12" customFormat="1" ht="11.7" customHeight="1" x14ac:dyDescent="0.3">
      <c r="W185" s="14"/>
    </row>
    <row r="186" spans="23:23" s="12" customFormat="1" ht="11.7" customHeight="1" x14ac:dyDescent="0.3">
      <c r="W186" s="14"/>
    </row>
    <row r="187" spans="23:23" s="12" customFormat="1" ht="11.7" customHeight="1" x14ac:dyDescent="0.3">
      <c r="W187" s="14"/>
    </row>
    <row r="188" spans="23:23" s="12" customFormat="1" ht="11.7" customHeight="1" x14ac:dyDescent="0.3">
      <c r="W188" s="14"/>
    </row>
    <row r="189" spans="23:23" s="12" customFormat="1" ht="11.7" customHeight="1" x14ac:dyDescent="0.3">
      <c r="W189" s="14"/>
    </row>
    <row r="190" spans="23:23" s="12" customFormat="1" ht="11.7" customHeight="1" x14ac:dyDescent="0.3">
      <c r="W190" s="14"/>
    </row>
    <row r="191" spans="23:23" s="12" customFormat="1" ht="11.7" customHeight="1" x14ac:dyDescent="0.3">
      <c r="W191" s="14"/>
    </row>
    <row r="192" spans="23:23" s="12" customFormat="1" ht="11.7" customHeight="1" x14ac:dyDescent="0.3">
      <c r="W192" s="14"/>
    </row>
    <row r="193" spans="23:23" s="12" customFormat="1" ht="11.7" customHeight="1" x14ac:dyDescent="0.3">
      <c r="W193" s="14"/>
    </row>
    <row r="194" spans="23:23" s="12" customFormat="1" ht="11.7" customHeight="1" x14ac:dyDescent="0.3">
      <c r="W194" s="14"/>
    </row>
    <row r="195" spans="23:23" s="12" customFormat="1" ht="11.7" customHeight="1" x14ac:dyDescent="0.3">
      <c r="W195" s="14"/>
    </row>
    <row r="196" spans="23:23" s="12" customFormat="1" ht="11.7" customHeight="1" x14ac:dyDescent="0.3">
      <c r="W196" s="14"/>
    </row>
    <row r="197" spans="23:23" s="12" customFormat="1" ht="11.7" customHeight="1" x14ac:dyDescent="0.3">
      <c r="W197" s="14"/>
    </row>
    <row r="198" spans="23:23" s="12" customFormat="1" ht="11.7" customHeight="1" x14ac:dyDescent="0.3">
      <c r="W198" s="14"/>
    </row>
    <row r="199" spans="23:23" s="12" customFormat="1" ht="11.7" customHeight="1" x14ac:dyDescent="0.3">
      <c r="W199" s="14"/>
    </row>
    <row r="200" spans="23:23" s="12" customFormat="1" ht="11.7" customHeight="1" x14ac:dyDescent="0.3">
      <c r="W200" s="14"/>
    </row>
    <row r="201" spans="23:23" s="12" customFormat="1" ht="11.7" customHeight="1" x14ac:dyDescent="0.3">
      <c r="W201" s="14"/>
    </row>
    <row r="202" spans="23:23" s="12" customFormat="1" ht="11.7" customHeight="1" x14ac:dyDescent="0.3">
      <c r="W202" s="14"/>
    </row>
    <row r="203" spans="23:23" s="12" customFormat="1" ht="11.7" customHeight="1" x14ac:dyDescent="0.3">
      <c r="W203" s="14"/>
    </row>
    <row r="204" spans="23:23" s="12" customFormat="1" ht="11.7" customHeight="1" x14ac:dyDescent="0.3">
      <c r="W204" s="14"/>
    </row>
    <row r="205" spans="23:23" s="12" customFormat="1" ht="11.7" customHeight="1" x14ac:dyDescent="0.3">
      <c r="W205" s="14"/>
    </row>
    <row r="206" spans="23:23" s="12" customFormat="1" ht="11.7" customHeight="1" x14ac:dyDescent="0.3">
      <c r="W206" s="14"/>
    </row>
    <row r="207" spans="23:23" s="12" customFormat="1" ht="11.7" customHeight="1" x14ac:dyDescent="0.3">
      <c r="W207" s="14"/>
    </row>
    <row r="208" spans="23:23" s="12" customFormat="1" ht="11.7" customHeight="1" x14ac:dyDescent="0.3">
      <c r="W208" s="14"/>
    </row>
    <row r="209" spans="23:23" s="12" customFormat="1" ht="11.7" customHeight="1" x14ac:dyDescent="0.3">
      <c r="W209" s="14"/>
    </row>
    <row r="210" spans="23:23" s="12" customFormat="1" ht="11.7" customHeight="1" x14ac:dyDescent="0.3">
      <c r="W210" s="14"/>
    </row>
    <row r="211" spans="23:23" s="12" customFormat="1" ht="11.7" customHeight="1" x14ac:dyDescent="0.3">
      <c r="W211" s="14"/>
    </row>
    <row r="212" spans="23:23" s="12" customFormat="1" ht="11.7" customHeight="1" x14ac:dyDescent="0.3">
      <c r="W212" s="14"/>
    </row>
    <row r="213" spans="23:23" s="12" customFormat="1" ht="11.7" customHeight="1" x14ac:dyDescent="0.3">
      <c r="W213" s="14"/>
    </row>
    <row r="214" spans="23:23" s="12" customFormat="1" ht="11.7" customHeight="1" x14ac:dyDescent="0.3">
      <c r="W214" s="14"/>
    </row>
    <row r="215" spans="23:23" s="12" customFormat="1" ht="11.7" customHeight="1" x14ac:dyDescent="0.3">
      <c r="W215" s="14"/>
    </row>
    <row r="216" spans="23:23" s="12" customFormat="1" ht="11.7" customHeight="1" x14ac:dyDescent="0.3">
      <c r="W216" s="14"/>
    </row>
    <row r="217" spans="23:23" s="12" customFormat="1" ht="11.7" customHeight="1" x14ac:dyDescent="0.3">
      <c r="W217" s="14"/>
    </row>
    <row r="218" spans="23:23" s="12" customFormat="1" ht="11.7" customHeight="1" x14ac:dyDescent="0.3">
      <c r="W218" s="14"/>
    </row>
    <row r="219" spans="23:23" s="12" customFormat="1" ht="11.7" customHeight="1" x14ac:dyDescent="0.3">
      <c r="W219" s="14"/>
    </row>
    <row r="220" spans="23:23" s="12" customFormat="1" ht="11.7" customHeight="1" x14ac:dyDescent="0.3">
      <c r="W220" s="14"/>
    </row>
    <row r="221" spans="23:23" s="12" customFormat="1" ht="11.7" customHeight="1" x14ac:dyDescent="0.3">
      <c r="W221" s="14"/>
    </row>
    <row r="222" spans="23:23" s="12" customFormat="1" ht="11.7" customHeight="1" x14ac:dyDescent="0.3">
      <c r="W222" s="14"/>
    </row>
    <row r="223" spans="23:23" s="12" customFormat="1" ht="11.7" customHeight="1" x14ac:dyDescent="0.3">
      <c r="W223" s="14"/>
    </row>
    <row r="224" spans="23:23" s="12" customFormat="1" ht="11.7" customHeight="1" x14ac:dyDescent="0.3">
      <c r="W224" s="14"/>
    </row>
    <row r="225" spans="23:23" s="12" customFormat="1" ht="11.7" customHeight="1" x14ac:dyDescent="0.3">
      <c r="W225" s="14"/>
    </row>
    <row r="226" spans="23:23" s="12" customFormat="1" ht="11.7" customHeight="1" x14ac:dyDescent="0.3">
      <c r="W226" s="14"/>
    </row>
    <row r="227" spans="23:23" s="12" customFormat="1" ht="11.7" customHeight="1" x14ac:dyDescent="0.3">
      <c r="W227" s="14"/>
    </row>
    <row r="228" spans="23:23" s="12" customFormat="1" ht="11.7" customHeight="1" x14ac:dyDescent="0.3">
      <c r="W228" s="14"/>
    </row>
    <row r="229" spans="23:23" s="12" customFormat="1" ht="11.7" customHeight="1" x14ac:dyDescent="0.3">
      <c r="W229" s="14"/>
    </row>
    <row r="230" spans="23:23" s="12" customFormat="1" ht="11.7" customHeight="1" x14ac:dyDescent="0.3">
      <c r="W230" s="14"/>
    </row>
    <row r="231" spans="23:23" s="12" customFormat="1" ht="11.7" customHeight="1" x14ac:dyDescent="0.3">
      <c r="W231" s="14"/>
    </row>
    <row r="232" spans="23:23" s="12" customFormat="1" ht="11.7" customHeight="1" x14ac:dyDescent="0.3">
      <c r="W232" s="14"/>
    </row>
    <row r="233" spans="23:23" s="12" customFormat="1" ht="11.7" customHeight="1" x14ac:dyDescent="0.3">
      <c r="W233" s="14"/>
    </row>
    <row r="234" spans="23:23" s="12" customFormat="1" ht="11.7" customHeight="1" x14ac:dyDescent="0.3">
      <c r="W234" s="14"/>
    </row>
    <row r="235" spans="23:23" s="12" customFormat="1" ht="11.7" customHeight="1" x14ac:dyDescent="0.3">
      <c r="W235" s="14"/>
    </row>
    <row r="236" spans="23:23" s="12" customFormat="1" ht="11.7" customHeight="1" x14ac:dyDescent="0.3">
      <c r="W236" s="14"/>
    </row>
    <row r="237" spans="23:23" s="12" customFormat="1" ht="11.7" customHeight="1" x14ac:dyDescent="0.3">
      <c r="W237" s="14"/>
    </row>
    <row r="238" spans="23:23" s="12" customFormat="1" ht="11.7" customHeight="1" x14ac:dyDescent="0.3">
      <c r="W238" s="14"/>
    </row>
    <row r="239" spans="23:23" s="12" customFormat="1" ht="11.7" customHeight="1" x14ac:dyDescent="0.3">
      <c r="W239" s="14"/>
    </row>
    <row r="240" spans="23:23" s="12" customFormat="1" ht="11.7" customHeight="1" x14ac:dyDescent="0.3">
      <c r="W240" s="14"/>
    </row>
    <row r="241" spans="23:23" s="12" customFormat="1" ht="11.7" customHeight="1" x14ac:dyDescent="0.3">
      <c r="W241" s="14"/>
    </row>
    <row r="242" spans="23:23" s="12" customFormat="1" ht="11.7" customHeight="1" x14ac:dyDescent="0.3">
      <c r="W242" s="14"/>
    </row>
    <row r="243" spans="23:23" s="12" customFormat="1" ht="11.7" customHeight="1" x14ac:dyDescent="0.3">
      <c r="W243" s="14"/>
    </row>
    <row r="244" spans="23:23" s="12" customFormat="1" ht="11.7" customHeight="1" x14ac:dyDescent="0.3">
      <c r="W244" s="14"/>
    </row>
    <row r="245" spans="23:23" s="12" customFormat="1" ht="11.7" customHeight="1" x14ac:dyDescent="0.3">
      <c r="W245" s="14"/>
    </row>
    <row r="246" spans="23:23" s="12" customFormat="1" ht="11.7" customHeight="1" x14ac:dyDescent="0.3">
      <c r="W246" s="14"/>
    </row>
    <row r="247" spans="23:23" s="12" customFormat="1" ht="11.7" customHeight="1" x14ac:dyDescent="0.3">
      <c r="W247" s="14"/>
    </row>
    <row r="248" spans="23:23" s="12" customFormat="1" ht="11.7" customHeight="1" x14ac:dyDescent="0.3">
      <c r="W248" s="14"/>
    </row>
    <row r="249" spans="23:23" s="12" customFormat="1" ht="11.7" customHeight="1" x14ac:dyDescent="0.3">
      <c r="W249" s="14"/>
    </row>
    <row r="250" spans="23:23" s="12" customFormat="1" ht="11.7" customHeight="1" x14ac:dyDescent="0.3">
      <c r="W250" s="14"/>
    </row>
    <row r="251" spans="23:23" s="12" customFormat="1" ht="11.7" customHeight="1" x14ac:dyDescent="0.3">
      <c r="W251" s="14"/>
    </row>
    <row r="252" spans="23:23" s="12" customFormat="1" ht="11.7" customHeight="1" x14ac:dyDescent="0.3">
      <c r="W252" s="14"/>
    </row>
    <row r="253" spans="23:23" s="12" customFormat="1" ht="11.7" customHeight="1" x14ac:dyDescent="0.3">
      <c r="W253" s="14"/>
    </row>
    <row r="254" spans="23:23" s="12" customFormat="1" ht="11.7" customHeight="1" x14ac:dyDescent="0.3">
      <c r="W254" s="14"/>
    </row>
    <row r="255" spans="23:23" s="12" customFormat="1" ht="11.7" customHeight="1" x14ac:dyDescent="0.3">
      <c r="W255" s="14"/>
    </row>
    <row r="256" spans="23:23" s="12" customFormat="1" ht="11.7" customHeight="1" x14ac:dyDescent="0.3">
      <c r="W256" s="14"/>
    </row>
    <row r="257" spans="23:23" s="12" customFormat="1" ht="11.7" customHeight="1" x14ac:dyDescent="0.3">
      <c r="W257" s="14"/>
    </row>
    <row r="258" spans="23:23" s="12" customFormat="1" ht="11.7" customHeight="1" x14ac:dyDescent="0.3">
      <c r="W258" s="14"/>
    </row>
    <row r="259" spans="23:23" s="12" customFormat="1" ht="11.7" customHeight="1" x14ac:dyDescent="0.3">
      <c r="W259" s="14"/>
    </row>
    <row r="260" spans="23:23" s="12" customFormat="1" ht="11.7" customHeight="1" x14ac:dyDescent="0.3">
      <c r="W260" s="14"/>
    </row>
    <row r="261" spans="23:23" s="12" customFormat="1" ht="11.7" customHeight="1" x14ac:dyDescent="0.3">
      <c r="W261" s="14"/>
    </row>
    <row r="262" spans="23:23" s="12" customFormat="1" ht="11.7" customHeight="1" x14ac:dyDescent="0.3">
      <c r="W262" s="14"/>
    </row>
    <row r="263" spans="23:23" s="12" customFormat="1" ht="11.7" customHeight="1" x14ac:dyDescent="0.3">
      <c r="W263" s="14"/>
    </row>
    <row r="264" spans="23:23" s="12" customFormat="1" ht="11.7" customHeight="1" x14ac:dyDescent="0.3">
      <c r="W264" s="14"/>
    </row>
    <row r="265" spans="23:23" s="12" customFormat="1" ht="11.7" customHeight="1" x14ac:dyDescent="0.3">
      <c r="W265" s="14"/>
    </row>
    <row r="266" spans="23:23" s="12" customFormat="1" ht="11.7" customHeight="1" x14ac:dyDescent="0.3">
      <c r="W266" s="14"/>
    </row>
    <row r="267" spans="23:23" s="12" customFormat="1" ht="11.7" customHeight="1" x14ac:dyDescent="0.3">
      <c r="W267" s="14"/>
    </row>
    <row r="268" spans="23:23" s="12" customFormat="1" ht="11.7" customHeight="1" x14ac:dyDescent="0.3">
      <c r="W268" s="14"/>
    </row>
    <row r="269" spans="23:23" s="12" customFormat="1" ht="11.7" customHeight="1" x14ac:dyDescent="0.3">
      <c r="W269" s="14"/>
    </row>
    <row r="270" spans="23:23" s="12" customFormat="1" ht="11.7" customHeight="1" x14ac:dyDescent="0.3">
      <c r="W270" s="14"/>
    </row>
    <row r="271" spans="23:23" s="12" customFormat="1" ht="11.7" customHeight="1" x14ac:dyDescent="0.3">
      <c r="W271" s="14"/>
    </row>
    <row r="272" spans="23:23" s="12" customFormat="1" ht="11.7" customHeight="1" x14ac:dyDescent="0.3">
      <c r="W272" s="14"/>
    </row>
    <row r="273" spans="23:23" s="12" customFormat="1" ht="11.7" customHeight="1" x14ac:dyDescent="0.3">
      <c r="W273" s="14"/>
    </row>
    <row r="274" spans="23:23" s="12" customFormat="1" ht="11.7" customHeight="1" x14ac:dyDescent="0.3">
      <c r="W274" s="14"/>
    </row>
    <row r="275" spans="23:23" s="12" customFormat="1" ht="11.7" customHeight="1" x14ac:dyDescent="0.3">
      <c r="W275" s="14"/>
    </row>
    <row r="276" spans="23:23" s="12" customFormat="1" ht="11.7" customHeight="1" x14ac:dyDescent="0.3">
      <c r="W276" s="14"/>
    </row>
    <row r="277" spans="23:23" s="12" customFormat="1" ht="11.7" customHeight="1" x14ac:dyDescent="0.3">
      <c r="W277" s="14"/>
    </row>
    <row r="278" spans="23:23" s="12" customFormat="1" ht="11.7" customHeight="1" x14ac:dyDescent="0.3">
      <c r="W278" s="14"/>
    </row>
    <row r="279" spans="23:23" s="12" customFormat="1" ht="11.7" customHeight="1" x14ac:dyDescent="0.3">
      <c r="W279" s="14"/>
    </row>
    <row r="280" spans="23:23" s="12" customFormat="1" ht="11.7" customHeight="1" x14ac:dyDescent="0.3">
      <c r="W280" s="14"/>
    </row>
    <row r="281" spans="23:23" s="12" customFormat="1" ht="11.7" customHeight="1" x14ac:dyDescent="0.3">
      <c r="W281" s="14"/>
    </row>
    <row r="282" spans="23:23" s="12" customFormat="1" ht="11.7" customHeight="1" x14ac:dyDescent="0.3">
      <c r="W282" s="14"/>
    </row>
    <row r="283" spans="23:23" s="12" customFormat="1" ht="11.7" customHeight="1" x14ac:dyDescent="0.3">
      <c r="W283" s="14"/>
    </row>
    <row r="284" spans="23:23" s="12" customFormat="1" ht="11.7" customHeight="1" x14ac:dyDescent="0.3">
      <c r="W284" s="14"/>
    </row>
    <row r="285" spans="23:23" s="12" customFormat="1" ht="11.7" customHeight="1" x14ac:dyDescent="0.3">
      <c r="W285" s="14"/>
    </row>
    <row r="286" spans="23:23" s="12" customFormat="1" ht="11.7" customHeight="1" x14ac:dyDescent="0.3">
      <c r="W286" s="14"/>
    </row>
    <row r="287" spans="23:23" s="12" customFormat="1" ht="11.7" customHeight="1" x14ac:dyDescent="0.3">
      <c r="W287" s="14"/>
    </row>
    <row r="288" spans="23:23" s="12" customFormat="1" ht="11.7" customHeight="1" x14ac:dyDescent="0.3">
      <c r="W288" s="14"/>
    </row>
    <row r="289" spans="23:23" s="12" customFormat="1" ht="11.7" customHeight="1" x14ac:dyDescent="0.3">
      <c r="W289" s="14"/>
    </row>
    <row r="290" spans="23:23" s="12" customFormat="1" ht="11.7" customHeight="1" x14ac:dyDescent="0.3">
      <c r="W290" s="14"/>
    </row>
    <row r="291" spans="23:23" s="12" customFormat="1" ht="11.7" customHeight="1" x14ac:dyDescent="0.3">
      <c r="W291" s="14"/>
    </row>
    <row r="292" spans="23:23" s="12" customFormat="1" ht="11.7" customHeight="1" x14ac:dyDescent="0.3">
      <c r="W292" s="14"/>
    </row>
    <row r="293" spans="23:23" s="12" customFormat="1" ht="11.7" customHeight="1" x14ac:dyDescent="0.3">
      <c r="W293" s="14"/>
    </row>
    <row r="294" spans="23:23" s="12" customFormat="1" ht="11.7" customHeight="1" x14ac:dyDescent="0.3">
      <c r="W294" s="14"/>
    </row>
    <row r="295" spans="23:23" s="12" customFormat="1" ht="11.7" customHeight="1" x14ac:dyDescent="0.3">
      <c r="W295" s="14"/>
    </row>
    <row r="296" spans="23:23" s="12" customFormat="1" ht="11.7" customHeight="1" x14ac:dyDescent="0.3">
      <c r="W296" s="14"/>
    </row>
    <row r="297" spans="23:23" s="12" customFormat="1" ht="11.7" customHeight="1" x14ac:dyDescent="0.3">
      <c r="W297" s="14"/>
    </row>
    <row r="298" spans="23:23" s="12" customFormat="1" ht="11.7" customHeight="1" x14ac:dyDescent="0.3">
      <c r="W298" s="14"/>
    </row>
    <row r="299" spans="23:23" s="12" customFormat="1" ht="11.7" customHeight="1" x14ac:dyDescent="0.3">
      <c r="W299" s="14"/>
    </row>
    <row r="300" spans="23:23" s="12" customFormat="1" ht="11.7" customHeight="1" x14ac:dyDescent="0.3">
      <c r="W300" s="14"/>
    </row>
    <row r="301" spans="23:23" s="12" customFormat="1" ht="11.7" customHeight="1" x14ac:dyDescent="0.3">
      <c r="W301" s="14"/>
    </row>
    <row r="302" spans="23:23" s="12" customFormat="1" ht="11.7" customHeight="1" x14ac:dyDescent="0.3">
      <c r="W302" s="14"/>
    </row>
    <row r="303" spans="23:23" s="12" customFormat="1" ht="11.7" customHeight="1" x14ac:dyDescent="0.3">
      <c r="W303" s="14"/>
    </row>
    <row r="304" spans="23:23" s="12" customFormat="1" ht="11.7" customHeight="1" x14ac:dyDescent="0.3">
      <c r="W304" s="14"/>
    </row>
    <row r="305" spans="23:23" s="12" customFormat="1" ht="11.7" customHeight="1" x14ac:dyDescent="0.3">
      <c r="W305" s="14"/>
    </row>
    <row r="306" spans="23:23" s="12" customFormat="1" ht="11.7" customHeight="1" x14ac:dyDescent="0.3">
      <c r="W306" s="14"/>
    </row>
    <row r="307" spans="23:23" s="12" customFormat="1" ht="11.7" customHeight="1" x14ac:dyDescent="0.3">
      <c r="W307" s="14"/>
    </row>
    <row r="308" spans="23:23" s="12" customFormat="1" ht="11.7" customHeight="1" x14ac:dyDescent="0.3">
      <c r="W308" s="14"/>
    </row>
    <row r="309" spans="23:23" s="12" customFormat="1" ht="11.7" customHeight="1" x14ac:dyDescent="0.3">
      <c r="W309" s="14"/>
    </row>
    <row r="310" spans="23:23" s="12" customFormat="1" ht="11.7" customHeight="1" x14ac:dyDescent="0.3">
      <c r="W310" s="14"/>
    </row>
    <row r="311" spans="23:23" s="12" customFormat="1" ht="11.7" customHeight="1" x14ac:dyDescent="0.3">
      <c r="W311" s="14"/>
    </row>
    <row r="312" spans="23:23" s="12" customFormat="1" ht="11.7" customHeight="1" x14ac:dyDescent="0.3">
      <c r="W312" s="14"/>
    </row>
    <row r="313" spans="23:23" s="12" customFormat="1" ht="11.7" customHeight="1" x14ac:dyDescent="0.3">
      <c r="W313" s="14"/>
    </row>
    <row r="314" spans="23:23" s="12" customFormat="1" ht="11.7" customHeight="1" x14ac:dyDescent="0.3">
      <c r="W314" s="14"/>
    </row>
    <row r="315" spans="23:23" s="12" customFormat="1" ht="11.7" customHeight="1" x14ac:dyDescent="0.3">
      <c r="W315" s="14"/>
    </row>
    <row r="316" spans="23:23" s="12" customFormat="1" ht="11.7" customHeight="1" x14ac:dyDescent="0.3">
      <c r="W316" s="14"/>
    </row>
    <row r="317" spans="23:23" s="12" customFormat="1" ht="11.7" customHeight="1" x14ac:dyDescent="0.3">
      <c r="W317" s="14"/>
    </row>
    <row r="318" spans="23:23" s="12" customFormat="1" ht="11.7" customHeight="1" x14ac:dyDescent="0.3">
      <c r="W318" s="14"/>
    </row>
    <row r="319" spans="23:23" s="12" customFormat="1" ht="11.7" customHeight="1" x14ac:dyDescent="0.3">
      <c r="W319" s="14"/>
    </row>
    <row r="320" spans="23:23" s="12" customFormat="1" ht="11.7" customHeight="1" x14ac:dyDescent="0.3">
      <c r="W320" s="14"/>
    </row>
    <row r="321" spans="23:23" s="12" customFormat="1" ht="11.7" customHeight="1" x14ac:dyDescent="0.3">
      <c r="W321" s="14"/>
    </row>
    <row r="322" spans="23:23" s="12" customFormat="1" ht="11.7" customHeight="1" x14ac:dyDescent="0.3">
      <c r="W322" s="14"/>
    </row>
    <row r="323" spans="23:23" s="12" customFormat="1" ht="11.7" customHeight="1" x14ac:dyDescent="0.3">
      <c r="W323" s="14"/>
    </row>
    <row r="324" spans="23:23" s="12" customFormat="1" ht="11.7" customHeight="1" x14ac:dyDescent="0.3">
      <c r="W324" s="14"/>
    </row>
    <row r="325" spans="23:23" s="12" customFormat="1" ht="11.7" customHeight="1" x14ac:dyDescent="0.3">
      <c r="W325" s="14"/>
    </row>
    <row r="326" spans="23:23" s="12" customFormat="1" ht="11.7" customHeight="1" x14ac:dyDescent="0.3">
      <c r="W326" s="14"/>
    </row>
    <row r="327" spans="23:23" s="12" customFormat="1" ht="11.7" customHeight="1" x14ac:dyDescent="0.3">
      <c r="W327" s="14"/>
    </row>
    <row r="328" spans="23:23" s="12" customFormat="1" ht="11.7" customHeight="1" x14ac:dyDescent="0.3">
      <c r="W328" s="14"/>
    </row>
    <row r="329" spans="23:23" s="12" customFormat="1" ht="11.7" customHeight="1" x14ac:dyDescent="0.3">
      <c r="W329" s="14"/>
    </row>
    <row r="330" spans="23:23" s="12" customFormat="1" ht="11.7" customHeight="1" x14ac:dyDescent="0.3">
      <c r="W330" s="14"/>
    </row>
    <row r="331" spans="23:23" s="12" customFormat="1" ht="11.7" customHeight="1" x14ac:dyDescent="0.3">
      <c r="W331" s="14"/>
    </row>
    <row r="332" spans="23:23" s="12" customFormat="1" ht="11.7" customHeight="1" x14ac:dyDescent="0.3">
      <c r="W332" s="14"/>
    </row>
    <row r="333" spans="23:23" s="12" customFormat="1" ht="11.7" customHeight="1" x14ac:dyDescent="0.3">
      <c r="W333" s="14"/>
    </row>
    <row r="334" spans="23:23" s="12" customFormat="1" ht="11.7" customHeight="1" x14ac:dyDescent="0.3">
      <c r="W334" s="14"/>
    </row>
    <row r="335" spans="23:23" s="12" customFormat="1" ht="11.7" customHeight="1" x14ac:dyDescent="0.3">
      <c r="W335" s="14"/>
    </row>
    <row r="336" spans="23:23" s="12" customFormat="1" ht="11.7" customHeight="1" x14ac:dyDescent="0.3">
      <c r="W336" s="14"/>
    </row>
    <row r="337" spans="23:23" s="12" customFormat="1" ht="11.7" customHeight="1" x14ac:dyDescent="0.3">
      <c r="W337" s="14"/>
    </row>
    <row r="338" spans="23:23" s="12" customFormat="1" ht="11.7" customHeight="1" x14ac:dyDescent="0.3">
      <c r="W338" s="14"/>
    </row>
    <row r="339" spans="23:23" s="12" customFormat="1" ht="11.7" customHeight="1" x14ac:dyDescent="0.3">
      <c r="W339" s="14"/>
    </row>
    <row r="340" spans="23:23" s="12" customFormat="1" ht="11.7" customHeight="1" x14ac:dyDescent="0.3">
      <c r="W340" s="14"/>
    </row>
    <row r="341" spans="23:23" s="12" customFormat="1" ht="11.7" customHeight="1" x14ac:dyDescent="0.3">
      <c r="W341" s="14"/>
    </row>
    <row r="342" spans="23:23" s="12" customFormat="1" ht="11.7" customHeight="1" x14ac:dyDescent="0.3">
      <c r="W342" s="14"/>
    </row>
    <row r="343" spans="23:23" s="12" customFormat="1" ht="11.7" customHeight="1" x14ac:dyDescent="0.3">
      <c r="W343" s="14"/>
    </row>
    <row r="344" spans="23:23" s="12" customFormat="1" ht="11.7" customHeight="1" x14ac:dyDescent="0.3">
      <c r="W344" s="14"/>
    </row>
    <row r="345" spans="23:23" s="12" customFormat="1" ht="11.7" customHeight="1" x14ac:dyDescent="0.3">
      <c r="W345" s="14"/>
    </row>
    <row r="346" spans="23:23" s="12" customFormat="1" ht="11.7" customHeight="1" x14ac:dyDescent="0.3">
      <c r="W346" s="14"/>
    </row>
    <row r="347" spans="23:23" s="12" customFormat="1" ht="11.7" customHeight="1" x14ac:dyDescent="0.3">
      <c r="W347" s="14"/>
    </row>
    <row r="348" spans="23:23" s="12" customFormat="1" ht="11.7" customHeight="1" x14ac:dyDescent="0.3">
      <c r="W348" s="14"/>
    </row>
    <row r="349" spans="23:23" s="12" customFormat="1" ht="11.7" customHeight="1" x14ac:dyDescent="0.3">
      <c r="W349" s="14"/>
    </row>
    <row r="350" spans="23:23" s="12" customFormat="1" ht="11.7" customHeight="1" x14ac:dyDescent="0.3">
      <c r="W350" s="14"/>
    </row>
    <row r="351" spans="23:23" s="12" customFormat="1" ht="11.7" customHeight="1" x14ac:dyDescent="0.3">
      <c r="W351" s="14"/>
    </row>
    <row r="352" spans="23:23" s="12" customFormat="1" ht="11.7" customHeight="1" x14ac:dyDescent="0.3">
      <c r="W352" s="14"/>
    </row>
    <row r="353" spans="23:23" s="12" customFormat="1" ht="11.7" customHeight="1" x14ac:dyDescent="0.3">
      <c r="W353" s="14"/>
    </row>
    <row r="354" spans="23:23" s="12" customFormat="1" ht="11.7" customHeight="1" x14ac:dyDescent="0.3">
      <c r="W354" s="14"/>
    </row>
    <row r="355" spans="23:23" s="12" customFormat="1" ht="11.7" customHeight="1" x14ac:dyDescent="0.3">
      <c r="W355" s="14"/>
    </row>
    <row r="356" spans="23:23" s="12" customFormat="1" ht="11.7" customHeight="1" x14ac:dyDescent="0.3">
      <c r="W356" s="14"/>
    </row>
    <row r="357" spans="23:23" s="12" customFormat="1" ht="11.7" customHeight="1" x14ac:dyDescent="0.3">
      <c r="W357" s="14"/>
    </row>
    <row r="358" spans="23:23" s="12" customFormat="1" ht="11.7" customHeight="1" x14ac:dyDescent="0.3">
      <c r="W358" s="14"/>
    </row>
    <row r="359" spans="23:23" s="12" customFormat="1" ht="11.7" customHeight="1" x14ac:dyDescent="0.3">
      <c r="W359" s="14"/>
    </row>
    <row r="360" spans="23:23" s="12" customFormat="1" ht="11.7" customHeight="1" x14ac:dyDescent="0.3">
      <c r="W360" s="14"/>
    </row>
    <row r="361" spans="23:23" s="12" customFormat="1" ht="11.7" customHeight="1" x14ac:dyDescent="0.3">
      <c r="W361" s="14"/>
    </row>
    <row r="362" spans="23:23" s="12" customFormat="1" ht="11.7" customHeight="1" x14ac:dyDescent="0.3">
      <c r="W362" s="14"/>
    </row>
    <row r="363" spans="23:23" s="12" customFormat="1" ht="11.7" customHeight="1" x14ac:dyDescent="0.3">
      <c r="W363" s="14"/>
    </row>
    <row r="364" spans="23:23" s="12" customFormat="1" ht="11.7" customHeight="1" x14ac:dyDescent="0.3">
      <c r="W364" s="14"/>
    </row>
    <row r="365" spans="23:23" s="12" customFormat="1" ht="11.7" customHeight="1" x14ac:dyDescent="0.3">
      <c r="W365" s="14"/>
    </row>
    <row r="366" spans="23:23" s="12" customFormat="1" ht="11.7" customHeight="1" x14ac:dyDescent="0.3">
      <c r="W366" s="14"/>
    </row>
    <row r="367" spans="23:23" s="12" customFormat="1" ht="11.7" customHeight="1" x14ac:dyDescent="0.3">
      <c r="W367" s="14"/>
    </row>
    <row r="368" spans="23:23" s="12" customFormat="1" ht="11.7" customHeight="1" x14ac:dyDescent="0.3">
      <c r="W368" s="14"/>
    </row>
    <row r="369" spans="23:23" s="12" customFormat="1" ht="11.7" customHeight="1" x14ac:dyDescent="0.3">
      <c r="W369" s="14"/>
    </row>
    <row r="370" spans="23:23" s="12" customFormat="1" ht="11.7" customHeight="1" x14ac:dyDescent="0.3">
      <c r="W370" s="14"/>
    </row>
    <row r="371" spans="23:23" s="12" customFormat="1" ht="11.7" customHeight="1" x14ac:dyDescent="0.3">
      <c r="W371" s="14"/>
    </row>
    <row r="372" spans="23:23" s="12" customFormat="1" ht="11.7" customHeight="1" x14ac:dyDescent="0.3">
      <c r="W372" s="14"/>
    </row>
    <row r="373" spans="23:23" s="12" customFormat="1" ht="11.7" customHeight="1" x14ac:dyDescent="0.3">
      <c r="W373" s="14"/>
    </row>
    <row r="374" spans="23:23" s="12" customFormat="1" ht="11.7" customHeight="1" x14ac:dyDescent="0.3">
      <c r="W374" s="14"/>
    </row>
    <row r="375" spans="23:23" s="12" customFormat="1" ht="11.7" customHeight="1" x14ac:dyDescent="0.3">
      <c r="W375" s="14"/>
    </row>
    <row r="376" spans="23:23" s="12" customFormat="1" ht="11.7" customHeight="1" x14ac:dyDescent="0.3">
      <c r="W376" s="14"/>
    </row>
    <row r="377" spans="23:23" s="12" customFormat="1" ht="11.7" customHeight="1" x14ac:dyDescent="0.3">
      <c r="W377" s="14"/>
    </row>
    <row r="378" spans="23:23" s="12" customFormat="1" ht="11.7" customHeight="1" x14ac:dyDescent="0.3">
      <c r="W378" s="14"/>
    </row>
    <row r="379" spans="23:23" s="12" customFormat="1" ht="11.7" customHeight="1" x14ac:dyDescent="0.3">
      <c r="W379" s="14"/>
    </row>
    <row r="380" spans="23:23" s="12" customFormat="1" ht="11.7" customHeight="1" x14ac:dyDescent="0.3">
      <c r="W380" s="14"/>
    </row>
    <row r="381" spans="23:23" s="12" customFormat="1" ht="11.7" customHeight="1" x14ac:dyDescent="0.3">
      <c r="W381" s="14"/>
    </row>
    <row r="382" spans="23:23" s="12" customFormat="1" ht="11.7" customHeight="1" x14ac:dyDescent="0.3">
      <c r="W382" s="14"/>
    </row>
    <row r="383" spans="23:23" s="12" customFormat="1" ht="11.7" customHeight="1" x14ac:dyDescent="0.3">
      <c r="W383" s="14"/>
    </row>
    <row r="384" spans="23:23" s="12" customFormat="1" ht="11.7" customHeight="1" x14ac:dyDescent="0.3">
      <c r="W384" s="14"/>
    </row>
    <row r="385" spans="23:23" s="12" customFormat="1" ht="11.7" customHeight="1" x14ac:dyDescent="0.3">
      <c r="W385" s="14"/>
    </row>
    <row r="386" spans="23:23" s="12" customFormat="1" ht="11.7" customHeight="1" x14ac:dyDescent="0.3">
      <c r="W386" s="14"/>
    </row>
    <row r="387" spans="23:23" s="12" customFormat="1" ht="11.7" customHeight="1" x14ac:dyDescent="0.3">
      <c r="W387" s="14"/>
    </row>
    <row r="388" spans="23:23" s="12" customFormat="1" ht="11.7" customHeight="1" x14ac:dyDescent="0.3">
      <c r="W388" s="14"/>
    </row>
    <row r="389" spans="23:23" s="12" customFormat="1" ht="11.7" customHeight="1" x14ac:dyDescent="0.3">
      <c r="W389" s="14"/>
    </row>
    <row r="390" spans="23:23" s="12" customFormat="1" ht="11.7" customHeight="1" x14ac:dyDescent="0.3">
      <c r="W390" s="14"/>
    </row>
    <row r="391" spans="23:23" s="12" customFormat="1" ht="11.7" customHeight="1" x14ac:dyDescent="0.3">
      <c r="W391" s="14"/>
    </row>
    <row r="392" spans="23:23" s="12" customFormat="1" ht="11.7" customHeight="1" x14ac:dyDescent="0.3">
      <c r="W392" s="14"/>
    </row>
    <row r="393" spans="23:23" s="12" customFormat="1" ht="11.7" customHeight="1" x14ac:dyDescent="0.3">
      <c r="W393" s="14"/>
    </row>
    <row r="394" spans="23:23" s="12" customFormat="1" ht="11.7" customHeight="1" x14ac:dyDescent="0.3">
      <c r="W394" s="14"/>
    </row>
    <row r="395" spans="23:23" s="12" customFormat="1" ht="11.7" customHeight="1" x14ac:dyDescent="0.3">
      <c r="W395" s="14"/>
    </row>
    <row r="396" spans="23:23" s="12" customFormat="1" ht="11.7" customHeight="1" x14ac:dyDescent="0.3">
      <c r="W396" s="14"/>
    </row>
    <row r="397" spans="23:23" s="12" customFormat="1" ht="11.7" customHeight="1" x14ac:dyDescent="0.3">
      <c r="W397" s="14"/>
    </row>
    <row r="398" spans="23:23" s="12" customFormat="1" ht="11.7" customHeight="1" x14ac:dyDescent="0.3">
      <c r="W398" s="14"/>
    </row>
    <row r="399" spans="23:23" s="12" customFormat="1" ht="11.7" customHeight="1" x14ac:dyDescent="0.3">
      <c r="W399" s="14"/>
    </row>
    <row r="400" spans="23:23" s="12" customFormat="1" ht="11.7" customHeight="1" x14ac:dyDescent="0.3">
      <c r="W400" s="14"/>
    </row>
    <row r="401" spans="23:23" s="12" customFormat="1" ht="11.7" customHeight="1" x14ac:dyDescent="0.3">
      <c r="W401" s="14"/>
    </row>
    <row r="402" spans="23:23" s="12" customFormat="1" ht="11.7" customHeight="1" x14ac:dyDescent="0.3">
      <c r="W402" s="14"/>
    </row>
    <row r="403" spans="23:23" s="12" customFormat="1" ht="11.7" customHeight="1" x14ac:dyDescent="0.3">
      <c r="W403" s="14"/>
    </row>
    <row r="404" spans="23:23" s="12" customFormat="1" ht="11.7" customHeight="1" x14ac:dyDescent="0.3">
      <c r="W404" s="14"/>
    </row>
    <row r="405" spans="23:23" s="12" customFormat="1" ht="11.7" customHeight="1" x14ac:dyDescent="0.3">
      <c r="W405" s="14"/>
    </row>
    <row r="406" spans="23:23" s="12" customFormat="1" ht="11.7" customHeight="1" x14ac:dyDescent="0.3">
      <c r="W406" s="14"/>
    </row>
    <row r="407" spans="23:23" s="12" customFormat="1" ht="11.7" customHeight="1" x14ac:dyDescent="0.3">
      <c r="W407" s="14"/>
    </row>
    <row r="408" spans="23:23" s="12" customFormat="1" ht="11.7" customHeight="1" x14ac:dyDescent="0.3">
      <c r="W408" s="14"/>
    </row>
    <row r="409" spans="23:23" s="12" customFormat="1" ht="11.7" customHeight="1" x14ac:dyDescent="0.3">
      <c r="W409" s="14"/>
    </row>
    <row r="410" spans="23:23" s="12" customFormat="1" ht="11.7" customHeight="1" x14ac:dyDescent="0.3">
      <c r="W410" s="14"/>
    </row>
    <row r="411" spans="23:23" s="12" customFormat="1" ht="11.7" customHeight="1" x14ac:dyDescent="0.3">
      <c r="W411" s="14"/>
    </row>
    <row r="412" spans="23:23" s="12" customFormat="1" ht="11.7" customHeight="1" x14ac:dyDescent="0.3">
      <c r="W412" s="14"/>
    </row>
    <row r="413" spans="23:23" s="12" customFormat="1" ht="11.7" customHeight="1" x14ac:dyDescent="0.3">
      <c r="W413" s="14"/>
    </row>
    <row r="414" spans="23:23" s="12" customFormat="1" ht="11.7" customHeight="1" x14ac:dyDescent="0.3">
      <c r="W414" s="14"/>
    </row>
    <row r="415" spans="23:23" s="12" customFormat="1" ht="11.7" customHeight="1" x14ac:dyDescent="0.3">
      <c r="W415" s="14"/>
    </row>
    <row r="416" spans="23:23" s="12" customFormat="1" ht="11.7" customHeight="1" x14ac:dyDescent="0.3">
      <c r="W416" s="14"/>
    </row>
    <row r="417" spans="23:23" s="12" customFormat="1" ht="11.7" customHeight="1" x14ac:dyDescent="0.3">
      <c r="W417" s="14"/>
    </row>
    <row r="418" spans="23:23" s="12" customFormat="1" ht="11.7" customHeight="1" x14ac:dyDescent="0.3">
      <c r="W418" s="14"/>
    </row>
    <row r="419" spans="23:23" s="12" customFormat="1" ht="11.7" customHeight="1" x14ac:dyDescent="0.3">
      <c r="W419" s="14"/>
    </row>
    <row r="420" spans="23:23" s="12" customFormat="1" ht="11.7" customHeight="1" x14ac:dyDescent="0.3">
      <c r="W420" s="14"/>
    </row>
    <row r="421" spans="23:23" s="12" customFormat="1" ht="11.7" customHeight="1" x14ac:dyDescent="0.3">
      <c r="W421" s="14"/>
    </row>
    <row r="422" spans="23:23" s="12" customFormat="1" ht="11.7" customHeight="1" x14ac:dyDescent="0.3">
      <c r="W422" s="14"/>
    </row>
    <row r="423" spans="23:23" s="12" customFormat="1" ht="11.7" customHeight="1" x14ac:dyDescent="0.3">
      <c r="W423" s="14"/>
    </row>
    <row r="424" spans="23:23" s="12" customFormat="1" ht="11.7" customHeight="1" x14ac:dyDescent="0.3">
      <c r="W424" s="14"/>
    </row>
    <row r="425" spans="23:23" s="12" customFormat="1" ht="11.7" customHeight="1" x14ac:dyDescent="0.3">
      <c r="W425" s="14"/>
    </row>
    <row r="426" spans="23:23" s="12" customFormat="1" ht="11.7" customHeight="1" x14ac:dyDescent="0.3">
      <c r="W426" s="14"/>
    </row>
    <row r="427" spans="23:23" s="12" customFormat="1" ht="11.7" customHeight="1" x14ac:dyDescent="0.3">
      <c r="W427" s="14"/>
    </row>
    <row r="428" spans="23:23" s="12" customFormat="1" ht="11.7" customHeight="1" x14ac:dyDescent="0.3">
      <c r="W428" s="14"/>
    </row>
    <row r="429" spans="23:23" s="12" customFormat="1" ht="11.7" customHeight="1" x14ac:dyDescent="0.3">
      <c r="W429" s="14"/>
    </row>
    <row r="430" spans="23:23" s="12" customFormat="1" ht="11.7" customHeight="1" x14ac:dyDescent="0.3">
      <c r="W430" s="14"/>
    </row>
    <row r="431" spans="23:23" s="12" customFormat="1" ht="11.7" customHeight="1" x14ac:dyDescent="0.3">
      <c r="W431" s="14"/>
    </row>
    <row r="432" spans="23:23" s="12" customFormat="1" ht="11.7" customHeight="1" x14ac:dyDescent="0.3">
      <c r="W432" s="14"/>
    </row>
    <row r="433" spans="23:23" s="12" customFormat="1" ht="11.7" customHeight="1" x14ac:dyDescent="0.3">
      <c r="W433" s="14"/>
    </row>
    <row r="434" spans="23:23" s="12" customFormat="1" ht="11.7" customHeight="1" x14ac:dyDescent="0.3">
      <c r="W434" s="14"/>
    </row>
    <row r="435" spans="23:23" s="12" customFormat="1" ht="11.7" customHeight="1" x14ac:dyDescent="0.3">
      <c r="W435" s="14"/>
    </row>
    <row r="436" spans="23:23" s="12" customFormat="1" ht="11.7" customHeight="1" x14ac:dyDescent="0.3">
      <c r="W436" s="14"/>
    </row>
    <row r="437" spans="23:23" s="12" customFormat="1" ht="11.7" customHeight="1" x14ac:dyDescent="0.3">
      <c r="W437" s="14"/>
    </row>
    <row r="438" spans="23:23" s="12" customFormat="1" ht="11.7" customHeight="1" x14ac:dyDescent="0.3">
      <c r="W438" s="14"/>
    </row>
    <row r="439" spans="23:23" s="12" customFormat="1" ht="11.7" customHeight="1" x14ac:dyDescent="0.3">
      <c r="W439" s="14"/>
    </row>
    <row r="440" spans="23:23" s="12" customFormat="1" ht="11.7" customHeight="1" x14ac:dyDescent="0.3">
      <c r="W440" s="14"/>
    </row>
    <row r="441" spans="23:23" s="12" customFormat="1" ht="11.7" customHeight="1" x14ac:dyDescent="0.3">
      <c r="W441" s="14"/>
    </row>
    <row r="442" spans="23:23" s="12" customFormat="1" ht="11.7" customHeight="1" x14ac:dyDescent="0.3">
      <c r="W442" s="14"/>
    </row>
    <row r="443" spans="23:23" s="12" customFormat="1" ht="11.7" customHeight="1" x14ac:dyDescent="0.3">
      <c r="W443" s="14"/>
    </row>
    <row r="444" spans="23:23" s="12" customFormat="1" ht="11.7" customHeight="1" x14ac:dyDescent="0.3">
      <c r="W444" s="14"/>
    </row>
    <row r="445" spans="23:23" s="12" customFormat="1" ht="11.7" customHeight="1" x14ac:dyDescent="0.3">
      <c r="W445" s="14"/>
    </row>
    <row r="446" spans="23:23" s="12" customFormat="1" ht="11.7" customHeight="1" x14ac:dyDescent="0.3">
      <c r="W446" s="14"/>
    </row>
    <row r="447" spans="23:23" s="12" customFormat="1" ht="11.7" customHeight="1" x14ac:dyDescent="0.3">
      <c r="W447" s="14"/>
    </row>
    <row r="448" spans="23:23" s="12" customFormat="1" ht="11.7" customHeight="1" x14ac:dyDescent="0.3">
      <c r="W448" s="14"/>
    </row>
    <row r="449" spans="23:23" s="12" customFormat="1" ht="11.7" customHeight="1" x14ac:dyDescent="0.3">
      <c r="W449" s="14"/>
    </row>
    <row r="450" spans="23:23" s="12" customFormat="1" ht="11.7" customHeight="1" x14ac:dyDescent="0.3">
      <c r="W450" s="14"/>
    </row>
    <row r="451" spans="23:23" s="12" customFormat="1" ht="11.7" customHeight="1" x14ac:dyDescent="0.3">
      <c r="W451" s="14"/>
    </row>
    <row r="452" spans="23:23" s="12" customFormat="1" ht="11.7" customHeight="1" x14ac:dyDescent="0.3">
      <c r="W452" s="14"/>
    </row>
    <row r="453" spans="23:23" s="12" customFormat="1" ht="11.7" customHeight="1" x14ac:dyDescent="0.3">
      <c r="W453" s="14"/>
    </row>
    <row r="454" spans="23:23" s="12" customFormat="1" ht="11.7" customHeight="1" x14ac:dyDescent="0.3">
      <c r="W454" s="14"/>
    </row>
    <row r="455" spans="23:23" s="12" customFormat="1" ht="11.7" customHeight="1" x14ac:dyDescent="0.3">
      <c r="W455" s="14"/>
    </row>
    <row r="456" spans="23:23" s="12" customFormat="1" ht="11.7" customHeight="1" x14ac:dyDescent="0.3">
      <c r="W456" s="14"/>
    </row>
    <row r="457" spans="23:23" s="12" customFormat="1" ht="11.7" customHeight="1" x14ac:dyDescent="0.3">
      <c r="W457" s="14"/>
    </row>
    <row r="458" spans="23:23" s="12" customFormat="1" ht="11.7" customHeight="1" x14ac:dyDescent="0.3">
      <c r="W458" s="14"/>
    </row>
    <row r="459" spans="23:23" s="12" customFormat="1" ht="11.7" customHeight="1" x14ac:dyDescent="0.3">
      <c r="W459" s="14"/>
    </row>
    <row r="460" spans="23:23" s="12" customFormat="1" ht="11.7" customHeight="1" x14ac:dyDescent="0.3">
      <c r="W460" s="14"/>
    </row>
    <row r="461" spans="23:23" s="12" customFormat="1" ht="11.7" customHeight="1" x14ac:dyDescent="0.3">
      <c r="W461" s="14"/>
    </row>
    <row r="462" spans="23:23" s="12" customFormat="1" ht="11.7" customHeight="1" x14ac:dyDescent="0.3">
      <c r="W462" s="14"/>
    </row>
    <row r="463" spans="23:23" s="12" customFormat="1" ht="11.7" customHeight="1" x14ac:dyDescent="0.3">
      <c r="W463" s="14"/>
    </row>
    <row r="464" spans="23:23" s="12" customFormat="1" ht="11.7" customHeight="1" x14ac:dyDescent="0.3">
      <c r="W464" s="14"/>
    </row>
    <row r="465" spans="23:23" s="12" customFormat="1" ht="11.7" customHeight="1" x14ac:dyDescent="0.3">
      <c r="W465" s="14"/>
    </row>
    <row r="466" spans="23:23" s="12" customFormat="1" ht="11.7" customHeight="1" x14ac:dyDescent="0.3">
      <c r="W466" s="14"/>
    </row>
    <row r="467" spans="23:23" s="12" customFormat="1" ht="11.7" customHeight="1" x14ac:dyDescent="0.3">
      <c r="W467" s="14"/>
    </row>
    <row r="468" spans="23:23" s="12" customFormat="1" ht="11.7" customHeight="1" x14ac:dyDescent="0.3">
      <c r="W468" s="14"/>
    </row>
    <row r="469" spans="23:23" s="12" customFormat="1" ht="11.7" customHeight="1" x14ac:dyDescent="0.3">
      <c r="W469" s="14"/>
    </row>
    <row r="470" spans="23:23" s="12" customFormat="1" ht="11.7" customHeight="1" x14ac:dyDescent="0.3">
      <c r="W470" s="14"/>
    </row>
    <row r="471" spans="23:23" s="12" customFormat="1" ht="11.7" customHeight="1" x14ac:dyDescent="0.3">
      <c r="W471" s="14"/>
    </row>
    <row r="472" spans="23:23" s="12" customFormat="1" ht="11.7" customHeight="1" x14ac:dyDescent="0.3">
      <c r="W472" s="14"/>
    </row>
    <row r="473" spans="23:23" s="12" customFormat="1" ht="11.7" customHeight="1" x14ac:dyDescent="0.3">
      <c r="W473" s="14"/>
    </row>
    <row r="474" spans="23:23" s="12" customFormat="1" ht="11.7" customHeight="1" x14ac:dyDescent="0.3">
      <c r="W474" s="14"/>
    </row>
    <row r="475" spans="23:23" s="12" customFormat="1" ht="11.7" customHeight="1" x14ac:dyDescent="0.3">
      <c r="W475" s="14"/>
    </row>
    <row r="476" spans="23:23" s="12" customFormat="1" ht="11.7" customHeight="1" x14ac:dyDescent="0.3">
      <c r="W476" s="14"/>
    </row>
    <row r="477" spans="23:23" s="12" customFormat="1" ht="11.7" customHeight="1" x14ac:dyDescent="0.3">
      <c r="W477" s="14"/>
    </row>
    <row r="478" spans="23:23" s="12" customFormat="1" ht="11.7" customHeight="1" x14ac:dyDescent="0.3">
      <c r="W478" s="14"/>
    </row>
    <row r="479" spans="23:23" s="12" customFormat="1" ht="11.7" customHeight="1" x14ac:dyDescent="0.3">
      <c r="W479" s="14"/>
    </row>
    <row r="480" spans="23:23" s="12" customFormat="1" ht="11.7" customHeight="1" x14ac:dyDescent="0.3">
      <c r="W480" s="14"/>
    </row>
    <row r="481" spans="23:23" s="12" customFormat="1" ht="11.7" customHeight="1" x14ac:dyDescent="0.3">
      <c r="W481" s="14"/>
    </row>
    <row r="482" spans="23:23" s="12" customFormat="1" ht="11.7" customHeight="1" x14ac:dyDescent="0.3">
      <c r="W482" s="14"/>
    </row>
    <row r="483" spans="23:23" s="12" customFormat="1" ht="11.7" customHeight="1" x14ac:dyDescent="0.3">
      <c r="W483" s="14"/>
    </row>
    <row r="484" spans="23:23" s="12" customFormat="1" ht="11.7" customHeight="1" x14ac:dyDescent="0.3">
      <c r="W484" s="14"/>
    </row>
    <row r="485" spans="23:23" s="12" customFormat="1" ht="11.7" customHeight="1" x14ac:dyDescent="0.3">
      <c r="W485" s="14"/>
    </row>
    <row r="486" spans="23:23" s="12" customFormat="1" ht="11.7" customHeight="1" x14ac:dyDescent="0.3">
      <c r="W486" s="14"/>
    </row>
    <row r="487" spans="23:23" s="12" customFormat="1" ht="11.7" customHeight="1" x14ac:dyDescent="0.3">
      <c r="W487" s="14"/>
    </row>
    <row r="488" spans="23:23" s="12" customFormat="1" ht="11.7" customHeight="1" x14ac:dyDescent="0.3">
      <c r="W488" s="14"/>
    </row>
    <row r="489" spans="23:23" s="12" customFormat="1" ht="11.7" customHeight="1" x14ac:dyDescent="0.3">
      <c r="W489" s="14"/>
    </row>
    <row r="490" spans="23:23" s="12" customFormat="1" ht="11.7" customHeight="1" x14ac:dyDescent="0.3">
      <c r="W490" s="14"/>
    </row>
    <row r="491" spans="23:23" s="12" customFormat="1" ht="11.7" customHeight="1" x14ac:dyDescent="0.3">
      <c r="W491" s="14"/>
    </row>
    <row r="492" spans="23:23" s="12" customFormat="1" ht="11.7" customHeight="1" x14ac:dyDescent="0.3">
      <c r="W492" s="14"/>
    </row>
    <row r="493" spans="23:23" s="12" customFormat="1" ht="11.7" customHeight="1" x14ac:dyDescent="0.3">
      <c r="W493" s="14"/>
    </row>
    <row r="494" spans="23:23" s="12" customFormat="1" ht="11.7" customHeight="1" x14ac:dyDescent="0.3">
      <c r="W494" s="14"/>
    </row>
    <row r="495" spans="23:23" s="12" customFormat="1" ht="11.7" customHeight="1" x14ac:dyDescent="0.3">
      <c r="W495" s="14"/>
    </row>
    <row r="496" spans="23:23" s="12" customFormat="1" ht="11.7" customHeight="1" x14ac:dyDescent="0.3">
      <c r="W496" s="14"/>
    </row>
    <row r="497" spans="23:23" s="12" customFormat="1" ht="11.7" customHeight="1" x14ac:dyDescent="0.3">
      <c r="W497" s="14"/>
    </row>
    <row r="498" spans="23:23" s="12" customFormat="1" ht="11.7" customHeight="1" x14ac:dyDescent="0.3">
      <c r="W498" s="14"/>
    </row>
    <row r="499" spans="23:23" s="12" customFormat="1" ht="11.7" customHeight="1" x14ac:dyDescent="0.3">
      <c r="W499" s="14"/>
    </row>
    <row r="500" spans="23:23" s="12" customFormat="1" ht="11.7" customHeight="1" x14ac:dyDescent="0.3">
      <c r="W500" s="14"/>
    </row>
    <row r="501" spans="23:23" s="12" customFormat="1" ht="11.7" customHeight="1" x14ac:dyDescent="0.3">
      <c r="W501" s="14"/>
    </row>
    <row r="502" spans="23:23" s="12" customFormat="1" ht="11.7" customHeight="1" x14ac:dyDescent="0.3">
      <c r="W502" s="14"/>
    </row>
    <row r="503" spans="23:23" s="12" customFormat="1" ht="11.7" customHeight="1" x14ac:dyDescent="0.3">
      <c r="W503" s="14"/>
    </row>
    <row r="504" spans="23:23" s="12" customFormat="1" ht="11.7" customHeight="1" x14ac:dyDescent="0.3">
      <c r="W504" s="14"/>
    </row>
    <row r="505" spans="23:23" s="12" customFormat="1" ht="11.7" customHeight="1" x14ac:dyDescent="0.3">
      <c r="W505" s="14"/>
    </row>
    <row r="506" spans="23:23" s="12" customFormat="1" ht="11.7" customHeight="1" x14ac:dyDescent="0.3">
      <c r="W506" s="14"/>
    </row>
    <row r="507" spans="23:23" s="12" customFormat="1" ht="11.7" customHeight="1" x14ac:dyDescent="0.3">
      <c r="W507" s="14"/>
    </row>
    <row r="508" spans="23:23" s="12" customFormat="1" ht="11.7" customHeight="1" x14ac:dyDescent="0.3">
      <c r="W508" s="14"/>
    </row>
    <row r="509" spans="23:23" s="12" customFormat="1" ht="11.7" customHeight="1" x14ac:dyDescent="0.3">
      <c r="W509" s="14"/>
    </row>
    <row r="510" spans="23:23" s="12" customFormat="1" ht="11.7" customHeight="1" x14ac:dyDescent="0.3">
      <c r="W510" s="14"/>
    </row>
    <row r="511" spans="23:23" s="12" customFormat="1" ht="11.7" customHeight="1" x14ac:dyDescent="0.3">
      <c r="W511" s="14"/>
    </row>
    <row r="512" spans="23:23" s="12" customFormat="1" ht="11.7" customHeight="1" x14ac:dyDescent="0.3">
      <c r="W512" s="14"/>
    </row>
    <row r="513" spans="23:23" s="12" customFormat="1" ht="11.7" customHeight="1" x14ac:dyDescent="0.3">
      <c r="W513" s="14"/>
    </row>
    <row r="514" spans="23:23" s="12" customFormat="1" ht="11.7" customHeight="1" x14ac:dyDescent="0.3">
      <c r="W514" s="14"/>
    </row>
    <row r="515" spans="23:23" s="12" customFormat="1" ht="11.7" customHeight="1" x14ac:dyDescent="0.3">
      <c r="W515" s="14"/>
    </row>
    <row r="516" spans="23:23" s="12" customFormat="1" ht="11.7" customHeight="1" x14ac:dyDescent="0.3">
      <c r="W516" s="14"/>
    </row>
    <row r="517" spans="23:23" s="12" customFormat="1" ht="11.7" customHeight="1" x14ac:dyDescent="0.3">
      <c r="W517" s="14"/>
    </row>
    <row r="518" spans="23:23" s="12" customFormat="1" ht="11.7" customHeight="1" x14ac:dyDescent="0.3">
      <c r="W518" s="14"/>
    </row>
    <row r="519" spans="23:23" s="12" customFormat="1" ht="11.7" customHeight="1" x14ac:dyDescent="0.3">
      <c r="W519" s="14"/>
    </row>
    <row r="520" spans="23:23" s="12" customFormat="1" ht="11.7" customHeight="1" x14ac:dyDescent="0.3">
      <c r="W520" s="14"/>
    </row>
    <row r="521" spans="23:23" s="12" customFormat="1" ht="11.7" customHeight="1" x14ac:dyDescent="0.3">
      <c r="W521" s="14"/>
    </row>
    <row r="522" spans="23:23" s="12" customFormat="1" ht="11.7" customHeight="1" x14ac:dyDescent="0.3">
      <c r="W522" s="14"/>
    </row>
    <row r="523" spans="23:23" s="12" customFormat="1" ht="11.7" customHeight="1" x14ac:dyDescent="0.3">
      <c r="W523" s="14"/>
    </row>
    <row r="524" spans="23:23" s="12" customFormat="1" ht="11.7" customHeight="1" x14ac:dyDescent="0.3">
      <c r="W524" s="14"/>
    </row>
    <row r="525" spans="23:23" s="12" customFormat="1" ht="11.7" customHeight="1" x14ac:dyDescent="0.3">
      <c r="W525" s="14"/>
    </row>
    <row r="526" spans="23:23" s="12" customFormat="1" ht="11.7" customHeight="1" x14ac:dyDescent="0.3">
      <c r="W526" s="14"/>
    </row>
    <row r="527" spans="23:23" s="12" customFormat="1" ht="11.7" customHeight="1" x14ac:dyDescent="0.3">
      <c r="W527" s="14"/>
    </row>
    <row r="528" spans="23:23" s="12" customFormat="1" ht="11.7" customHeight="1" x14ac:dyDescent="0.3">
      <c r="W528" s="14"/>
    </row>
    <row r="529" spans="23:23" s="12" customFormat="1" ht="11.7" customHeight="1" x14ac:dyDescent="0.3">
      <c r="W529" s="14"/>
    </row>
    <row r="530" spans="23:23" s="12" customFormat="1" ht="11.7" customHeight="1" x14ac:dyDescent="0.3">
      <c r="W530" s="14"/>
    </row>
    <row r="531" spans="23:23" s="12" customFormat="1" ht="11.7" customHeight="1" x14ac:dyDescent="0.3">
      <c r="W531" s="14"/>
    </row>
    <row r="532" spans="23:23" s="12" customFormat="1" ht="11.7" customHeight="1" x14ac:dyDescent="0.3">
      <c r="W532" s="14"/>
    </row>
    <row r="533" spans="23:23" s="12" customFormat="1" ht="11.7" customHeight="1" x14ac:dyDescent="0.3">
      <c r="W533" s="14"/>
    </row>
    <row r="534" spans="23:23" s="12" customFormat="1" ht="11.7" customHeight="1" x14ac:dyDescent="0.3">
      <c r="W534" s="14"/>
    </row>
    <row r="535" spans="23:23" s="12" customFormat="1" ht="11.7" customHeight="1" x14ac:dyDescent="0.3">
      <c r="W535" s="14"/>
    </row>
    <row r="536" spans="23:23" s="12" customFormat="1" ht="11.7" customHeight="1" x14ac:dyDescent="0.3">
      <c r="W536" s="14"/>
    </row>
    <row r="537" spans="23:23" s="12" customFormat="1" ht="11.7" customHeight="1" x14ac:dyDescent="0.3">
      <c r="W537" s="14"/>
    </row>
    <row r="538" spans="23:23" s="12" customFormat="1" ht="11.7" customHeight="1" x14ac:dyDescent="0.3">
      <c r="W538" s="14"/>
    </row>
    <row r="539" spans="23:23" s="12" customFormat="1" ht="11.7" customHeight="1" x14ac:dyDescent="0.3">
      <c r="W539" s="14"/>
    </row>
    <row r="540" spans="23:23" s="12" customFormat="1" ht="11.7" customHeight="1" x14ac:dyDescent="0.3">
      <c r="W540" s="14"/>
    </row>
    <row r="541" spans="23:23" s="12" customFormat="1" ht="11.7" customHeight="1" x14ac:dyDescent="0.3">
      <c r="W541" s="14"/>
    </row>
    <row r="542" spans="23:23" s="12" customFormat="1" ht="11.7" customHeight="1" x14ac:dyDescent="0.3">
      <c r="W542" s="14"/>
    </row>
    <row r="543" spans="23:23" s="12" customFormat="1" ht="11.7" customHeight="1" x14ac:dyDescent="0.3">
      <c r="W543" s="14"/>
    </row>
    <row r="544" spans="23:23" s="12" customFormat="1" ht="11.7" customHeight="1" x14ac:dyDescent="0.3">
      <c r="W544" s="14"/>
    </row>
    <row r="545" spans="23:23" s="12" customFormat="1" ht="11.7" customHeight="1" x14ac:dyDescent="0.3">
      <c r="W545" s="14"/>
    </row>
    <row r="546" spans="23:23" s="12" customFormat="1" ht="11.7" customHeight="1" x14ac:dyDescent="0.3">
      <c r="W546" s="14"/>
    </row>
    <row r="547" spans="23:23" s="12" customFormat="1" ht="11.7" customHeight="1" x14ac:dyDescent="0.3">
      <c r="W547" s="14"/>
    </row>
    <row r="548" spans="23:23" s="12" customFormat="1" ht="11.7" customHeight="1" x14ac:dyDescent="0.3">
      <c r="W548" s="14"/>
    </row>
    <row r="549" spans="23:23" s="12" customFormat="1" ht="11.7" customHeight="1" x14ac:dyDescent="0.3">
      <c r="W549" s="14"/>
    </row>
    <row r="550" spans="23:23" s="12" customFormat="1" ht="11.7" customHeight="1" x14ac:dyDescent="0.3">
      <c r="W550" s="14"/>
    </row>
    <row r="551" spans="23:23" s="12" customFormat="1" ht="11.7" customHeight="1" x14ac:dyDescent="0.3">
      <c r="W551" s="14"/>
    </row>
    <row r="552" spans="23:23" s="12" customFormat="1" ht="11.7" customHeight="1" x14ac:dyDescent="0.3">
      <c r="W552" s="14"/>
    </row>
    <row r="553" spans="23:23" s="12" customFormat="1" ht="11.7" customHeight="1" x14ac:dyDescent="0.3">
      <c r="W553" s="14"/>
    </row>
    <row r="554" spans="23:23" s="12" customFormat="1" ht="11.7" customHeight="1" x14ac:dyDescent="0.3">
      <c r="W554" s="14"/>
    </row>
    <row r="555" spans="23:23" s="12" customFormat="1" ht="11.7" customHeight="1" x14ac:dyDescent="0.3">
      <c r="W555" s="14"/>
    </row>
    <row r="556" spans="23:23" s="12" customFormat="1" ht="11.7" customHeight="1" x14ac:dyDescent="0.3">
      <c r="W556" s="14"/>
    </row>
    <row r="557" spans="23:23" s="12" customFormat="1" ht="11.7" customHeight="1" x14ac:dyDescent="0.3">
      <c r="W557" s="14"/>
    </row>
    <row r="558" spans="23:23" s="12" customFormat="1" ht="11.7" customHeight="1" x14ac:dyDescent="0.3">
      <c r="W558" s="14"/>
    </row>
    <row r="559" spans="23:23" s="12" customFormat="1" ht="11.7" customHeight="1" x14ac:dyDescent="0.3">
      <c r="W559" s="14"/>
    </row>
    <row r="560" spans="23:23" s="12" customFormat="1" ht="11.7" customHeight="1" x14ac:dyDescent="0.3">
      <c r="W560" s="14"/>
    </row>
    <row r="561" spans="23:23" s="12" customFormat="1" ht="11.7" customHeight="1" x14ac:dyDescent="0.3">
      <c r="W561" s="14"/>
    </row>
    <row r="562" spans="23:23" s="12" customFormat="1" ht="11.7" customHeight="1" x14ac:dyDescent="0.3">
      <c r="W562" s="14"/>
    </row>
    <row r="563" spans="23:23" s="12" customFormat="1" ht="11.7" customHeight="1" x14ac:dyDescent="0.3">
      <c r="W563" s="14"/>
    </row>
    <row r="564" spans="23:23" s="12" customFormat="1" ht="11.7" customHeight="1" x14ac:dyDescent="0.3">
      <c r="W564" s="14"/>
    </row>
    <row r="565" spans="23:23" s="12" customFormat="1" ht="11.7" customHeight="1" x14ac:dyDescent="0.3">
      <c r="W565" s="14"/>
    </row>
    <row r="566" spans="23:23" s="12" customFormat="1" ht="11.7" customHeight="1" x14ac:dyDescent="0.3">
      <c r="W566" s="14"/>
    </row>
    <row r="567" spans="23:23" s="12" customFormat="1" ht="11.7" customHeight="1" x14ac:dyDescent="0.3">
      <c r="W567" s="14"/>
    </row>
    <row r="568" spans="23:23" s="12" customFormat="1" ht="11.7" customHeight="1" x14ac:dyDescent="0.3">
      <c r="W568" s="14"/>
    </row>
    <row r="569" spans="23:23" s="12" customFormat="1" ht="11.7" customHeight="1" x14ac:dyDescent="0.3">
      <c r="W569" s="14"/>
    </row>
    <row r="570" spans="23:23" s="12" customFormat="1" ht="11.7" customHeight="1" x14ac:dyDescent="0.3">
      <c r="W570" s="14"/>
    </row>
    <row r="571" spans="23:23" s="12" customFormat="1" ht="11.7" customHeight="1" x14ac:dyDescent="0.3">
      <c r="W571" s="14"/>
    </row>
    <row r="572" spans="23:23" s="12" customFormat="1" ht="11.7" customHeight="1" x14ac:dyDescent="0.3">
      <c r="W572" s="14"/>
    </row>
    <row r="573" spans="23:23" s="12" customFormat="1" ht="11.7" customHeight="1" x14ac:dyDescent="0.3">
      <c r="W573" s="14"/>
    </row>
    <row r="574" spans="23:23" s="12" customFormat="1" ht="11.7" customHeight="1" x14ac:dyDescent="0.3">
      <c r="W574" s="14"/>
    </row>
    <row r="575" spans="23:23" s="12" customFormat="1" ht="11.7" customHeight="1" x14ac:dyDescent="0.3">
      <c r="W575" s="14"/>
    </row>
    <row r="576" spans="23:23" s="12" customFormat="1" ht="11.7" customHeight="1" x14ac:dyDescent="0.3">
      <c r="W576" s="14"/>
    </row>
    <row r="577" spans="23:23" s="12" customFormat="1" ht="11.7" customHeight="1" x14ac:dyDescent="0.3">
      <c r="W577" s="14"/>
    </row>
    <row r="578" spans="23:23" s="12" customFormat="1" ht="11.7" customHeight="1" x14ac:dyDescent="0.3">
      <c r="W578" s="14"/>
    </row>
    <row r="579" spans="23:23" s="12" customFormat="1" ht="11.7" customHeight="1" x14ac:dyDescent="0.3">
      <c r="W579" s="14"/>
    </row>
    <row r="580" spans="23:23" s="12" customFormat="1" ht="11.7" customHeight="1" x14ac:dyDescent="0.3">
      <c r="W580" s="14"/>
    </row>
    <row r="581" spans="23:23" s="12" customFormat="1" ht="11.7" customHeight="1" x14ac:dyDescent="0.3">
      <c r="W581" s="14"/>
    </row>
    <row r="582" spans="23:23" s="12" customFormat="1" ht="11.7" customHeight="1" x14ac:dyDescent="0.3">
      <c r="W582" s="14"/>
    </row>
    <row r="583" spans="23:23" s="12" customFormat="1" ht="11.7" customHeight="1" x14ac:dyDescent="0.3">
      <c r="W583" s="14"/>
    </row>
    <row r="584" spans="23:23" s="12" customFormat="1" ht="11.7" customHeight="1" x14ac:dyDescent="0.3">
      <c r="W584" s="14"/>
    </row>
    <row r="585" spans="23:23" s="12" customFormat="1" ht="11.7" customHeight="1" x14ac:dyDescent="0.3">
      <c r="W585" s="14"/>
    </row>
    <row r="586" spans="23:23" s="12" customFormat="1" ht="11.7" customHeight="1" x14ac:dyDescent="0.3">
      <c r="W586" s="14"/>
    </row>
    <row r="587" spans="23:23" s="12" customFormat="1" ht="11.7" customHeight="1" x14ac:dyDescent="0.3">
      <c r="W587" s="14"/>
    </row>
    <row r="588" spans="23:23" s="12" customFormat="1" ht="11.7" customHeight="1" x14ac:dyDescent="0.3">
      <c r="W588" s="14"/>
    </row>
    <row r="589" spans="23:23" s="12" customFormat="1" ht="11.7" customHeight="1" x14ac:dyDescent="0.3">
      <c r="W589" s="14"/>
    </row>
    <row r="590" spans="23:23" s="12" customFormat="1" ht="11.7" customHeight="1" x14ac:dyDescent="0.3">
      <c r="W590" s="14"/>
    </row>
    <row r="591" spans="23:23" s="12" customFormat="1" ht="11.7" customHeight="1" x14ac:dyDescent="0.3">
      <c r="W591" s="14"/>
    </row>
    <row r="592" spans="23:23" s="12" customFormat="1" ht="11.7" customHeight="1" x14ac:dyDescent="0.3">
      <c r="W592" s="14"/>
    </row>
    <row r="593" spans="23:23" s="12" customFormat="1" ht="11.7" customHeight="1" x14ac:dyDescent="0.3">
      <c r="W593" s="14"/>
    </row>
    <row r="594" spans="23:23" s="12" customFormat="1" ht="11.7" customHeight="1" x14ac:dyDescent="0.3">
      <c r="W594" s="14"/>
    </row>
    <row r="595" spans="23:23" s="12" customFormat="1" ht="11.7" customHeight="1" x14ac:dyDescent="0.3">
      <c r="W595" s="14"/>
    </row>
    <row r="596" spans="23:23" s="12" customFormat="1" ht="11.7" customHeight="1" x14ac:dyDescent="0.3">
      <c r="W596" s="14"/>
    </row>
    <row r="597" spans="23:23" s="12" customFormat="1" ht="11.7" customHeight="1" x14ac:dyDescent="0.3">
      <c r="W597" s="14"/>
    </row>
    <row r="598" spans="23:23" s="12" customFormat="1" ht="11.7" customHeight="1" x14ac:dyDescent="0.3">
      <c r="W598" s="14"/>
    </row>
    <row r="599" spans="23:23" s="12" customFormat="1" ht="11.7" customHeight="1" x14ac:dyDescent="0.3">
      <c r="W599" s="14"/>
    </row>
    <row r="600" spans="23:23" s="12" customFormat="1" ht="11.7" customHeight="1" x14ac:dyDescent="0.3">
      <c r="W600" s="14"/>
    </row>
    <row r="601" spans="23:23" s="12" customFormat="1" ht="11.7" customHeight="1" x14ac:dyDescent="0.3">
      <c r="W601" s="14"/>
    </row>
    <row r="602" spans="23:23" s="12" customFormat="1" ht="11.7" customHeight="1" x14ac:dyDescent="0.3">
      <c r="W602" s="14"/>
    </row>
    <row r="603" spans="23:23" s="12" customFormat="1" ht="11.7" customHeight="1" x14ac:dyDescent="0.3">
      <c r="W603" s="14"/>
    </row>
    <row r="604" spans="23:23" s="12" customFormat="1" ht="11.7" customHeight="1" x14ac:dyDescent="0.3">
      <c r="W604" s="14"/>
    </row>
    <row r="605" spans="23:23" s="12" customFormat="1" ht="11.7" customHeight="1" x14ac:dyDescent="0.3">
      <c r="W605" s="14"/>
    </row>
    <row r="606" spans="23:23" s="12" customFormat="1" ht="11.7" customHeight="1" x14ac:dyDescent="0.3">
      <c r="W606" s="14"/>
    </row>
    <row r="607" spans="23:23" s="12" customFormat="1" ht="11.7" customHeight="1" x14ac:dyDescent="0.3">
      <c r="W607" s="14"/>
    </row>
    <row r="608" spans="23:23" s="12" customFormat="1" ht="11.7" customHeight="1" x14ac:dyDescent="0.3">
      <c r="W608" s="14"/>
    </row>
    <row r="609" spans="23:23" s="12" customFormat="1" ht="11.7" customHeight="1" x14ac:dyDescent="0.3">
      <c r="W609" s="14"/>
    </row>
    <row r="610" spans="23:23" s="12" customFormat="1" ht="11.7" customHeight="1" x14ac:dyDescent="0.3">
      <c r="W610" s="14"/>
    </row>
    <row r="611" spans="23:23" s="12" customFormat="1" ht="11.7" customHeight="1" x14ac:dyDescent="0.3">
      <c r="W611" s="14"/>
    </row>
    <row r="612" spans="23:23" s="12" customFormat="1" ht="11.7" customHeight="1" x14ac:dyDescent="0.3">
      <c r="W612" s="14"/>
    </row>
    <row r="613" spans="23:23" s="12" customFormat="1" ht="11.7" customHeight="1" x14ac:dyDescent="0.3">
      <c r="W613" s="14"/>
    </row>
    <row r="614" spans="23:23" s="12" customFormat="1" ht="11.7" customHeight="1" x14ac:dyDescent="0.3">
      <c r="W614" s="14"/>
    </row>
    <row r="615" spans="23:23" s="12" customFormat="1" ht="11.7" customHeight="1" x14ac:dyDescent="0.3">
      <c r="W615" s="14"/>
    </row>
    <row r="616" spans="23:23" s="12" customFormat="1" ht="11.7" customHeight="1" x14ac:dyDescent="0.3">
      <c r="W616" s="14"/>
    </row>
    <row r="617" spans="23:23" s="12" customFormat="1" ht="11.7" customHeight="1" x14ac:dyDescent="0.3">
      <c r="W617" s="14"/>
    </row>
    <row r="618" spans="23:23" s="12" customFormat="1" ht="11.7" customHeight="1" x14ac:dyDescent="0.3">
      <c r="W618" s="14"/>
    </row>
    <row r="619" spans="23:23" s="12" customFormat="1" ht="11.7" customHeight="1" x14ac:dyDescent="0.3">
      <c r="W619" s="14"/>
    </row>
    <row r="620" spans="23:23" s="12" customFormat="1" ht="11.7" customHeight="1" x14ac:dyDescent="0.3">
      <c r="W620" s="14"/>
    </row>
    <row r="621" spans="23:23" s="12" customFormat="1" ht="11.7" customHeight="1" x14ac:dyDescent="0.3">
      <c r="W621" s="14"/>
    </row>
    <row r="622" spans="23:23" s="12" customFormat="1" ht="11.7" customHeight="1" x14ac:dyDescent="0.3">
      <c r="W622" s="14"/>
    </row>
    <row r="623" spans="23:23" s="12" customFormat="1" ht="11.7" customHeight="1" x14ac:dyDescent="0.3">
      <c r="W623" s="14"/>
    </row>
    <row r="624" spans="23:23" s="12" customFormat="1" ht="11.7" customHeight="1" x14ac:dyDescent="0.3">
      <c r="W624" s="14"/>
    </row>
    <row r="625" spans="23:23" s="12" customFormat="1" ht="11.7" customHeight="1" x14ac:dyDescent="0.3">
      <c r="W625" s="14"/>
    </row>
    <row r="626" spans="23:23" s="12" customFormat="1" ht="11.7" customHeight="1" x14ac:dyDescent="0.3">
      <c r="W626" s="14"/>
    </row>
    <row r="627" spans="23:23" s="12" customFormat="1" ht="11.7" customHeight="1" x14ac:dyDescent="0.3">
      <c r="W627" s="14"/>
    </row>
    <row r="628" spans="23:23" s="12" customFormat="1" ht="11.7" customHeight="1" x14ac:dyDescent="0.3">
      <c r="W628" s="14"/>
    </row>
    <row r="629" spans="23:23" s="12" customFormat="1" ht="11.7" customHeight="1" x14ac:dyDescent="0.3">
      <c r="W629" s="14"/>
    </row>
    <row r="630" spans="23:23" s="12" customFormat="1" ht="11.7" customHeight="1" x14ac:dyDescent="0.3">
      <c r="W630" s="14"/>
    </row>
    <row r="631" spans="23:23" s="12" customFormat="1" ht="11.7" customHeight="1" x14ac:dyDescent="0.3">
      <c r="W631" s="14"/>
    </row>
    <row r="632" spans="23:23" s="12" customFormat="1" ht="11.7" customHeight="1" x14ac:dyDescent="0.3">
      <c r="W632" s="14"/>
    </row>
    <row r="633" spans="23:23" s="12" customFormat="1" ht="11.7" customHeight="1" x14ac:dyDescent="0.3">
      <c r="W633" s="14"/>
    </row>
    <row r="634" spans="23:23" s="12" customFormat="1" ht="11.7" customHeight="1" x14ac:dyDescent="0.3">
      <c r="W634" s="14"/>
    </row>
    <row r="635" spans="23:23" s="12" customFormat="1" ht="11.7" customHeight="1" x14ac:dyDescent="0.3">
      <c r="W635" s="14"/>
    </row>
    <row r="636" spans="23:23" s="12" customFormat="1" ht="11.7" customHeight="1" x14ac:dyDescent="0.3">
      <c r="W636" s="14"/>
    </row>
    <row r="637" spans="23:23" s="12" customFormat="1" ht="11.7" customHeight="1" x14ac:dyDescent="0.3">
      <c r="W637" s="14"/>
    </row>
    <row r="638" spans="23:23" s="12" customFormat="1" ht="11.7" customHeight="1" x14ac:dyDescent="0.3">
      <c r="W638" s="14"/>
    </row>
    <row r="639" spans="23:23" s="12" customFormat="1" ht="11.7" customHeight="1" x14ac:dyDescent="0.3">
      <c r="W639" s="14"/>
    </row>
    <row r="640" spans="23:23" s="12" customFormat="1" ht="11.7" customHeight="1" x14ac:dyDescent="0.3">
      <c r="W640" s="14"/>
    </row>
    <row r="641" spans="23:23" s="12" customFormat="1" ht="11.7" customHeight="1" x14ac:dyDescent="0.3">
      <c r="W641" s="14"/>
    </row>
    <row r="642" spans="23:23" s="12" customFormat="1" ht="11.7" customHeight="1" x14ac:dyDescent="0.3">
      <c r="W642" s="14"/>
    </row>
    <row r="643" spans="23:23" s="12" customFormat="1" ht="11.7" customHeight="1" x14ac:dyDescent="0.3">
      <c r="W643" s="14"/>
    </row>
    <row r="644" spans="23:23" s="12" customFormat="1" ht="11.7" customHeight="1" x14ac:dyDescent="0.3">
      <c r="W644" s="14"/>
    </row>
    <row r="645" spans="23:23" s="12" customFormat="1" ht="11.7" customHeight="1" x14ac:dyDescent="0.3">
      <c r="W645" s="14"/>
    </row>
    <row r="646" spans="23:23" s="12" customFormat="1" ht="11.7" customHeight="1" x14ac:dyDescent="0.3">
      <c r="W646" s="14"/>
    </row>
    <row r="647" spans="23:23" s="12" customFormat="1" ht="11.7" customHeight="1" x14ac:dyDescent="0.3">
      <c r="W647" s="14"/>
    </row>
    <row r="648" spans="23:23" s="12" customFormat="1" ht="11.7" customHeight="1" x14ac:dyDescent="0.3">
      <c r="W648" s="14"/>
    </row>
    <row r="649" spans="23:23" s="12" customFormat="1" ht="11.7" customHeight="1" x14ac:dyDescent="0.3">
      <c r="W649" s="14"/>
    </row>
    <row r="650" spans="23:23" s="12" customFormat="1" ht="11.7" customHeight="1" x14ac:dyDescent="0.3">
      <c r="W650" s="14"/>
    </row>
    <row r="651" spans="23:23" s="12" customFormat="1" ht="11.7" customHeight="1" x14ac:dyDescent="0.3">
      <c r="W651" s="14"/>
    </row>
    <row r="652" spans="23:23" s="12" customFormat="1" ht="11.7" customHeight="1" x14ac:dyDescent="0.3">
      <c r="W652" s="14"/>
    </row>
    <row r="653" spans="23:23" s="12" customFormat="1" ht="11.7" customHeight="1" x14ac:dyDescent="0.3">
      <c r="W653" s="14"/>
    </row>
    <row r="654" spans="23:23" s="12" customFormat="1" ht="11.7" customHeight="1" x14ac:dyDescent="0.3">
      <c r="W654" s="14"/>
    </row>
    <row r="655" spans="23:23" s="12" customFormat="1" ht="11.7" customHeight="1" x14ac:dyDescent="0.3">
      <c r="W655" s="14"/>
    </row>
    <row r="656" spans="23:23" s="12" customFormat="1" ht="11.7" customHeight="1" x14ac:dyDescent="0.3">
      <c r="W656" s="14"/>
    </row>
    <row r="657" spans="23:23" s="12" customFormat="1" ht="11.7" customHeight="1" x14ac:dyDescent="0.3">
      <c r="W657" s="14"/>
    </row>
    <row r="658" spans="23:23" s="12" customFormat="1" ht="11.7" customHeight="1" x14ac:dyDescent="0.3">
      <c r="W658" s="14"/>
    </row>
    <row r="659" spans="23:23" s="12" customFormat="1" ht="11.7" customHeight="1" x14ac:dyDescent="0.3">
      <c r="W659" s="14"/>
    </row>
    <row r="660" spans="23:23" s="12" customFormat="1" ht="11.7" customHeight="1" x14ac:dyDescent="0.3">
      <c r="W660" s="14"/>
    </row>
    <row r="661" spans="23:23" s="12" customFormat="1" ht="11.7" customHeight="1" x14ac:dyDescent="0.3">
      <c r="W661" s="14"/>
    </row>
    <row r="662" spans="23:23" s="12" customFormat="1" ht="11.7" customHeight="1" x14ac:dyDescent="0.3">
      <c r="W662" s="14"/>
    </row>
    <row r="663" spans="23:23" s="12" customFormat="1" ht="11.7" customHeight="1" x14ac:dyDescent="0.3">
      <c r="W663" s="14"/>
    </row>
  </sheetData>
  <mergeCells count="64">
    <mergeCell ref="BU6:BU9"/>
    <mergeCell ref="BV6:BV9"/>
    <mergeCell ref="X6:AL6"/>
    <mergeCell ref="AS6:BG6"/>
    <mergeCell ref="L7:L8"/>
    <mergeCell ref="M7:M8"/>
    <mergeCell ref="N7:N8"/>
    <mergeCell ref="BG7:BG8"/>
    <mergeCell ref="AL7:AL8"/>
    <mergeCell ref="BE7:BE8"/>
    <mergeCell ref="BJ7:BJ8"/>
    <mergeCell ref="BK7:BK8"/>
    <mergeCell ref="BF7:BF8"/>
    <mergeCell ref="BI7:BI8"/>
    <mergeCell ref="BH7:BH8"/>
    <mergeCell ref="BL7:BL8"/>
    <mergeCell ref="AN7:AN8"/>
    <mergeCell ref="AO7:AO8"/>
    <mergeCell ref="AP7:AP8"/>
    <mergeCell ref="A6:A9"/>
    <mergeCell ref="C6:V6"/>
    <mergeCell ref="W6:W9"/>
    <mergeCell ref="B6:B9"/>
    <mergeCell ref="C7:C8"/>
    <mergeCell ref="D7:D8"/>
    <mergeCell ref="E7:E8"/>
    <mergeCell ref="F7:F8"/>
    <mergeCell ref="G7:G8"/>
    <mergeCell ref="H7:H8"/>
    <mergeCell ref="I7:I8"/>
    <mergeCell ref="J7:J8"/>
    <mergeCell ref="K7:K8"/>
    <mergeCell ref="BD7:BD8"/>
    <mergeCell ref="AI1:BD1"/>
    <mergeCell ref="AI2:BD2"/>
    <mergeCell ref="BS6:BS9"/>
    <mergeCell ref="R7:R8"/>
    <mergeCell ref="S7:S8"/>
    <mergeCell ref="T7:T8"/>
    <mergeCell ref="U7:U8"/>
    <mergeCell ref="V7:V8"/>
    <mergeCell ref="AR6:AR7"/>
    <mergeCell ref="BQ6:BQ9"/>
    <mergeCell ref="BR6:BR9"/>
    <mergeCell ref="BM6:BM7"/>
    <mergeCell ref="BN6:BN7"/>
    <mergeCell ref="AJ7:AJ8"/>
    <mergeCell ref="AK7:AK8"/>
    <mergeCell ref="BQ3:BR3"/>
    <mergeCell ref="BQ4:BR4"/>
    <mergeCell ref="AR3:AW3"/>
    <mergeCell ref="C3:L3"/>
    <mergeCell ref="BO6:BO9"/>
    <mergeCell ref="AH7:AH8"/>
    <mergeCell ref="AI7:AI8"/>
    <mergeCell ref="O7:O8"/>
    <mergeCell ref="P7:P8"/>
    <mergeCell ref="Q7:Q8"/>
    <mergeCell ref="AM7:AM8"/>
    <mergeCell ref="C4:L4"/>
    <mergeCell ref="AH4:BE4"/>
    <mergeCell ref="AI5:BD5"/>
    <mergeCell ref="AQ7:AQ8"/>
    <mergeCell ref="BC7:BC8"/>
  </mergeCells>
  <phoneticPr fontId="0" type="noConversion"/>
  <conditionalFormatting sqref="X9">
    <cfRule type="cellIs" dxfId="66" priority="25" operator="greaterThan">
      <formula>$X$9</formula>
    </cfRule>
  </conditionalFormatting>
  <conditionalFormatting sqref="Z9">
    <cfRule type="cellIs" dxfId="65" priority="23" operator="greaterThan">
      <formula>$Z$9</formula>
    </cfRule>
  </conditionalFormatting>
  <conditionalFormatting sqref="AA9">
    <cfRule type="cellIs" dxfId="64" priority="22" operator="greaterThan">
      <formula>$AA$9</formula>
    </cfRule>
  </conditionalFormatting>
  <conditionalFormatting sqref="AB9">
    <cfRule type="cellIs" dxfId="63" priority="21" operator="greaterThan">
      <formula>$AB$9</formula>
    </cfRule>
  </conditionalFormatting>
  <conditionalFormatting sqref="AC9">
    <cfRule type="cellIs" dxfId="62" priority="20" operator="greaterThan">
      <formula>$AC$9</formula>
    </cfRule>
  </conditionalFormatting>
  <conditionalFormatting sqref="AD9">
    <cfRule type="cellIs" dxfId="61" priority="19" operator="greaterThan">
      <formula>$AD$9</formula>
    </cfRule>
  </conditionalFormatting>
  <conditionalFormatting sqref="AE9">
    <cfRule type="cellIs" dxfId="60" priority="18" operator="greaterThan">
      <formula>$AE$9</formula>
    </cfRule>
  </conditionalFormatting>
  <conditionalFormatting sqref="AF9">
    <cfRule type="cellIs" dxfId="59" priority="17" operator="greaterThan">
      <formula>$AF$9</formula>
    </cfRule>
  </conditionalFormatting>
  <conditionalFormatting sqref="AG9">
    <cfRule type="cellIs" dxfId="58" priority="16" operator="greaterThan">
      <formula>$AG$9</formula>
    </cfRule>
  </conditionalFormatting>
  <conditionalFormatting sqref="AS9">
    <cfRule type="cellIs" dxfId="57" priority="15" operator="greaterThan">
      <formula>$AS$9</formula>
    </cfRule>
  </conditionalFormatting>
  <conditionalFormatting sqref="AT9">
    <cfRule type="cellIs" dxfId="56" priority="14" operator="greaterThan">
      <formula>$AT$9</formula>
    </cfRule>
  </conditionalFormatting>
  <conditionalFormatting sqref="AU9">
    <cfRule type="cellIs" dxfId="55" priority="13" operator="greaterThan">
      <formula>$AU$9</formula>
    </cfRule>
  </conditionalFormatting>
  <conditionalFormatting sqref="AV9">
    <cfRule type="cellIs" dxfId="54" priority="12" operator="greaterThan">
      <formula>$AV$9</formula>
    </cfRule>
  </conditionalFormatting>
  <conditionalFormatting sqref="AW9">
    <cfRule type="cellIs" dxfId="53" priority="11" operator="greaterThan">
      <formula>$AW$9</formula>
    </cfRule>
  </conditionalFormatting>
  <conditionalFormatting sqref="AX9">
    <cfRule type="cellIs" dxfId="52" priority="10" operator="greaterThan">
      <formula>$AX$9</formula>
    </cfRule>
  </conditionalFormatting>
  <conditionalFormatting sqref="AY9">
    <cfRule type="cellIs" dxfId="51" priority="9" operator="greaterThan">
      <formula>$AY$9</formula>
    </cfRule>
  </conditionalFormatting>
  <conditionalFormatting sqref="AZ9">
    <cfRule type="cellIs" dxfId="50" priority="8" operator="greaterThan">
      <formula>$AZ$9</formula>
    </cfRule>
  </conditionalFormatting>
  <conditionalFormatting sqref="BA9">
    <cfRule type="cellIs" dxfId="49" priority="7" operator="greaterThan">
      <formula>$BA$9</formula>
    </cfRule>
  </conditionalFormatting>
  <conditionalFormatting sqref="BB9">
    <cfRule type="cellIs" dxfId="48" priority="6" operator="greaterThan">
      <formula>$BB$9</formula>
    </cfRule>
  </conditionalFormatting>
  <conditionalFormatting sqref="BN9:BN59">
    <cfRule type="cellIs" dxfId="47" priority="5" operator="greaterThan">
      <formula>$BN$9</formula>
    </cfRule>
  </conditionalFormatting>
  <conditionalFormatting sqref="BR6:BR59">
    <cfRule type="containsText" dxfId="46" priority="4" operator="containsText" text="failed">
      <formula>NOT(ISERROR(SEARCH("failed",BR6)))</formula>
    </cfRule>
  </conditionalFormatting>
  <conditionalFormatting sqref="Y9">
    <cfRule type="cellIs" dxfId="45" priority="3" operator="greaterThan">
      <formula>$Y$9</formula>
    </cfRule>
  </conditionalFormatting>
  <conditionalFormatting sqref="X10:AG59">
    <cfRule type="expression" priority="2">
      <formula>X$9</formula>
    </cfRule>
  </conditionalFormatting>
  <conditionalFormatting sqref="AS10:BB59">
    <cfRule type="expression" priority="1">
      <formula>AS$9</formula>
    </cfRule>
  </conditionalFormatting>
  <pageMargins left="0.7" right="0.7" top="0.75" bottom="0.75" header="0.3" footer="0.3"/>
  <pageSetup paperSize="256" orientation="landscape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J663"/>
  <sheetViews>
    <sheetView tabSelected="1" zoomScale="115" zoomScaleNormal="115" workbookViewId="0">
      <pane xSplit="2" ySplit="9" topLeftCell="J28" activePane="bottomRight" state="frozen"/>
      <selection pane="topRight" activeCell="C1" sqref="C1"/>
      <selection pane="bottomLeft" activeCell="A10" sqref="A10"/>
      <selection pane="bottomRight" activeCell="J7" sqref="J7:J8"/>
    </sheetView>
  </sheetViews>
  <sheetFormatPr defaultColWidth="9.109375" defaultRowHeight="9.6" x14ac:dyDescent="0.3"/>
  <cols>
    <col min="1" max="1" width="2.33203125" style="12" customWidth="1"/>
    <col min="2" max="2" width="16.6640625" style="13" customWidth="1"/>
    <col min="3" max="18" width="1.44140625" style="12" customWidth="1"/>
    <col min="19" max="22" width="2.6640625" style="12" customWidth="1"/>
    <col min="23" max="23" width="3.6640625" style="47" customWidth="1"/>
    <col min="24" max="29" width="1.6640625" style="12" customWidth="1"/>
    <col min="30" max="32" width="2.6640625" style="12" bestFit="1" customWidth="1"/>
    <col min="33" max="33" width="3.109375" style="12" bestFit="1" customWidth="1"/>
    <col min="34" max="36" width="3.33203125" style="14" customWidth="1"/>
    <col min="37" max="39" width="3.33203125" style="12" customWidth="1"/>
    <col min="40" max="43" width="2.5546875" style="12" bestFit="1" customWidth="1"/>
    <col min="44" max="44" width="3.6640625" style="48" customWidth="1"/>
    <col min="45" max="54" width="1.6640625" style="12" customWidth="1"/>
    <col min="55" max="64" width="3.33203125" style="12" customWidth="1"/>
    <col min="65" max="65" width="3.6640625" style="14" customWidth="1"/>
    <col min="66" max="66" width="3.6640625" style="12" customWidth="1"/>
    <col min="67" max="67" width="3.6640625" style="14" customWidth="1"/>
    <col min="68" max="68" width="0.88671875" style="12" customWidth="1"/>
    <col min="69" max="69" width="3.6640625" style="14" customWidth="1"/>
    <col min="70" max="70" width="4.33203125" style="12" customWidth="1"/>
    <col min="71" max="71" width="16.6640625" style="12" customWidth="1"/>
    <col min="72" max="74" width="25.6640625" style="12" customWidth="1"/>
    <col min="75" max="94" width="2.6640625" style="49" hidden="1" customWidth="1"/>
    <col min="95" max="95" width="7.88671875" style="49" hidden="1" customWidth="1"/>
    <col min="96" max="117" width="9.109375" style="49" hidden="1" customWidth="1"/>
    <col min="118" max="127" width="3.6640625" style="15" hidden="1" customWidth="1"/>
    <col min="128" max="128" width="9.109375" style="12" hidden="1" customWidth="1"/>
    <col min="129" max="138" width="3.6640625" style="12" hidden="1" customWidth="1"/>
    <col min="139" max="140" width="9.109375" style="12" hidden="1" customWidth="1"/>
    <col min="141" max="16384" width="9.109375" style="12"/>
  </cols>
  <sheetData>
    <row r="1" spans="1:140" ht="11.7" customHeight="1" x14ac:dyDescent="0.2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196" t="s">
        <v>107</v>
      </c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</row>
    <row r="2" spans="1:140" ht="11.7" customHeight="1" x14ac:dyDescent="0.3">
      <c r="W2" s="14"/>
      <c r="AI2" s="198" t="s">
        <v>74</v>
      </c>
      <c r="AJ2" s="198"/>
      <c r="AK2" s="198"/>
      <c r="AL2" s="198"/>
      <c r="AM2" s="198"/>
      <c r="AN2" s="198"/>
      <c r="AO2" s="198"/>
      <c r="AP2" s="198"/>
      <c r="AQ2" s="198"/>
      <c r="AR2" s="198"/>
      <c r="AS2" s="198"/>
      <c r="AT2" s="198"/>
      <c r="AU2" s="198"/>
      <c r="AV2" s="198"/>
      <c r="AW2" s="198"/>
      <c r="AX2" s="198"/>
      <c r="AY2" s="198"/>
      <c r="AZ2" s="198"/>
      <c r="BA2" s="198"/>
      <c r="BB2" s="198"/>
      <c r="BC2" s="198"/>
      <c r="BD2" s="198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</row>
    <row r="3" spans="1:140" ht="11.7" customHeight="1" x14ac:dyDescent="0.3">
      <c r="B3" s="113" t="s">
        <v>109</v>
      </c>
      <c r="C3" s="184" t="s">
        <v>229</v>
      </c>
      <c r="D3" s="184"/>
      <c r="E3" s="184"/>
      <c r="F3" s="184"/>
      <c r="G3" s="184"/>
      <c r="H3" s="184"/>
      <c r="I3" s="184"/>
      <c r="J3" s="184"/>
      <c r="K3" s="184"/>
      <c r="L3" s="184"/>
      <c r="W3" s="14"/>
      <c r="AK3" s="68" t="s">
        <v>230</v>
      </c>
      <c r="AL3" s="113" t="s">
        <v>119</v>
      </c>
      <c r="AR3" s="183" t="s">
        <v>231</v>
      </c>
      <c r="AS3" s="183"/>
      <c r="AT3" s="183"/>
      <c r="AU3" s="183"/>
      <c r="AV3" s="183"/>
      <c r="AW3" s="183"/>
      <c r="BQ3" s="182" t="s">
        <v>111</v>
      </c>
      <c r="BR3" s="182"/>
      <c r="BS3" s="13" t="e">
        <f>IF(PRELIM!BS3="","",PRELIM!BS3)</f>
        <v>#REF!</v>
      </c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</row>
    <row r="4" spans="1:140" ht="11.7" customHeight="1" x14ac:dyDescent="0.3">
      <c r="B4" s="113" t="s">
        <v>108</v>
      </c>
      <c r="C4" s="184" t="s">
        <v>232</v>
      </c>
      <c r="D4" s="184"/>
      <c r="E4" s="184"/>
      <c r="F4" s="184"/>
      <c r="G4" s="184"/>
      <c r="H4" s="184"/>
      <c r="I4" s="184"/>
      <c r="J4" s="184"/>
      <c r="K4" s="184"/>
      <c r="L4" s="184"/>
      <c r="W4" s="14"/>
      <c r="AH4" s="194" t="s">
        <v>233</v>
      </c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Q4" s="182" t="s">
        <v>112</v>
      </c>
      <c r="BR4" s="182"/>
      <c r="BS4" s="13" t="e">
        <f>IF(PRELIM!BS4="","",PRELIM!BS4)</f>
        <v>#REF!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</row>
    <row r="5" spans="1:140" ht="11.7" customHeight="1" x14ac:dyDescent="0.3">
      <c r="W5" s="14"/>
      <c r="AI5" s="195" t="s">
        <v>110</v>
      </c>
      <c r="AJ5" s="195"/>
      <c r="AK5" s="195"/>
      <c r="AL5" s="195"/>
      <c r="AM5" s="195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</row>
    <row r="6" spans="1:140" ht="15" customHeight="1" x14ac:dyDescent="0.3">
      <c r="A6" s="208"/>
      <c r="B6" s="228" t="s">
        <v>0</v>
      </c>
      <c r="C6" s="231" t="s">
        <v>1</v>
      </c>
      <c r="D6" s="231"/>
      <c r="E6" s="231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02" t="s">
        <v>3</v>
      </c>
      <c r="X6" s="219" t="s">
        <v>36</v>
      </c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16"/>
      <c r="AN6" s="16"/>
      <c r="AO6" s="16"/>
      <c r="AP6" s="16"/>
      <c r="AQ6" s="17"/>
      <c r="AR6" s="224" t="s">
        <v>106</v>
      </c>
      <c r="AS6" s="221" t="s">
        <v>127</v>
      </c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18"/>
      <c r="BI6" s="18"/>
      <c r="BJ6" s="18"/>
      <c r="BK6" s="18"/>
      <c r="BL6" s="19"/>
      <c r="BM6" s="225" t="s">
        <v>106</v>
      </c>
      <c r="BN6" s="227" t="s">
        <v>2</v>
      </c>
      <c r="BO6" s="226" t="s">
        <v>37</v>
      </c>
      <c r="BP6" s="20"/>
      <c r="BQ6" s="202" t="s">
        <v>52</v>
      </c>
      <c r="BR6" s="203" t="s">
        <v>35</v>
      </c>
      <c r="BS6" s="199" t="s">
        <v>72</v>
      </c>
      <c r="BW6" s="21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23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23"/>
      <c r="EJ6" s="23"/>
    </row>
    <row r="7" spans="1:140" ht="15" customHeight="1" x14ac:dyDescent="0.3">
      <c r="A7" s="208"/>
      <c r="B7" s="229"/>
      <c r="C7" s="190">
        <v>45824</v>
      </c>
      <c r="D7" s="190">
        <v>45825</v>
      </c>
      <c r="E7" s="190">
        <v>45826</v>
      </c>
      <c r="F7" s="190">
        <v>45827</v>
      </c>
      <c r="G7" s="190">
        <v>45828</v>
      </c>
      <c r="H7" s="190">
        <v>45831</v>
      </c>
      <c r="I7" s="190">
        <v>45832</v>
      </c>
      <c r="J7" s="190">
        <v>45833</v>
      </c>
      <c r="K7" s="190">
        <v>45834</v>
      </c>
      <c r="L7" s="190">
        <v>45835</v>
      </c>
      <c r="M7" s="190">
        <v>45839</v>
      </c>
      <c r="N7" s="190"/>
      <c r="O7" s="232"/>
      <c r="P7" s="232"/>
      <c r="Q7" s="232"/>
      <c r="R7" s="232"/>
      <c r="S7" s="232"/>
      <c r="T7" s="232"/>
      <c r="U7" s="232"/>
      <c r="V7" s="232"/>
      <c r="W7" s="202"/>
      <c r="X7" s="25"/>
      <c r="Y7" s="25"/>
      <c r="Z7" s="25"/>
      <c r="AA7" s="25"/>
      <c r="AB7" s="25"/>
      <c r="AC7" s="25"/>
      <c r="AD7" s="24"/>
      <c r="AE7" s="24"/>
      <c r="AF7" s="24"/>
      <c r="AG7" s="24"/>
      <c r="AH7" s="223" t="s">
        <v>38</v>
      </c>
      <c r="AI7" s="223" t="s">
        <v>39</v>
      </c>
      <c r="AJ7" s="223" t="s">
        <v>40</v>
      </c>
      <c r="AK7" s="203" t="s">
        <v>41</v>
      </c>
      <c r="AL7" s="203" t="s">
        <v>42</v>
      </c>
      <c r="AM7" s="203" t="s">
        <v>43</v>
      </c>
      <c r="AN7" s="223" t="s">
        <v>44</v>
      </c>
      <c r="AO7" s="223" t="s">
        <v>45</v>
      </c>
      <c r="AP7" s="203" t="s">
        <v>56</v>
      </c>
      <c r="AQ7" s="203" t="s">
        <v>57</v>
      </c>
      <c r="AR7" s="224"/>
      <c r="AS7" s="25"/>
      <c r="AT7" s="24"/>
      <c r="AU7" s="25"/>
      <c r="AV7" s="25"/>
      <c r="AW7" s="24"/>
      <c r="AX7" s="24"/>
      <c r="AY7" s="24"/>
      <c r="AZ7" s="24"/>
      <c r="BA7" s="24"/>
      <c r="BB7" s="24"/>
      <c r="BC7" s="203" t="s">
        <v>46</v>
      </c>
      <c r="BD7" s="203" t="s">
        <v>47</v>
      </c>
      <c r="BE7" s="203" t="s">
        <v>48</v>
      </c>
      <c r="BF7" s="203" t="s">
        <v>49</v>
      </c>
      <c r="BG7" s="203" t="s">
        <v>50</v>
      </c>
      <c r="BH7" s="203" t="s">
        <v>51</v>
      </c>
      <c r="BI7" s="203" t="s">
        <v>66</v>
      </c>
      <c r="BJ7" s="203" t="s">
        <v>67</v>
      </c>
      <c r="BK7" s="203" t="s">
        <v>68</v>
      </c>
      <c r="BL7" s="203" t="s">
        <v>69</v>
      </c>
      <c r="BM7" s="225"/>
      <c r="BN7" s="227"/>
      <c r="BO7" s="226"/>
      <c r="BP7" s="20"/>
      <c r="BQ7" s="202"/>
      <c r="BR7" s="203"/>
      <c r="BS7" s="199"/>
      <c r="BW7" s="21">
        <f t="shared" ref="BW7:CP7" si="0">IF(C7="",0,1)</f>
        <v>1</v>
      </c>
      <c r="BX7" s="22">
        <f t="shared" si="0"/>
        <v>1</v>
      </c>
      <c r="BY7" s="22">
        <f t="shared" si="0"/>
        <v>1</v>
      </c>
      <c r="BZ7" s="22">
        <f t="shared" si="0"/>
        <v>1</v>
      </c>
      <c r="CA7" s="22">
        <f t="shared" si="0"/>
        <v>1</v>
      </c>
      <c r="CB7" s="22">
        <f t="shared" si="0"/>
        <v>1</v>
      </c>
      <c r="CC7" s="22">
        <f t="shared" si="0"/>
        <v>1</v>
      </c>
      <c r="CD7" s="22">
        <f t="shared" si="0"/>
        <v>1</v>
      </c>
      <c r="CE7" s="22">
        <f t="shared" si="0"/>
        <v>1</v>
      </c>
      <c r="CF7" s="22">
        <f t="shared" si="0"/>
        <v>1</v>
      </c>
      <c r="CG7" s="22">
        <f t="shared" si="0"/>
        <v>1</v>
      </c>
      <c r="CH7" s="22">
        <f t="shared" si="0"/>
        <v>0</v>
      </c>
      <c r="CI7" s="22">
        <f t="shared" si="0"/>
        <v>0</v>
      </c>
      <c r="CJ7" s="22">
        <f t="shared" si="0"/>
        <v>0</v>
      </c>
      <c r="CK7" s="22">
        <f t="shared" si="0"/>
        <v>0</v>
      </c>
      <c r="CL7" s="22">
        <f t="shared" si="0"/>
        <v>0</v>
      </c>
      <c r="CM7" s="22">
        <f t="shared" si="0"/>
        <v>0</v>
      </c>
      <c r="CN7" s="22">
        <f t="shared" si="0"/>
        <v>0</v>
      </c>
      <c r="CO7" s="22">
        <f t="shared" si="0"/>
        <v>0</v>
      </c>
      <c r="CP7" s="22">
        <f t="shared" si="0"/>
        <v>0</v>
      </c>
      <c r="CQ7" s="22">
        <f>SUM(BW7:CP7)</f>
        <v>11</v>
      </c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6">
        <v>1</v>
      </c>
      <c r="DO7" s="26">
        <v>2</v>
      </c>
      <c r="DP7" s="26">
        <v>3</v>
      </c>
      <c r="DQ7" s="26">
        <v>4</v>
      </c>
      <c r="DR7" s="26">
        <v>5</v>
      </c>
      <c r="DS7" s="26">
        <v>6</v>
      </c>
      <c r="DT7" s="26">
        <v>7</v>
      </c>
      <c r="DU7" s="26">
        <v>8</v>
      </c>
      <c r="DV7" s="26">
        <v>9</v>
      </c>
      <c r="DW7" s="26">
        <v>10</v>
      </c>
      <c r="DX7" s="23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3"/>
      <c r="EJ7" s="23"/>
    </row>
    <row r="8" spans="1:140" ht="11.7" customHeight="1" x14ac:dyDescent="0.3">
      <c r="A8" s="208"/>
      <c r="B8" s="229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232"/>
      <c r="P8" s="232"/>
      <c r="Q8" s="232"/>
      <c r="R8" s="232"/>
      <c r="S8" s="232"/>
      <c r="T8" s="232"/>
      <c r="U8" s="232"/>
      <c r="V8" s="232"/>
      <c r="W8" s="202"/>
      <c r="X8" s="38" t="s">
        <v>4</v>
      </c>
      <c r="Y8" s="38" t="s">
        <v>5</v>
      </c>
      <c r="Z8" s="38" t="s">
        <v>6</v>
      </c>
      <c r="AA8" s="38" t="s">
        <v>7</v>
      </c>
      <c r="AB8" s="38" t="s">
        <v>8</v>
      </c>
      <c r="AC8" s="38" t="s">
        <v>12</v>
      </c>
      <c r="AD8" s="38" t="s">
        <v>13</v>
      </c>
      <c r="AE8" s="38" t="s">
        <v>14</v>
      </c>
      <c r="AF8" s="38" t="s">
        <v>54</v>
      </c>
      <c r="AG8" s="38" t="s">
        <v>55</v>
      </c>
      <c r="AH8" s="223"/>
      <c r="AI8" s="223"/>
      <c r="AJ8" s="223"/>
      <c r="AK8" s="203"/>
      <c r="AL8" s="203"/>
      <c r="AM8" s="203"/>
      <c r="AN8" s="223"/>
      <c r="AO8" s="223"/>
      <c r="AP8" s="203"/>
      <c r="AQ8" s="203"/>
      <c r="AR8" s="28"/>
      <c r="AS8" s="38" t="s">
        <v>9</v>
      </c>
      <c r="AT8" s="38" t="s">
        <v>10</v>
      </c>
      <c r="AU8" s="38" t="s">
        <v>11</v>
      </c>
      <c r="AV8" s="38" t="s">
        <v>15</v>
      </c>
      <c r="AW8" s="38" t="s">
        <v>16</v>
      </c>
      <c r="AX8" s="38" t="s">
        <v>17</v>
      </c>
      <c r="AY8" s="38" t="s">
        <v>62</v>
      </c>
      <c r="AZ8" s="38" t="s">
        <v>63</v>
      </c>
      <c r="BA8" s="38" t="s">
        <v>64</v>
      </c>
      <c r="BB8" s="38" t="s">
        <v>65</v>
      </c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9"/>
      <c r="BN8" s="121"/>
      <c r="BO8" s="226"/>
      <c r="BP8" s="20"/>
      <c r="BQ8" s="202"/>
      <c r="BR8" s="203"/>
      <c r="BS8" s="199"/>
      <c r="BW8" s="21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3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3"/>
      <c r="EJ8" s="23"/>
    </row>
    <row r="9" spans="1:140" ht="11.7" customHeight="1" x14ac:dyDescent="0.3">
      <c r="A9" s="208"/>
      <c r="B9" s="23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202"/>
      <c r="X9" s="30">
        <v>10</v>
      </c>
      <c r="Y9" s="30">
        <v>10</v>
      </c>
      <c r="Z9" s="30">
        <v>10</v>
      </c>
      <c r="AA9" s="30">
        <v>10</v>
      </c>
      <c r="AB9" s="30">
        <v>10</v>
      </c>
      <c r="AC9" s="30">
        <v>10</v>
      </c>
      <c r="AD9" s="30">
        <v>10</v>
      </c>
      <c r="AE9" s="30"/>
      <c r="AF9" s="30"/>
      <c r="AG9" s="30"/>
      <c r="AH9" s="31">
        <f t="shared" ref="AH9:AQ9" si="1">IF(X9="",0,X9/X9)</f>
        <v>1</v>
      </c>
      <c r="AI9" s="31">
        <f t="shared" si="1"/>
        <v>1</v>
      </c>
      <c r="AJ9" s="31">
        <f t="shared" si="1"/>
        <v>1</v>
      </c>
      <c r="AK9" s="31">
        <f t="shared" si="1"/>
        <v>1</v>
      </c>
      <c r="AL9" s="31">
        <f t="shared" si="1"/>
        <v>1</v>
      </c>
      <c r="AM9" s="31">
        <f t="shared" si="1"/>
        <v>1</v>
      </c>
      <c r="AN9" s="31">
        <f t="shared" si="1"/>
        <v>1</v>
      </c>
      <c r="AO9" s="31">
        <f t="shared" si="1"/>
        <v>0</v>
      </c>
      <c r="AP9" s="31">
        <f t="shared" si="1"/>
        <v>0</v>
      </c>
      <c r="AQ9" s="31">
        <f t="shared" si="1"/>
        <v>0</v>
      </c>
      <c r="AR9" s="32">
        <f>SUM(AH9:AQ9)</f>
        <v>7</v>
      </c>
      <c r="AS9" s="33">
        <v>100</v>
      </c>
      <c r="AT9" s="33">
        <v>100</v>
      </c>
      <c r="AU9" s="33"/>
      <c r="AV9" s="33"/>
      <c r="AW9" s="33"/>
      <c r="AX9" s="33"/>
      <c r="AY9" s="33"/>
      <c r="AZ9" s="33"/>
      <c r="BA9" s="33"/>
      <c r="BB9" s="33"/>
      <c r="BC9" s="31">
        <f t="shared" ref="BC9:BL9" si="2">IF(AS9="",0,AS9/AS9)</f>
        <v>1</v>
      </c>
      <c r="BD9" s="31">
        <f t="shared" si="2"/>
        <v>1</v>
      </c>
      <c r="BE9" s="31">
        <f t="shared" si="2"/>
        <v>0</v>
      </c>
      <c r="BF9" s="31">
        <f t="shared" si="2"/>
        <v>0</v>
      </c>
      <c r="BG9" s="31">
        <f t="shared" si="2"/>
        <v>0</v>
      </c>
      <c r="BH9" s="31">
        <f t="shared" si="2"/>
        <v>0</v>
      </c>
      <c r="BI9" s="31">
        <f t="shared" si="2"/>
        <v>0</v>
      </c>
      <c r="BJ9" s="31">
        <f t="shared" si="2"/>
        <v>0</v>
      </c>
      <c r="BK9" s="31">
        <f t="shared" si="2"/>
        <v>0</v>
      </c>
      <c r="BL9" s="31">
        <f t="shared" si="2"/>
        <v>0</v>
      </c>
      <c r="BM9" s="34">
        <f>SUM(BC9:BL9)</f>
        <v>2</v>
      </c>
      <c r="BN9" s="35">
        <v>100</v>
      </c>
      <c r="BO9" s="226"/>
      <c r="BP9" s="20"/>
      <c r="BQ9" s="202"/>
      <c r="BR9" s="203"/>
      <c r="BS9" s="199"/>
      <c r="BW9" s="21" t="s">
        <v>18</v>
      </c>
      <c r="BX9" s="22" t="s">
        <v>19</v>
      </c>
      <c r="BY9" s="22" t="s">
        <v>20</v>
      </c>
      <c r="BZ9" s="22" t="s">
        <v>21</v>
      </c>
      <c r="CA9" s="22" t="s">
        <v>22</v>
      </c>
      <c r="CB9" s="22" t="s">
        <v>23</v>
      </c>
      <c r="CC9" s="22" t="s">
        <v>24</v>
      </c>
      <c r="CD9" s="22" t="s">
        <v>25</v>
      </c>
      <c r="CE9" s="22" t="s">
        <v>26</v>
      </c>
      <c r="CF9" s="22" t="s">
        <v>27</v>
      </c>
      <c r="CG9" s="22" t="s">
        <v>28</v>
      </c>
      <c r="CH9" s="22" t="s">
        <v>29</v>
      </c>
      <c r="CI9" s="22" t="s">
        <v>30</v>
      </c>
      <c r="CJ9" s="22" t="s">
        <v>31</v>
      </c>
      <c r="CK9" s="22" t="s">
        <v>32</v>
      </c>
      <c r="CL9" s="22" t="s">
        <v>33</v>
      </c>
      <c r="CM9" s="22" t="s">
        <v>58</v>
      </c>
      <c r="CN9" s="22" t="s">
        <v>59</v>
      </c>
      <c r="CO9" s="22" t="s">
        <v>60</v>
      </c>
      <c r="CP9" s="22" t="s">
        <v>61</v>
      </c>
      <c r="CQ9" s="22" t="s">
        <v>34</v>
      </c>
      <c r="CR9" s="22">
        <f t="shared" ref="CR9:CR59" si="3">$CQ$7</f>
        <v>11</v>
      </c>
      <c r="CS9" s="22" t="s">
        <v>85</v>
      </c>
      <c r="CT9" s="22" t="s">
        <v>86</v>
      </c>
      <c r="CU9" s="22" t="s">
        <v>87</v>
      </c>
      <c r="CV9" s="22" t="s">
        <v>88</v>
      </c>
      <c r="CW9" s="22" t="s">
        <v>89</v>
      </c>
      <c r="CX9" s="22" t="s">
        <v>90</v>
      </c>
      <c r="CY9" s="22" t="s">
        <v>91</v>
      </c>
      <c r="CZ9" s="22" t="s">
        <v>92</v>
      </c>
      <c r="DA9" s="22" t="s">
        <v>93</v>
      </c>
      <c r="DB9" s="22" t="s">
        <v>94</v>
      </c>
      <c r="DC9" s="22" t="s">
        <v>95</v>
      </c>
      <c r="DD9" s="22" t="s">
        <v>96</v>
      </c>
      <c r="DE9" s="22" t="s">
        <v>97</v>
      </c>
      <c r="DF9" s="22" t="s">
        <v>98</v>
      </c>
      <c r="DG9" s="22" t="s">
        <v>99</v>
      </c>
      <c r="DH9" s="22" t="s">
        <v>100</v>
      </c>
      <c r="DI9" s="22" t="s">
        <v>101</v>
      </c>
      <c r="DJ9" s="22" t="s">
        <v>102</v>
      </c>
      <c r="DK9" s="22" t="s">
        <v>103</v>
      </c>
      <c r="DL9" s="22" t="s">
        <v>104</v>
      </c>
      <c r="DM9" s="22" t="s">
        <v>105</v>
      </c>
      <c r="DN9" s="36">
        <f t="shared" ref="DN9:DW9" si="4">X9</f>
        <v>10</v>
      </c>
      <c r="DO9" s="36">
        <f t="shared" si="4"/>
        <v>10</v>
      </c>
      <c r="DP9" s="36">
        <f t="shared" si="4"/>
        <v>10</v>
      </c>
      <c r="DQ9" s="36">
        <f t="shared" si="4"/>
        <v>10</v>
      </c>
      <c r="DR9" s="36">
        <f t="shared" si="4"/>
        <v>10</v>
      </c>
      <c r="DS9" s="36">
        <f t="shared" si="4"/>
        <v>10</v>
      </c>
      <c r="DT9" s="36">
        <f t="shared" si="4"/>
        <v>10</v>
      </c>
      <c r="DU9" s="36">
        <f t="shared" si="4"/>
        <v>0</v>
      </c>
      <c r="DV9" s="36">
        <f t="shared" si="4"/>
        <v>0</v>
      </c>
      <c r="DW9" s="36">
        <f t="shared" si="4"/>
        <v>0</v>
      </c>
      <c r="DX9" s="23"/>
      <c r="DY9" s="23">
        <f t="shared" ref="DY9:EH9" si="5">AS9</f>
        <v>100</v>
      </c>
      <c r="DZ9" s="23">
        <f t="shared" si="5"/>
        <v>100</v>
      </c>
      <c r="EA9" s="23">
        <f t="shared" si="5"/>
        <v>0</v>
      </c>
      <c r="EB9" s="23">
        <f t="shared" si="5"/>
        <v>0</v>
      </c>
      <c r="EC9" s="23">
        <f t="shared" si="5"/>
        <v>0</v>
      </c>
      <c r="ED9" s="23">
        <f t="shared" si="5"/>
        <v>0</v>
      </c>
      <c r="EE9" s="23">
        <f t="shared" si="5"/>
        <v>0</v>
      </c>
      <c r="EF9" s="23">
        <f t="shared" si="5"/>
        <v>0</v>
      </c>
      <c r="EG9" s="23">
        <f t="shared" si="5"/>
        <v>0</v>
      </c>
      <c r="EH9" s="23">
        <f t="shared" si="5"/>
        <v>0</v>
      </c>
      <c r="EI9" s="23">
        <f>BM9</f>
        <v>2</v>
      </c>
      <c r="EJ9" s="23">
        <f>BN9</f>
        <v>100</v>
      </c>
    </row>
    <row r="10" spans="1:140" ht="9.9" customHeight="1" x14ac:dyDescent="0.3">
      <c r="A10" s="23">
        <v>1</v>
      </c>
      <c r="B10" s="37" t="str">
        <f>IF(PRELIM!B10="","",PRELIM!B10)</f>
        <v>AIDAROS, ANALIE B.</v>
      </c>
      <c r="C10" s="69" t="s">
        <v>190</v>
      </c>
      <c r="D10" s="69" t="s">
        <v>190</v>
      </c>
      <c r="E10" s="69" t="s">
        <v>190</v>
      </c>
      <c r="F10" s="69" t="s">
        <v>190</v>
      </c>
      <c r="G10" s="69" t="s">
        <v>190</v>
      </c>
      <c r="H10" s="69" t="s">
        <v>190</v>
      </c>
      <c r="I10" s="69" t="s">
        <v>190</v>
      </c>
      <c r="J10" s="69" t="s">
        <v>190</v>
      </c>
      <c r="K10" s="69" t="s">
        <v>190</v>
      </c>
      <c r="L10" s="69" t="s">
        <v>190</v>
      </c>
      <c r="M10" s="69" t="s">
        <v>190</v>
      </c>
      <c r="N10" s="69"/>
      <c r="O10" s="38"/>
      <c r="P10" s="38"/>
      <c r="Q10" s="38"/>
      <c r="R10" s="38"/>
      <c r="S10" s="38"/>
      <c r="T10" s="38"/>
      <c r="U10" s="38"/>
      <c r="V10" s="38"/>
      <c r="W10" s="39">
        <f t="shared" ref="W10:W59" si="6">((CQ10/CR10)*60)+40</f>
        <v>100</v>
      </c>
      <c r="X10" s="38">
        <v>5</v>
      </c>
      <c r="Y10" s="38">
        <v>0</v>
      </c>
      <c r="Z10" s="38">
        <v>7</v>
      </c>
      <c r="AA10" s="38">
        <v>9</v>
      </c>
      <c r="AB10" s="38">
        <v>6</v>
      </c>
      <c r="AC10" s="38">
        <v>7</v>
      </c>
      <c r="AD10" s="38">
        <v>8</v>
      </c>
      <c r="AE10" s="38"/>
      <c r="AF10" s="38"/>
      <c r="AG10" s="38"/>
      <c r="AH10" s="40">
        <f t="shared" ref="AH10:AQ35" si="7">IF(DN10&gt;=1,(((X10/DN10)*60)+40)," ")</f>
        <v>70</v>
      </c>
      <c r="AI10" s="40">
        <f t="shared" si="7"/>
        <v>40</v>
      </c>
      <c r="AJ10" s="40">
        <f t="shared" si="7"/>
        <v>82</v>
      </c>
      <c r="AK10" s="40">
        <f t="shared" si="7"/>
        <v>94</v>
      </c>
      <c r="AL10" s="40">
        <f t="shared" si="7"/>
        <v>76</v>
      </c>
      <c r="AM10" s="40">
        <f t="shared" si="7"/>
        <v>82</v>
      </c>
      <c r="AN10" s="40">
        <f t="shared" si="7"/>
        <v>88</v>
      </c>
      <c r="AO10" s="40" t="str">
        <f t="shared" si="7"/>
        <v xml:space="preserve"> </v>
      </c>
      <c r="AP10" s="40" t="str">
        <f t="shared" si="7"/>
        <v xml:space="preserve"> </v>
      </c>
      <c r="AQ10" s="40" t="str">
        <f t="shared" si="7"/>
        <v xml:space="preserve"> </v>
      </c>
      <c r="AR10" s="41">
        <f t="shared" ref="AR10:AR59" si="8">(SUM(AH10:AQ10))/DX10</f>
        <v>76</v>
      </c>
      <c r="AS10" s="38">
        <v>100</v>
      </c>
      <c r="AT10" s="164">
        <f>ROUND(W10,0)</f>
        <v>100</v>
      </c>
      <c r="AU10" s="38"/>
      <c r="AV10" s="38"/>
      <c r="AW10" s="38"/>
      <c r="AX10" s="38"/>
      <c r="AY10" s="38"/>
      <c r="AZ10" s="38"/>
      <c r="BA10" s="38"/>
      <c r="BB10" s="38"/>
      <c r="BC10" s="42">
        <f t="shared" ref="BC10:BL35" si="9">IF(DY10&gt;=1,(((AS10/DY10)*60)+40)," ")</f>
        <v>100</v>
      </c>
      <c r="BD10" s="42">
        <f t="shared" si="9"/>
        <v>100</v>
      </c>
      <c r="BE10" s="42" t="str">
        <f t="shared" si="9"/>
        <v xml:space="preserve"> </v>
      </c>
      <c r="BF10" s="42" t="str">
        <f t="shared" si="9"/>
        <v xml:space="preserve"> </v>
      </c>
      <c r="BG10" s="42" t="str">
        <f t="shared" si="9"/>
        <v xml:space="preserve"> </v>
      </c>
      <c r="BH10" s="42" t="str">
        <f t="shared" si="9"/>
        <v xml:space="preserve"> </v>
      </c>
      <c r="BI10" s="42" t="str">
        <f t="shared" si="9"/>
        <v xml:space="preserve"> </v>
      </c>
      <c r="BJ10" s="42" t="str">
        <f t="shared" si="9"/>
        <v xml:space="preserve"> </v>
      </c>
      <c r="BK10" s="42" t="str">
        <f t="shared" si="9"/>
        <v xml:space="preserve"> </v>
      </c>
      <c r="BL10" s="42" t="str">
        <f t="shared" si="9"/>
        <v xml:space="preserve"> </v>
      </c>
      <c r="BM10" s="43">
        <f t="shared" ref="BM10:BM59" si="10">(SUM(BC10:BL10))/EI10</f>
        <v>100</v>
      </c>
      <c r="BN10" s="38">
        <v>66</v>
      </c>
      <c r="BO10" s="44">
        <f t="shared" ref="BO10:BO59" si="11">((BN10/EJ10)*60)+40</f>
        <v>79.599999999999994</v>
      </c>
      <c r="BP10" s="20"/>
      <c r="BQ10" s="39">
        <f>(W10*0.05)+(AR10*0.25)+(BM10*0.15)+(BO10*0.55)</f>
        <v>82.78</v>
      </c>
      <c r="BR10" s="23" t="str">
        <f>IF(BQ10&gt;=74.5,"PASSED","FAILED")</f>
        <v>PASSED</v>
      </c>
      <c r="BS10" s="45"/>
      <c r="BT10" s="46"/>
      <c r="BU10" s="46"/>
      <c r="BV10" s="46"/>
      <c r="BW10" s="21">
        <f t="shared" ref="BW10:CL25" si="12">IF(C10="P",1,IF(C10="L",1,""))</f>
        <v>1</v>
      </c>
      <c r="BX10" s="22">
        <f t="shared" si="12"/>
        <v>1</v>
      </c>
      <c r="BY10" s="22">
        <f t="shared" si="12"/>
        <v>1</v>
      </c>
      <c r="BZ10" s="22">
        <f t="shared" si="12"/>
        <v>1</v>
      </c>
      <c r="CA10" s="22">
        <f t="shared" si="12"/>
        <v>1</v>
      </c>
      <c r="CB10" s="22">
        <f t="shared" si="12"/>
        <v>1</v>
      </c>
      <c r="CC10" s="22">
        <f t="shared" si="12"/>
        <v>1</v>
      </c>
      <c r="CD10" s="22">
        <f t="shared" si="12"/>
        <v>1</v>
      </c>
      <c r="CE10" s="22">
        <f t="shared" si="12"/>
        <v>1</v>
      </c>
      <c r="CF10" s="22">
        <f t="shared" si="12"/>
        <v>1</v>
      </c>
      <c r="CG10" s="22">
        <f t="shared" si="12"/>
        <v>1</v>
      </c>
      <c r="CH10" s="22" t="str">
        <f t="shared" si="12"/>
        <v/>
      </c>
      <c r="CI10" s="22" t="str">
        <f t="shared" si="12"/>
        <v/>
      </c>
      <c r="CJ10" s="22" t="str">
        <f t="shared" si="12"/>
        <v/>
      </c>
      <c r="CK10" s="22" t="str">
        <f t="shared" si="12"/>
        <v/>
      </c>
      <c r="CL10" s="22" t="str">
        <f t="shared" si="12"/>
        <v/>
      </c>
      <c r="CM10" s="22" t="str">
        <f t="shared" ref="CM10:CP41" si="13">IF(S10="P",1,IF(S10="L",1,""))</f>
        <v/>
      </c>
      <c r="CN10" s="22" t="str">
        <f t="shared" si="13"/>
        <v/>
      </c>
      <c r="CO10" s="22" t="str">
        <f t="shared" si="13"/>
        <v/>
      </c>
      <c r="CP10" s="22" t="str">
        <f t="shared" si="13"/>
        <v/>
      </c>
      <c r="CQ10" s="22">
        <f>(SUM(BW10:CP10))-DM10</f>
        <v>11</v>
      </c>
      <c r="CR10" s="22">
        <f t="shared" si="3"/>
        <v>11</v>
      </c>
      <c r="CS10" s="22" t="str">
        <f t="shared" ref="CS10:DH25" si="14">IF(C10="l",1,"")</f>
        <v/>
      </c>
      <c r="CT10" s="22" t="str">
        <f t="shared" si="14"/>
        <v/>
      </c>
      <c r="CU10" s="22" t="str">
        <f t="shared" si="14"/>
        <v/>
      </c>
      <c r="CV10" s="22" t="str">
        <f t="shared" si="14"/>
        <v/>
      </c>
      <c r="CW10" s="22" t="str">
        <f t="shared" si="14"/>
        <v/>
      </c>
      <c r="CX10" s="22" t="str">
        <f t="shared" si="14"/>
        <v/>
      </c>
      <c r="CY10" s="22" t="str">
        <f t="shared" si="14"/>
        <v/>
      </c>
      <c r="CZ10" s="22" t="str">
        <f t="shared" si="14"/>
        <v/>
      </c>
      <c r="DA10" s="22" t="str">
        <f t="shared" si="14"/>
        <v/>
      </c>
      <c r="DB10" s="22" t="str">
        <f t="shared" si="14"/>
        <v/>
      </c>
      <c r="DC10" s="22" t="str">
        <f t="shared" si="14"/>
        <v/>
      </c>
      <c r="DD10" s="22" t="str">
        <f t="shared" si="14"/>
        <v/>
      </c>
      <c r="DE10" s="22" t="str">
        <f t="shared" si="14"/>
        <v/>
      </c>
      <c r="DF10" s="22" t="str">
        <f t="shared" si="14"/>
        <v/>
      </c>
      <c r="DG10" s="22" t="str">
        <f t="shared" si="14"/>
        <v/>
      </c>
      <c r="DH10" s="22" t="str">
        <f t="shared" si="14"/>
        <v/>
      </c>
      <c r="DI10" s="22" t="str">
        <f t="shared" ref="DI10:DL41" si="15">IF(S10="l",1,"")</f>
        <v/>
      </c>
      <c r="DJ10" s="22" t="str">
        <f t="shared" si="15"/>
        <v/>
      </c>
      <c r="DK10" s="22" t="str">
        <f t="shared" si="15"/>
        <v/>
      </c>
      <c r="DL10" s="22" t="str">
        <f t="shared" si="15"/>
        <v/>
      </c>
      <c r="DM10" s="22">
        <f t="shared" ref="DM10:DM59" si="16">TRUNC(((SUM(CS10:DL10))/3),0)</f>
        <v>0</v>
      </c>
      <c r="DN10" s="36">
        <f t="shared" ref="DN10:DX25" si="17">DN9</f>
        <v>10</v>
      </c>
      <c r="DO10" s="36">
        <f t="shared" si="17"/>
        <v>10</v>
      </c>
      <c r="DP10" s="36">
        <f t="shared" si="17"/>
        <v>10</v>
      </c>
      <c r="DQ10" s="36">
        <f t="shared" si="17"/>
        <v>10</v>
      </c>
      <c r="DR10" s="36">
        <f t="shared" si="17"/>
        <v>10</v>
      </c>
      <c r="DS10" s="36">
        <f t="shared" si="17"/>
        <v>10</v>
      </c>
      <c r="DT10" s="36">
        <f t="shared" si="17"/>
        <v>10</v>
      </c>
      <c r="DU10" s="36">
        <f t="shared" si="17"/>
        <v>0</v>
      </c>
      <c r="DV10" s="36">
        <f t="shared" si="17"/>
        <v>0</v>
      </c>
      <c r="DW10" s="36">
        <f t="shared" si="17"/>
        <v>0</v>
      </c>
      <c r="DX10" s="23">
        <f>AR9</f>
        <v>7</v>
      </c>
      <c r="DY10" s="23">
        <f t="shared" ref="DY10:DY26" si="18">DY9</f>
        <v>100</v>
      </c>
      <c r="DZ10" s="23">
        <f t="shared" ref="DZ10:EJ25" si="19">DZ9</f>
        <v>100</v>
      </c>
      <c r="EA10" s="23">
        <f t="shared" si="19"/>
        <v>0</v>
      </c>
      <c r="EB10" s="23">
        <f t="shared" si="19"/>
        <v>0</v>
      </c>
      <c r="EC10" s="23">
        <f t="shared" si="19"/>
        <v>0</v>
      </c>
      <c r="ED10" s="23">
        <f t="shared" si="19"/>
        <v>0</v>
      </c>
      <c r="EE10" s="23">
        <f t="shared" si="19"/>
        <v>0</v>
      </c>
      <c r="EF10" s="23">
        <f t="shared" si="19"/>
        <v>0</v>
      </c>
      <c r="EG10" s="23">
        <f t="shared" si="19"/>
        <v>0</v>
      </c>
      <c r="EH10" s="23">
        <f t="shared" si="19"/>
        <v>0</v>
      </c>
      <c r="EI10" s="23">
        <f>EI9</f>
        <v>2</v>
      </c>
      <c r="EJ10" s="23">
        <f>EJ9</f>
        <v>100</v>
      </c>
    </row>
    <row r="11" spans="1:140" ht="9.9" customHeight="1" x14ac:dyDescent="0.3">
      <c r="A11" s="23">
        <v>2</v>
      </c>
      <c r="B11" s="37" t="str">
        <f>IF(PRELIM!B11="","",PRELIM!B11)</f>
        <v>ALILI, JAIDE LOU D.</v>
      </c>
      <c r="C11" s="69" t="s">
        <v>190</v>
      </c>
      <c r="D11" s="69" t="s">
        <v>190</v>
      </c>
      <c r="E11" s="69" t="s">
        <v>190</v>
      </c>
      <c r="F11" s="69" t="s">
        <v>190</v>
      </c>
      <c r="G11" s="69" t="s">
        <v>190</v>
      </c>
      <c r="H11" s="38" t="s">
        <v>190</v>
      </c>
      <c r="I11" s="38" t="s">
        <v>190</v>
      </c>
      <c r="J11" s="38" t="s">
        <v>190</v>
      </c>
      <c r="K11" s="38" t="s">
        <v>190</v>
      </c>
      <c r="L11" s="38" t="s">
        <v>190</v>
      </c>
      <c r="M11" s="38" t="s">
        <v>190</v>
      </c>
      <c r="N11" s="38"/>
      <c r="O11" s="38"/>
      <c r="P11" s="38"/>
      <c r="Q11" s="38"/>
      <c r="R11" s="38"/>
      <c r="S11" s="38"/>
      <c r="T11" s="38"/>
      <c r="U11" s="38"/>
      <c r="V11" s="38"/>
      <c r="W11" s="39">
        <f t="shared" si="6"/>
        <v>100</v>
      </c>
      <c r="X11" s="38">
        <v>6</v>
      </c>
      <c r="Y11" s="38">
        <v>3</v>
      </c>
      <c r="Z11" s="38">
        <v>9</v>
      </c>
      <c r="AA11" s="38">
        <v>9</v>
      </c>
      <c r="AB11" s="38">
        <v>6</v>
      </c>
      <c r="AC11" s="38">
        <v>7</v>
      </c>
      <c r="AD11" s="38">
        <v>9</v>
      </c>
      <c r="AE11" s="38"/>
      <c r="AF11" s="38"/>
      <c r="AG11" s="38"/>
      <c r="AH11" s="40">
        <f t="shared" si="7"/>
        <v>76</v>
      </c>
      <c r="AI11" s="40">
        <f t="shared" si="7"/>
        <v>58</v>
      </c>
      <c r="AJ11" s="40">
        <f t="shared" si="7"/>
        <v>94</v>
      </c>
      <c r="AK11" s="40">
        <f t="shared" si="7"/>
        <v>94</v>
      </c>
      <c r="AL11" s="40">
        <f t="shared" si="7"/>
        <v>76</v>
      </c>
      <c r="AM11" s="40">
        <f t="shared" si="7"/>
        <v>82</v>
      </c>
      <c r="AN11" s="40">
        <f t="shared" si="7"/>
        <v>94</v>
      </c>
      <c r="AO11" s="40" t="str">
        <f t="shared" si="7"/>
        <v xml:space="preserve"> </v>
      </c>
      <c r="AP11" s="40" t="str">
        <f t="shared" si="7"/>
        <v xml:space="preserve"> </v>
      </c>
      <c r="AQ11" s="40" t="str">
        <f t="shared" si="7"/>
        <v xml:space="preserve"> </v>
      </c>
      <c r="AR11" s="41">
        <f t="shared" si="8"/>
        <v>82</v>
      </c>
      <c r="AS11" s="38">
        <v>100</v>
      </c>
      <c r="AT11" s="164">
        <f t="shared" ref="AT11:AT46" si="20">ROUND(W11,0)</f>
        <v>100</v>
      </c>
      <c r="AU11" s="38"/>
      <c r="AV11" s="38"/>
      <c r="AW11" s="38"/>
      <c r="AX11" s="38"/>
      <c r="AY11" s="38"/>
      <c r="AZ11" s="38"/>
      <c r="BA11" s="38"/>
      <c r="BB11" s="38"/>
      <c r="BC11" s="42">
        <f t="shared" si="9"/>
        <v>100</v>
      </c>
      <c r="BD11" s="42">
        <f t="shared" si="9"/>
        <v>100</v>
      </c>
      <c r="BE11" s="42" t="str">
        <f t="shared" si="9"/>
        <v xml:space="preserve"> </v>
      </c>
      <c r="BF11" s="42" t="str">
        <f t="shared" si="9"/>
        <v xml:space="preserve"> </v>
      </c>
      <c r="BG11" s="42" t="str">
        <f t="shared" si="9"/>
        <v xml:space="preserve"> </v>
      </c>
      <c r="BH11" s="42" t="str">
        <f t="shared" si="9"/>
        <v xml:space="preserve"> </v>
      </c>
      <c r="BI11" s="42" t="str">
        <f t="shared" si="9"/>
        <v xml:space="preserve"> </v>
      </c>
      <c r="BJ11" s="42" t="str">
        <f t="shared" si="9"/>
        <v xml:space="preserve"> </v>
      </c>
      <c r="BK11" s="42" t="str">
        <f t="shared" si="9"/>
        <v xml:space="preserve"> </v>
      </c>
      <c r="BL11" s="42" t="str">
        <f t="shared" si="9"/>
        <v xml:space="preserve"> </v>
      </c>
      <c r="BM11" s="43">
        <f t="shared" si="10"/>
        <v>100</v>
      </c>
      <c r="BN11" s="38">
        <v>69</v>
      </c>
      <c r="BO11" s="44">
        <f t="shared" si="11"/>
        <v>81.400000000000006</v>
      </c>
      <c r="BP11" s="20"/>
      <c r="BQ11" s="39">
        <f t="shared" ref="BQ11:BQ50" si="21">(W11*0.05)+(AR11*0.25)+(BM11*0.15)+(BO11*0.55)</f>
        <v>85.27000000000001</v>
      </c>
      <c r="BR11" s="23" t="str">
        <f t="shared" ref="BR11:BR59" si="22">IF(BQ11&gt;=74.5,"PASSED","FAILED")</f>
        <v>PASSED</v>
      </c>
      <c r="BS11" s="45"/>
      <c r="BT11" s="46"/>
      <c r="BU11" s="46"/>
      <c r="BV11" s="46"/>
      <c r="BW11" s="21">
        <f t="shared" si="12"/>
        <v>1</v>
      </c>
      <c r="BX11" s="22">
        <f t="shared" si="12"/>
        <v>1</v>
      </c>
      <c r="BY11" s="22">
        <f t="shared" si="12"/>
        <v>1</v>
      </c>
      <c r="BZ11" s="22">
        <f t="shared" si="12"/>
        <v>1</v>
      </c>
      <c r="CA11" s="22">
        <f t="shared" si="12"/>
        <v>1</v>
      </c>
      <c r="CB11" s="22">
        <f t="shared" si="12"/>
        <v>1</v>
      </c>
      <c r="CC11" s="22">
        <f t="shared" si="12"/>
        <v>1</v>
      </c>
      <c r="CD11" s="22">
        <f t="shared" si="12"/>
        <v>1</v>
      </c>
      <c r="CE11" s="22">
        <f t="shared" si="12"/>
        <v>1</v>
      </c>
      <c r="CF11" s="22">
        <f t="shared" si="12"/>
        <v>1</v>
      </c>
      <c r="CG11" s="22">
        <f t="shared" si="12"/>
        <v>1</v>
      </c>
      <c r="CH11" s="22" t="str">
        <f t="shared" si="12"/>
        <v/>
      </c>
      <c r="CI11" s="22" t="str">
        <f t="shared" si="12"/>
        <v/>
      </c>
      <c r="CJ11" s="22" t="str">
        <f t="shared" si="12"/>
        <v/>
      </c>
      <c r="CK11" s="22" t="str">
        <f t="shared" si="12"/>
        <v/>
      </c>
      <c r="CL11" s="22" t="str">
        <f t="shared" si="12"/>
        <v/>
      </c>
      <c r="CM11" s="22" t="str">
        <f t="shared" si="13"/>
        <v/>
      </c>
      <c r="CN11" s="22" t="str">
        <f t="shared" si="13"/>
        <v/>
      </c>
      <c r="CO11" s="22" t="str">
        <f t="shared" si="13"/>
        <v/>
      </c>
      <c r="CP11" s="22" t="str">
        <f t="shared" si="13"/>
        <v/>
      </c>
      <c r="CQ11" s="22">
        <f t="shared" ref="CQ11:CQ59" si="23">(SUM(BW11:CP11))-DM11</f>
        <v>11</v>
      </c>
      <c r="CR11" s="22">
        <f t="shared" si="3"/>
        <v>11</v>
      </c>
      <c r="CS11" s="22" t="str">
        <f t="shared" si="14"/>
        <v/>
      </c>
      <c r="CT11" s="22" t="str">
        <f t="shared" si="14"/>
        <v/>
      </c>
      <c r="CU11" s="22" t="str">
        <f t="shared" si="14"/>
        <v/>
      </c>
      <c r="CV11" s="22" t="str">
        <f t="shared" si="14"/>
        <v/>
      </c>
      <c r="CW11" s="22" t="str">
        <f t="shared" si="14"/>
        <v/>
      </c>
      <c r="CX11" s="22" t="str">
        <f t="shared" si="14"/>
        <v/>
      </c>
      <c r="CY11" s="22" t="str">
        <f t="shared" si="14"/>
        <v/>
      </c>
      <c r="CZ11" s="22" t="str">
        <f t="shared" si="14"/>
        <v/>
      </c>
      <c r="DA11" s="22" t="str">
        <f t="shared" si="14"/>
        <v/>
      </c>
      <c r="DB11" s="22" t="str">
        <f t="shared" si="14"/>
        <v/>
      </c>
      <c r="DC11" s="22" t="str">
        <f t="shared" si="14"/>
        <v/>
      </c>
      <c r="DD11" s="22" t="str">
        <f t="shared" si="14"/>
        <v/>
      </c>
      <c r="DE11" s="22" t="str">
        <f t="shared" si="14"/>
        <v/>
      </c>
      <c r="DF11" s="22" t="str">
        <f t="shared" si="14"/>
        <v/>
      </c>
      <c r="DG11" s="22" t="str">
        <f t="shared" si="14"/>
        <v/>
      </c>
      <c r="DH11" s="22" t="str">
        <f t="shared" si="14"/>
        <v/>
      </c>
      <c r="DI11" s="22" t="str">
        <f t="shared" si="15"/>
        <v/>
      </c>
      <c r="DJ11" s="22" t="str">
        <f t="shared" si="15"/>
        <v/>
      </c>
      <c r="DK11" s="22" t="str">
        <f t="shared" si="15"/>
        <v/>
      </c>
      <c r="DL11" s="22" t="str">
        <f t="shared" si="15"/>
        <v/>
      </c>
      <c r="DM11" s="22">
        <f t="shared" si="16"/>
        <v>0</v>
      </c>
      <c r="DN11" s="36">
        <f t="shared" si="17"/>
        <v>10</v>
      </c>
      <c r="DO11" s="36">
        <f t="shared" si="17"/>
        <v>10</v>
      </c>
      <c r="DP11" s="36">
        <f t="shared" si="17"/>
        <v>10</v>
      </c>
      <c r="DQ11" s="36">
        <f t="shared" si="17"/>
        <v>10</v>
      </c>
      <c r="DR11" s="36">
        <f t="shared" si="17"/>
        <v>10</v>
      </c>
      <c r="DS11" s="36">
        <f t="shared" si="17"/>
        <v>10</v>
      </c>
      <c r="DT11" s="36">
        <f t="shared" si="17"/>
        <v>10</v>
      </c>
      <c r="DU11" s="36">
        <f t="shared" si="17"/>
        <v>0</v>
      </c>
      <c r="DV11" s="36">
        <f t="shared" si="17"/>
        <v>0</v>
      </c>
      <c r="DW11" s="36">
        <f t="shared" si="17"/>
        <v>0</v>
      </c>
      <c r="DX11" s="23">
        <f>DX10</f>
        <v>7</v>
      </c>
      <c r="DY11" s="23">
        <f t="shared" si="18"/>
        <v>100</v>
      </c>
      <c r="DZ11" s="23">
        <f t="shared" si="19"/>
        <v>100</v>
      </c>
      <c r="EA11" s="23">
        <f t="shared" si="19"/>
        <v>0</v>
      </c>
      <c r="EB11" s="23">
        <f t="shared" si="19"/>
        <v>0</v>
      </c>
      <c r="EC11" s="23">
        <f t="shared" si="19"/>
        <v>0</v>
      </c>
      <c r="ED11" s="23">
        <f t="shared" si="19"/>
        <v>0</v>
      </c>
      <c r="EE11" s="23">
        <f t="shared" si="19"/>
        <v>0</v>
      </c>
      <c r="EF11" s="23">
        <f t="shared" si="19"/>
        <v>0</v>
      </c>
      <c r="EG11" s="23">
        <f t="shared" si="19"/>
        <v>0</v>
      </c>
      <c r="EH11" s="23">
        <f t="shared" si="19"/>
        <v>0</v>
      </c>
      <c r="EI11" s="23">
        <f t="shared" si="19"/>
        <v>2</v>
      </c>
      <c r="EJ11" s="23">
        <f t="shared" si="19"/>
        <v>100</v>
      </c>
    </row>
    <row r="12" spans="1:140" ht="9.9" customHeight="1" x14ac:dyDescent="0.3">
      <c r="A12" s="23">
        <v>3</v>
      </c>
      <c r="B12" s="37" t="str">
        <f>IF(PRELIM!B12="","",PRELIM!B12)</f>
        <v>ALLOSO, RICHELLE MAE</v>
      </c>
      <c r="C12" s="69" t="s">
        <v>190</v>
      </c>
      <c r="D12" s="69" t="s">
        <v>190</v>
      </c>
      <c r="E12" s="69" t="s">
        <v>190</v>
      </c>
      <c r="F12" s="69" t="s">
        <v>190</v>
      </c>
      <c r="G12" s="69" t="s">
        <v>190</v>
      </c>
      <c r="H12" s="38" t="s">
        <v>228</v>
      </c>
      <c r="I12" s="38" t="s">
        <v>190</v>
      </c>
      <c r="J12" s="38" t="s">
        <v>190</v>
      </c>
      <c r="K12" s="38" t="s">
        <v>190</v>
      </c>
      <c r="L12" s="38" t="s">
        <v>190</v>
      </c>
      <c r="M12" s="38" t="s">
        <v>228</v>
      </c>
      <c r="N12" s="38"/>
      <c r="O12" s="38"/>
      <c r="P12" s="38"/>
      <c r="Q12" s="38"/>
      <c r="R12" s="38"/>
      <c r="S12" s="38"/>
      <c r="T12" s="38"/>
      <c r="U12" s="38"/>
      <c r="V12" s="38"/>
      <c r="W12" s="39">
        <f t="shared" si="6"/>
        <v>89.090909090909093</v>
      </c>
      <c r="X12" s="38">
        <v>4</v>
      </c>
      <c r="Y12" s="38">
        <v>0</v>
      </c>
      <c r="Z12" s="38">
        <v>5</v>
      </c>
      <c r="AA12" s="38">
        <v>10</v>
      </c>
      <c r="AB12" s="38">
        <v>6</v>
      </c>
      <c r="AC12" s="38">
        <v>8</v>
      </c>
      <c r="AD12" s="38">
        <v>9</v>
      </c>
      <c r="AE12" s="38"/>
      <c r="AF12" s="38"/>
      <c r="AG12" s="38"/>
      <c r="AH12" s="40">
        <f t="shared" si="7"/>
        <v>64</v>
      </c>
      <c r="AI12" s="40">
        <f t="shared" si="7"/>
        <v>40</v>
      </c>
      <c r="AJ12" s="40">
        <f t="shared" si="7"/>
        <v>70</v>
      </c>
      <c r="AK12" s="40">
        <f t="shared" si="7"/>
        <v>100</v>
      </c>
      <c r="AL12" s="40">
        <f t="shared" si="7"/>
        <v>76</v>
      </c>
      <c r="AM12" s="40">
        <f t="shared" si="7"/>
        <v>88</v>
      </c>
      <c r="AN12" s="40">
        <f t="shared" si="7"/>
        <v>94</v>
      </c>
      <c r="AO12" s="40" t="str">
        <f t="shared" si="7"/>
        <v xml:space="preserve"> </v>
      </c>
      <c r="AP12" s="40" t="str">
        <f t="shared" si="7"/>
        <v xml:space="preserve"> </v>
      </c>
      <c r="AQ12" s="40" t="str">
        <f t="shared" si="7"/>
        <v xml:space="preserve"> </v>
      </c>
      <c r="AR12" s="41">
        <f t="shared" si="8"/>
        <v>76</v>
      </c>
      <c r="AS12" s="38">
        <v>100</v>
      </c>
      <c r="AT12" s="164">
        <f t="shared" si="20"/>
        <v>89</v>
      </c>
      <c r="AU12" s="38"/>
      <c r="AV12" s="38"/>
      <c r="AW12" s="38"/>
      <c r="AX12" s="38"/>
      <c r="AY12" s="38"/>
      <c r="AZ12" s="38"/>
      <c r="BA12" s="38"/>
      <c r="BB12" s="38"/>
      <c r="BC12" s="42">
        <f t="shared" si="9"/>
        <v>100</v>
      </c>
      <c r="BD12" s="42">
        <f t="shared" si="9"/>
        <v>93.4</v>
      </c>
      <c r="BE12" s="42" t="str">
        <f t="shared" si="9"/>
        <v xml:space="preserve"> </v>
      </c>
      <c r="BF12" s="42" t="str">
        <f t="shared" si="9"/>
        <v xml:space="preserve"> </v>
      </c>
      <c r="BG12" s="42" t="str">
        <f t="shared" si="9"/>
        <v xml:space="preserve"> </v>
      </c>
      <c r="BH12" s="42" t="str">
        <f t="shared" si="9"/>
        <v xml:space="preserve"> </v>
      </c>
      <c r="BI12" s="42" t="str">
        <f t="shared" si="9"/>
        <v xml:space="preserve"> </v>
      </c>
      <c r="BJ12" s="42" t="str">
        <f t="shared" si="9"/>
        <v xml:space="preserve"> </v>
      </c>
      <c r="BK12" s="42" t="str">
        <f t="shared" si="9"/>
        <v xml:space="preserve"> </v>
      </c>
      <c r="BL12" s="42" t="str">
        <f t="shared" si="9"/>
        <v xml:space="preserve"> </v>
      </c>
      <c r="BM12" s="43">
        <f t="shared" si="10"/>
        <v>96.7</v>
      </c>
      <c r="BN12" s="38">
        <v>82</v>
      </c>
      <c r="BO12" s="44">
        <f t="shared" si="11"/>
        <v>89.199999999999989</v>
      </c>
      <c r="BP12" s="20"/>
      <c r="BQ12" s="39">
        <f t="shared" si="21"/>
        <v>87.019545454545437</v>
      </c>
      <c r="BR12" s="23" t="str">
        <f t="shared" si="22"/>
        <v>PASSED</v>
      </c>
      <c r="BS12" s="45"/>
      <c r="BT12" s="46"/>
      <c r="BU12" s="46"/>
      <c r="BV12" s="46"/>
      <c r="BW12" s="21">
        <f t="shared" si="12"/>
        <v>1</v>
      </c>
      <c r="BX12" s="22">
        <f t="shared" si="12"/>
        <v>1</v>
      </c>
      <c r="BY12" s="22">
        <f t="shared" si="12"/>
        <v>1</v>
      </c>
      <c r="BZ12" s="22">
        <f t="shared" si="12"/>
        <v>1</v>
      </c>
      <c r="CA12" s="22">
        <f t="shared" si="12"/>
        <v>1</v>
      </c>
      <c r="CB12" s="22" t="str">
        <f t="shared" si="12"/>
        <v/>
      </c>
      <c r="CC12" s="22">
        <f t="shared" si="12"/>
        <v>1</v>
      </c>
      <c r="CD12" s="22">
        <f t="shared" si="12"/>
        <v>1</v>
      </c>
      <c r="CE12" s="22">
        <f t="shared" si="12"/>
        <v>1</v>
      </c>
      <c r="CF12" s="22">
        <f t="shared" si="12"/>
        <v>1</v>
      </c>
      <c r="CG12" s="22" t="str">
        <f t="shared" si="12"/>
        <v/>
      </c>
      <c r="CH12" s="22" t="str">
        <f t="shared" si="12"/>
        <v/>
      </c>
      <c r="CI12" s="22" t="str">
        <f t="shared" si="12"/>
        <v/>
      </c>
      <c r="CJ12" s="22" t="str">
        <f t="shared" si="12"/>
        <v/>
      </c>
      <c r="CK12" s="22" t="str">
        <f t="shared" si="12"/>
        <v/>
      </c>
      <c r="CL12" s="22" t="str">
        <f t="shared" si="12"/>
        <v/>
      </c>
      <c r="CM12" s="22" t="str">
        <f t="shared" si="13"/>
        <v/>
      </c>
      <c r="CN12" s="22" t="str">
        <f t="shared" si="13"/>
        <v/>
      </c>
      <c r="CO12" s="22" t="str">
        <f t="shared" si="13"/>
        <v/>
      </c>
      <c r="CP12" s="22" t="str">
        <f t="shared" si="13"/>
        <v/>
      </c>
      <c r="CQ12" s="22">
        <f t="shared" si="23"/>
        <v>9</v>
      </c>
      <c r="CR12" s="22">
        <f t="shared" si="3"/>
        <v>11</v>
      </c>
      <c r="CS12" s="22" t="str">
        <f t="shared" si="14"/>
        <v/>
      </c>
      <c r="CT12" s="22" t="str">
        <f t="shared" si="14"/>
        <v/>
      </c>
      <c r="CU12" s="22" t="str">
        <f t="shared" si="14"/>
        <v/>
      </c>
      <c r="CV12" s="22" t="str">
        <f t="shared" si="14"/>
        <v/>
      </c>
      <c r="CW12" s="22" t="str">
        <f t="shared" si="14"/>
        <v/>
      </c>
      <c r="CX12" s="22" t="str">
        <f t="shared" si="14"/>
        <v/>
      </c>
      <c r="CY12" s="22" t="str">
        <f t="shared" si="14"/>
        <v/>
      </c>
      <c r="CZ12" s="22" t="str">
        <f t="shared" si="14"/>
        <v/>
      </c>
      <c r="DA12" s="22" t="str">
        <f t="shared" si="14"/>
        <v/>
      </c>
      <c r="DB12" s="22" t="str">
        <f t="shared" si="14"/>
        <v/>
      </c>
      <c r="DC12" s="22" t="str">
        <f t="shared" si="14"/>
        <v/>
      </c>
      <c r="DD12" s="22" t="str">
        <f t="shared" si="14"/>
        <v/>
      </c>
      <c r="DE12" s="22" t="str">
        <f t="shared" si="14"/>
        <v/>
      </c>
      <c r="DF12" s="22" t="str">
        <f t="shared" si="14"/>
        <v/>
      </c>
      <c r="DG12" s="22" t="str">
        <f t="shared" si="14"/>
        <v/>
      </c>
      <c r="DH12" s="22" t="str">
        <f t="shared" si="14"/>
        <v/>
      </c>
      <c r="DI12" s="22" t="str">
        <f t="shared" si="15"/>
        <v/>
      </c>
      <c r="DJ12" s="22" t="str">
        <f t="shared" si="15"/>
        <v/>
      </c>
      <c r="DK12" s="22" t="str">
        <f t="shared" si="15"/>
        <v/>
      </c>
      <c r="DL12" s="22" t="str">
        <f t="shared" si="15"/>
        <v/>
      </c>
      <c r="DM12" s="22">
        <f t="shared" si="16"/>
        <v>0</v>
      </c>
      <c r="DN12" s="36">
        <f t="shared" si="17"/>
        <v>10</v>
      </c>
      <c r="DO12" s="36">
        <f t="shared" si="17"/>
        <v>10</v>
      </c>
      <c r="DP12" s="36">
        <f t="shared" si="17"/>
        <v>10</v>
      </c>
      <c r="DQ12" s="36">
        <f t="shared" si="17"/>
        <v>10</v>
      </c>
      <c r="DR12" s="36">
        <f t="shared" si="17"/>
        <v>10</v>
      </c>
      <c r="DS12" s="36">
        <f t="shared" si="17"/>
        <v>10</v>
      </c>
      <c r="DT12" s="36">
        <f t="shared" si="17"/>
        <v>10</v>
      </c>
      <c r="DU12" s="36">
        <f t="shared" si="17"/>
        <v>0</v>
      </c>
      <c r="DV12" s="36">
        <f t="shared" si="17"/>
        <v>0</v>
      </c>
      <c r="DW12" s="36">
        <f t="shared" si="17"/>
        <v>0</v>
      </c>
      <c r="DX12" s="23">
        <f t="shared" si="17"/>
        <v>7</v>
      </c>
      <c r="DY12" s="23">
        <f t="shared" si="18"/>
        <v>100</v>
      </c>
      <c r="DZ12" s="23">
        <f t="shared" si="19"/>
        <v>100</v>
      </c>
      <c r="EA12" s="23">
        <f t="shared" si="19"/>
        <v>0</v>
      </c>
      <c r="EB12" s="23">
        <f t="shared" si="19"/>
        <v>0</v>
      </c>
      <c r="EC12" s="23">
        <f t="shared" si="19"/>
        <v>0</v>
      </c>
      <c r="ED12" s="23">
        <f t="shared" si="19"/>
        <v>0</v>
      </c>
      <c r="EE12" s="23">
        <f t="shared" si="19"/>
        <v>0</v>
      </c>
      <c r="EF12" s="23">
        <f t="shared" si="19"/>
        <v>0</v>
      </c>
      <c r="EG12" s="23">
        <f t="shared" si="19"/>
        <v>0</v>
      </c>
      <c r="EH12" s="23">
        <f t="shared" si="19"/>
        <v>0</v>
      </c>
      <c r="EI12" s="23">
        <f t="shared" si="19"/>
        <v>2</v>
      </c>
      <c r="EJ12" s="23">
        <f t="shared" si="19"/>
        <v>100</v>
      </c>
    </row>
    <row r="13" spans="1:140" ht="9.9" customHeight="1" x14ac:dyDescent="0.3">
      <c r="A13" s="23">
        <v>4</v>
      </c>
      <c r="B13" s="37" t="str">
        <f>IF(PRELIM!B13="","",PRELIM!B13)</f>
        <v>AUTIDA, MHARK ANGELOU E.</v>
      </c>
      <c r="C13" s="69" t="s">
        <v>190</v>
      </c>
      <c r="D13" s="69" t="s">
        <v>190</v>
      </c>
      <c r="E13" s="69" t="s">
        <v>190</v>
      </c>
      <c r="F13" s="69" t="s">
        <v>190</v>
      </c>
      <c r="G13" s="69" t="s">
        <v>190</v>
      </c>
      <c r="H13" s="38" t="s">
        <v>190</v>
      </c>
      <c r="I13" s="38" t="s">
        <v>190</v>
      </c>
      <c r="J13" s="38" t="s">
        <v>190</v>
      </c>
      <c r="K13" s="38" t="s">
        <v>190</v>
      </c>
      <c r="L13" s="38" t="s">
        <v>190</v>
      </c>
      <c r="M13" s="38" t="s">
        <v>190</v>
      </c>
      <c r="N13" s="38"/>
      <c r="O13" s="38"/>
      <c r="P13" s="38"/>
      <c r="Q13" s="38"/>
      <c r="R13" s="38"/>
      <c r="S13" s="38"/>
      <c r="T13" s="38"/>
      <c r="U13" s="38"/>
      <c r="V13" s="38"/>
      <c r="W13" s="39">
        <f t="shared" si="6"/>
        <v>100</v>
      </c>
      <c r="X13" s="38">
        <v>2</v>
      </c>
      <c r="Y13" s="38">
        <v>0</v>
      </c>
      <c r="Z13" s="38">
        <v>3</v>
      </c>
      <c r="AA13" s="38">
        <v>5</v>
      </c>
      <c r="AB13" s="38">
        <v>8</v>
      </c>
      <c r="AC13" s="38">
        <v>8</v>
      </c>
      <c r="AD13" s="38">
        <v>7</v>
      </c>
      <c r="AE13" s="38"/>
      <c r="AF13" s="38"/>
      <c r="AG13" s="38"/>
      <c r="AH13" s="40">
        <f t="shared" si="7"/>
        <v>52</v>
      </c>
      <c r="AI13" s="40">
        <f t="shared" si="7"/>
        <v>40</v>
      </c>
      <c r="AJ13" s="40">
        <f t="shared" si="7"/>
        <v>58</v>
      </c>
      <c r="AK13" s="40">
        <f t="shared" si="7"/>
        <v>70</v>
      </c>
      <c r="AL13" s="40">
        <f t="shared" si="7"/>
        <v>88</v>
      </c>
      <c r="AM13" s="40">
        <f t="shared" si="7"/>
        <v>88</v>
      </c>
      <c r="AN13" s="40">
        <f t="shared" si="7"/>
        <v>82</v>
      </c>
      <c r="AO13" s="40" t="str">
        <f t="shared" si="7"/>
        <v xml:space="preserve"> </v>
      </c>
      <c r="AP13" s="40" t="str">
        <f t="shared" si="7"/>
        <v xml:space="preserve"> </v>
      </c>
      <c r="AQ13" s="40" t="str">
        <f t="shared" si="7"/>
        <v xml:space="preserve"> </v>
      </c>
      <c r="AR13" s="41">
        <f t="shared" si="8"/>
        <v>68.285714285714292</v>
      </c>
      <c r="AS13" s="38">
        <v>100</v>
      </c>
      <c r="AT13" s="164">
        <f t="shared" si="20"/>
        <v>100</v>
      </c>
      <c r="AU13" s="38"/>
      <c r="AV13" s="38"/>
      <c r="AW13" s="38"/>
      <c r="AX13" s="38"/>
      <c r="AY13" s="38"/>
      <c r="AZ13" s="38"/>
      <c r="BA13" s="38"/>
      <c r="BB13" s="38"/>
      <c r="BC13" s="42">
        <f t="shared" si="9"/>
        <v>100</v>
      </c>
      <c r="BD13" s="42">
        <f t="shared" si="9"/>
        <v>100</v>
      </c>
      <c r="BE13" s="42" t="str">
        <f t="shared" si="9"/>
        <v xml:space="preserve"> </v>
      </c>
      <c r="BF13" s="42" t="str">
        <f t="shared" si="9"/>
        <v xml:space="preserve"> </v>
      </c>
      <c r="BG13" s="42" t="str">
        <f t="shared" si="9"/>
        <v xml:space="preserve"> </v>
      </c>
      <c r="BH13" s="42" t="str">
        <f t="shared" si="9"/>
        <v xml:space="preserve"> </v>
      </c>
      <c r="BI13" s="42" t="str">
        <f t="shared" si="9"/>
        <v xml:space="preserve"> </v>
      </c>
      <c r="BJ13" s="42" t="str">
        <f t="shared" si="9"/>
        <v xml:space="preserve"> </v>
      </c>
      <c r="BK13" s="42" t="str">
        <f t="shared" si="9"/>
        <v xml:space="preserve"> </v>
      </c>
      <c r="BL13" s="42" t="str">
        <f t="shared" si="9"/>
        <v xml:space="preserve"> </v>
      </c>
      <c r="BM13" s="43">
        <f t="shared" si="10"/>
        <v>100</v>
      </c>
      <c r="BN13" s="38">
        <v>56</v>
      </c>
      <c r="BO13" s="44">
        <f t="shared" si="11"/>
        <v>73.599999999999994</v>
      </c>
      <c r="BP13" s="20"/>
      <c r="BQ13" s="39">
        <f t="shared" si="21"/>
        <v>77.551428571428573</v>
      </c>
      <c r="BR13" s="23" t="str">
        <f t="shared" si="22"/>
        <v>PASSED</v>
      </c>
      <c r="BS13" s="45"/>
      <c r="BT13" s="46"/>
      <c r="BU13" s="46"/>
      <c r="BV13" s="46"/>
      <c r="BW13" s="21">
        <f t="shared" si="12"/>
        <v>1</v>
      </c>
      <c r="BX13" s="22">
        <f t="shared" si="12"/>
        <v>1</v>
      </c>
      <c r="BY13" s="22">
        <f t="shared" si="12"/>
        <v>1</v>
      </c>
      <c r="BZ13" s="22">
        <f t="shared" si="12"/>
        <v>1</v>
      </c>
      <c r="CA13" s="22">
        <f t="shared" si="12"/>
        <v>1</v>
      </c>
      <c r="CB13" s="22">
        <f t="shared" si="12"/>
        <v>1</v>
      </c>
      <c r="CC13" s="22">
        <f t="shared" si="12"/>
        <v>1</v>
      </c>
      <c r="CD13" s="22">
        <f t="shared" si="12"/>
        <v>1</v>
      </c>
      <c r="CE13" s="22">
        <f t="shared" si="12"/>
        <v>1</v>
      </c>
      <c r="CF13" s="22">
        <f t="shared" si="12"/>
        <v>1</v>
      </c>
      <c r="CG13" s="22">
        <f t="shared" si="12"/>
        <v>1</v>
      </c>
      <c r="CH13" s="22" t="str">
        <f t="shared" si="12"/>
        <v/>
      </c>
      <c r="CI13" s="22" t="str">
        <f t="shared" si="12"/>
        <v/>
      </c>
      <c r="CJ13" s="22" t="str">
        <f t="shared" si="12"/>
        <v/>
      </c>
      <c r="CK13" s="22" t="str">
        <f t="shared" si="12"/>
        <v/>
      </c>
      <c r="CL13" s="22" t="str">
        <f t="shared" si="12"/>
        <v/>
      </c>
      <c r="CM13" s="22" t="str">
        <f t="shared" si="13"/>
        <v/>
      </c>
      <c r="CN13" s="22" t="str">
        <f t="shared" si="13"/>
        <v/>
      </c>
      <c r="CO13" s="22" t="str">
        <f t="shared" si="13"/>
        <v/>
      </c>
      <c r="CP13" s="22" t="str">
        <f t="shared" si="13"/>
        <v/>
      </c>
      <c r="CQ13" s="22">
        <f t="shared" si="23"/>
        <v>11</v>
      </c>
      <c r="CR13" s="22">
        <f t="shared" si="3"/>
        <v>11</v>
      </c>
      <c r="CS13" s="22" t="str">
        <f t="shared" si="14"/>
        <v/>
      </c>
      <c r="CT13" s="22" t="str">
        <f t="shared" si="14"/>
        <v/>
      </c>
      <c r="CU13" s="22" t="str">
        <f t="shared" si="14"/>
        <v/>
      </c>
      <c r="CV13" s="22" t="str">
        <f t="shared" si="14"/>
        <v/>
      </c>
      <c r="CW13" s="22" t="str">
        <f t="shared" si="14"/>
        <v/>
      </c>
      <c r="CX13" s="22" t="str">
        <f t="shared" si="14"/>
        <v/>
      </c>
      <c r="CY13" s="22" t="str">
        <f t="shared" si="14"/>
        <v/>
      </c>
      <c r="CZ13" s="22" t="str">
        <f t="shared" si="14"/>
        <v/>
      </c>
      <c r="DA13" s="22" t="str">
        <f t="shared" si="14"/>
        <v/>
      </c>
      <c r="DB13" s="22" t="str">
        <f t="shared" si="14"/>
        <v/>
      </c>
      <c r="DC13" s="22" t="str">
        <f t="shared" si="14"/>
        <v/>
      </c>
      <c r="DD13" s="22" t="str">
        <f t="shared" si="14"/>
        <v/>
      </c>
      <c r="DE13" s="22" t="str">
        <f t="shared" si="14"/>
        <v/>
      </c>
      <c r="DF13" s="22" t="str">
        <f t="shared" si="14"/>
        <v/>
      </c>
      <c r="DG13" s="22" t="str">
        <f t="shared" si="14"/>
        <v/>
      </c>
      <c r="DH13" s="22" t="str">
        <f t="shared" si="14"/>
        <v/>
      </c>
      <c r="DI13" s="22" t="str">
        <f t="shared" si="15"/>
        <v/>
      </c>
      <c r="DJ13" s="22" t="str">
        <f t="shared" si="15"/>
        <v/>
      </c>
      <c r="DK13" s="22" t="str">
        <f t="shared" si="15"/>
        <v/>
      </c>
      <c r="DL13" s="22" t="str">
        <f t="shared" si="15"/>
        <v/>
      </c>
      <c r="DM13" s="22">
        <f t="shared" si="16"/>
        <v>0</v>
      </c>
      <c r="DN13" s="36">
        <f t="shared" si="17"/>
        <v>10</v>
      </c>
      <c r="DO13" s="36">
        <f t="shared" si="17"/>
        <v>10</v>
      </c>
      <c r="DP13" s="36">
        <f t="shared" si="17"/>
        <v>10</v>
      </c>
      <c r="DQ13" s="36">
        <f t="shared" si="17"/>
        <v>10</v>
      </c>
      <c r="DR13" s="36">
        <f t="shared" si="17"/>
        <v>10</v>
      </c>
      <c r="DS13" s="36">
        <f t="shared" si="17"/>
        <v>10</v>
      </c>
      <c r="DT13" s="36">
        <f t="shared" si="17"/>
        <v>10</v>
      </c>
      <c r="DU13" s="36">
        <f t="shared" si="17"/>
        <v>0</v>
      </c>
      <c r="DV13" s="36">
        <f t="shared" si="17"/>
        <v>0</v>
      </c>
      <c r="DW13" s="36">
        <f t="shared" si="17"/>
        <v>0</v>
      </c>
      <c r="DX13" s="23">
        <f t="shared" si="17"/>
        <v>7</v>
      </c>
      <c r="DY13" s="23">
        <f t="shared" si="18"/>
        <v>100</v>
      </c>
      <c r="DZ13" s="23">
        <f t="shared" si="19"/>
        <v>100</v>
      </c>
      <c r="EA13" s="23">
        <f t="shared" si="19"/>
        <v>0</v>
      </c>
      <c r="EB13" s="23">
        <f t="shared" si="19"/>
        <v>0</v>
      </c>
      <c r="EC13" s="23">
        <f t="shared" si="19"/>
        <v>0</v>
      </c>
      <c r="ED13" s="23">
        <f t="shared" si="19"/>
        <v>0</v>
      </c>
      <c r="EE13" s="23">
        <f t="shared" si="19"/>
        <v>0</v>
      </c>
      <c r="EF13" s="23">
        <f t="shared" si="19"/>
        <v>0</v>
      </c>
      <c r="EG13" s="23">
        <f t="shared" si="19"/>
        <v>0</v>
      </c>
      <c r="EH13" s="23">
        <f t="shared" si="19"/>
        <v>0</v>
      </c>
      <c r="EI13" s="23">
        <f t="shared" si="19"/>
        <v>2</v>
      </c>
      <c r="EJ13" s="23">
        <f t="shared" si="19"/>
        <v>100</v>
      </c>
    </row>
    <row r="14" spans="1:140" ht="9.9" customHeight="1" x14ac:dyDescent="0.3">
      <c r="A14" s="23">
        <v>5</v>
      </c>
      <c r="B14" s="37" t="str">
        <f>IF(PRELIM!B14="","",PRELIM!B14)</f>
        <v>BENITO, FADEL C.</v>
      </c>
      <c r="C14" s="69" t="s">
        <v>190</v>
      </c>
      <c r="D14" s="69" t="s">
        <v>190</v>
      </c>
      <c r="E14" s="69" t="s">
        <v>190</v>
      </c>
      <c r="F14" s="69" t="s">
        <v>190</v>
      </c>
      <c r="G14" s="69" t="s">
        <v>190</v>
      </c>
      <c r="H14" s="38" t="s">
        <v>190</v>
      </c>
      <c r="I14" s="38" t="s">
        <v>190</v>
      </c>
      <c r="J14" s="38" t="s">
        <v>190</v>
      </c>
      <c r="K14" s="38" t="s">
        <v>190</v>
      </c>
      <c r="L14" s="38" t="s">
        <v>190</v>
      </c>
      <c r="M14" s="38" t="s">
        <v>190</v>
      </c>
      <c r="N14" s="38"/>
      <c r="O14" s="38"/>
      <c r="P14" s="38"/>
      <c r="Q14" s="38"/>
      <c r="R14" s="38"/>
      <c r="S14" s="38"/>
      <c r="T14" s="38"/>
      <c r="U14" s="38"/>
      <c r="V14" s="38"/>
      <c r="W14" s="39">
        <f t="shared" si="6"/>
        <v>100</v>
      </c>
      <c r="X14" s="38">
        <v>9</v>
      </c>
      <c r="Y14" s="38">
        <v>4</v>
      </c>
      <c r="Z14" s="38">
        <v>8</v>
      </c>
      <c r="AA14" s="38">
        <v>10</v>
      </c>
      <c r="AB14" s="38">
        <v>8</v>
      </c>
      <c r="AC14" s="38">
        <v>8</v>
      </c>
      <c r="AD14" s="38">
        <v>9</v>
      </c>
      <c r="AE14" s="38"/>
      <c r="AF14" s="38"/>
      <c r="AG14" s="38"/>
      <c r="AH14" s="40">
        <f t="shared" si="7"/>
        <v>94</v>
      </c>
      <c r="AI14" s="40">
        <f t="shared" si="7"/>
        <v>64</v>
      </c>
      <c r="AJ14" s="40">
        <f t="shared" si="7"/>
        <v>88</v>
      </c>
      <c r="AK14" s="40">
        <f t="shared" si="7"/>
        <v>100</v>
      </c>
      <c r="AL14" s="40">
        <f t="shared" si="7"/>
        <v>88</v>
      </c>
      <c r="AM14" s="40">
        <f t="shared" si="7"/>
        <v>88</v>
      </c>
      <c r="AN14" s="40">
        <f t="shared" si="7"/>
        <v>94</v>
      </c>
      <c r="AO14" s="40" t="str">
        <f t="shared" si="7"/>
        <v xml:space="preserve"> </v>
      </c>
      <c r="AP14" s="40" t="str">
        <f t="shared" si="7"/>
        <v xml:space="preserve"> </v>
      </c>
      <c r="AQ14" s="40" t="str">
        <f t="shared" si="7"/>
        <v xml:space="preserve"> </v>
      </c>
      <c r="AR14" s="41">
        <f t="shared" si="8"/>
        <v>88</v>
      </c>
      <c r="AS14" s="38">
        <v>100</v>
      </c>
      <c r="AT14" s="164">
        <f t="shared" si="20"/>
        <v>100</v>
      </c>
      <c r="AU14" s="38"/>
      <c r="AV14" s="38"/>
      <c r="AW14" s="38"/>
      <c r="AX14" s="38"/>
      <c r="AY14" s="38"/>
      <c r="AZ14" s="38"/>
      <c r="BA14" s="38"/>
      <c r="BB14" s="38"/>
      <c r="BC14" s="42">
        <f t="shared" si="9"/>
        <v>100</v>
      </c>
      <c r="BD14" s="42">
        <f t="shared" si="9"/>
        <v>100</v>
      </c>
      <c r="BE14" s="42" t="str">
        <f t="shared" si="9"/>
        <v xml:space="preserve"> </v>
      </c>
      <c r="BF14" s="42" t="str">
        <f t="shared" si="9"/>
        <v xml:space="preserve"> </v>
      </c>
      <c r="BG14" s="42" t="str">
        <f t="shared" si="9"/>
        <v xml:space="preserve"> </v>
      </c>
      <c r="BH14" s="42" t="str">
        <f t="shared" si="9"/>
        <v xml:space="preserve"> </v>
      </c>
      <c r="BI14" s="42" t="str">
        <f t="shared" si="9"/>
        <v xml:space="preserve"> </v>
      </c>
      <c r="BJ14" s="42" t="str">
        <f t="shared" si="9"/>
        <v xml:space="preserve"> </v>
      </c>
      <c r="BK14" s="42" t="str">
        <f t="shared" si="9"/>
        <v xml:space="preserve"> </v>
      </c>
      <c r="BL14" s="42" t="str">
        <f t="shared" si="9"/>
        <v xml:space="preserve"> </v>
      </c>
      <c r="BM14" s="43">
        <f t="shared" si="10"/>
        <v>100</v>
      </c>
      <c r="BN14" s="38">
        <v>89</v>
      </c>
      <c r="BO14" s="44">
        <f t="shared" si="11"/>
        <v>93.4</v>
      </c>
      <c r="BP14" s="20"/>
      <c r="BQ14" s="39">
        <f t="shared" si="21"/>
        <v>93.37</v>
      </c>
      <c r="BR14" s="23" t="str">
        <f t="shared" si="22"/>
        <v>PASSED</v>
      </c>
      <c r="BS14" s="45"/>
      <c r="BT14" s="46"/>
      <c r="BU14" s="46"/>
      <c r="BV14" s="46"/>
      <c r="BW14" s="21">
        <f t="shared" si="12"/>
        <v>1</v>
      </c>
      <c r="BX14" s="22">
        <f t="shared" si="12"/>
        <v>1</v>
      </c>
      <c r="BY14" s="22">
        <f t="shared" si="12"/>
        <v>1</v>
      </c>
      <c r="BZ14" s="22">
        <f t="shared" si="12"/>
        <v>1</v>
      </c>
      <c r="CA14" s="22">
        <f t="shared" si="12"/>
        <v>1</v>
      </c>
      <c r="CB14" s="22">
        <f t="shared" si="12"/>
        <v>1</v>
      </c>
      <c r="CC14" s="22">
        <f t="shared" si="12"/>
        <v>1</v>
      </c>
      <c r="CD14" s="22">
        <f t="shared" si="12"/>
        <v>1</v>
      </c>
      <c r="CE14" s="22">
        <f t="shared" si="12"/>
        <v>1</v>
      </c>
      <c r="CF14" s="22">
        <f t="shared" si="12"/>
        <v>1</v>
      </c>
      <c r="CG14" s="22">
        <f t="shared" si="12"/>
        <v>1</v>
      </c>
      <c r="CH14" s="22" t="str">
        <f t="shared" si="12"/>
        <v/>
      </c>
      <c r="CI14" s="22" t="str">
        <f t="shared" si="12"/>
        <v/>
      </c>
      <c r="CJ14" s="22" t="str">
        <f t="shared" si="12"/>
        <v/>
      </c>
      <c r="CK14" s="22" t="str">
        <f t="shared" si="12"/>
        <v/>
      </c>
      <c r="CL14" s="22" t="str">
        <f t="shared" si="12"/>
        <v/>
      </c>
      <c r="CM14" s="22" t="str">
        <f t="shared" si="13"/>
        <v/>
      </c>
      <c r="CN14" s="22" t="str">
        <f t="shared" si="13"/>
        <v/>
      </c>
      <c r="CO14" s="22" t="str">
        <f t="shared" si="13"/>
        <v/>
      </c>
      <c r="CP14" s="22" t="str">
        <f t="shared" si="13"/>
        <v/>
      </c>
      <c r="CQ14" s="22">
        <f t="shared" si="23"/>
        <v>11</v>
      </c>
      <c r="CR14" s="22">
        <f t="shared" si="3"/>
        <v>11</v>
      </c>
      <c r="CS14" s="22" t="str">
        <f t="shared" si="14"/>
        <v/>
      </c>
      <c r="CT14" s="22" t="str">
        <f t="shared" si="14"/>
        <v/>
      </c>
      <c r="CU14" s="22" t="str">
        <f t="shared" si="14"/>
        <v/>
      </c>
      <c r="CV14" s="22" t="str">
        <f t="shared" si="14"/>
        <v/>
      </c>
      <c r="CW14" s="22" t="str">
        <f t="shared" si="14"/>
        <v/>
      </c>
      <c r="CX14" s="22" t="str">
        <f t="shared" si="14"/>
        <v/>
      </c>
      <c r="CY14" s="22" t="str">
        <f t="shared" si="14"/>
        <v/>
      </c>
      <c r="CZ14" s="22" t="str">
        <f t="shared" si="14"/>
        <v/>
      </c>
      <c r="DA14" s="22" t="str">
        <f t="shared" si="14"/>
        <v/>
      </c>
      <c r="DB14" s="22" t="str">
        <f t="shared" si="14"/>
        <v/>
      </c>
      <c r="DC14" s="22" t="str">
        <f t="shared" si="14"/>
        <v/>
      </c>
      <c r="DD14" s="22" t="str">
        <f t="shared" si="14"/>
        <v/>
      </c>
      <c r="DE14" s="22" t="str">
        <f t="shared" si="14"/>
        <v/>
      </c>
      <c r="DF14" s="22" t="str">
        <f t="shared" si="14"/>
        <v/>
      </c>
      <c r="DG14" s="22" t="str">
        <f t="shared" si="14"/>
        <v/>
      </c>
      <c r="DH14" s="22" t="str">
        <f t="shared" si="14"/>
        <v/>
      </c>
      <c r="DI14" s="22" t="str">
        <f t="shared" si="15"/>
        <v/>
      </c>
      <c r="DJ14" s="22" t="str">
        <f t="shared" si="15"/>
        <v/>
      </c>
      <c r="DK14" s="22" t="str">
        <f t="shared" si="15"/>
        <v/>
      </c>
      <c r="DL14" s="22" t="str">
        <f t="shared" si="15"/>
        <v/>
      </c>
      <c r="DM14" s="22">
        <f t="shared" si="16"/>
        <v>0</v>
      </c>
      <c r="DN14" s="36">
        <f t="shared" si="17"/>
        <v>10</v>
      </c>
      <c r="DO14" s="36">
        <f t="shared" si="17"/>
        <v>10</v>
      </c>
      <c r="DP14" s="36">
        <f t="shared" si="17"/>
        <v>10</v>
      </c>
      <c r="DQ14" s="36">
        <f t="shared" si="17"/>
        <v>10</v>
      </c>
      <c r="DR14" s="36">
        <f t="shared" si="17"/>
        <v>10</v>
      </c>
      <c r="DS14" s="36">
        <f t="shared" si="17"/>
        <v>10</v>
      </c>
      <c r="DT14" s="36">
        <f t="shared" si="17"/>
        <v>10</v>
      </c>
      <c r="DU14" s="36">
        <f t="shared" si="17"/>
        <v>0</v>
      </c>
      <c r="DV14" s="36">
        <f t="shared" si="17"/>
        <v>0</v>
      </c>
      <c r="DW14" s="36">
        <f t="shared" si="17"/>
        <v>0</v>
      </c>
      <c r="DX14" s="23">
        <f t="shared" si="17"/>
        <v>7</v>
      </c>
      <c r="DY14" s="23">
        <f t="shared" si="18"/>
        <v>100</v>
      </c>
      <c r="DZ14" s="23">
        <f t="shared" si="19"/>
        <v>100</v>
      </c>
      <c r="EA14" s="23">
        <f t="shared" si="19"/>
        <v>0</v>
      </c>
      <c r="EB14" s="23">
        <f t="shared" si="19"/>
        <v>0</v>
      </c>
      <c r="EC14" s="23">
        <f t="shared" si="19"/>
        <v>0</v>
      </c>
      <c r="ED14" s="23">
        <f t="shared" si="19"/>
        <v>0</v>
      </c>
      <c r="EE14" s="23">
        <f t="shared" si="19"/>
        <v>0</v>
      </c>
      <c r="EF14" s="23">
        <f t="shared" si="19"/>
        <v>0</v>
      </c>
      <c r="EG14" s="23">
        <f t="shared" si="19"/>
        <v>0</v>
      </c>
      <c r="EH14" s="23">
        <f t="shared" si="19"/>
        <v>0</v>
      </c>
      <c r="EI14" s="23">
        <f t="shared" si="19"/>
        <v>2</v>
      </c>
      <c r="EJ14" s="23">
        <f t="shared" si="19"/>
        <v>100</v>
      </c>
    </row>
    <row r="15" spans="1:140" ht="9.9" customHeight="1" x14ac:dyDescent="0.3">
      <c r="A15" s="23">
        <v>6</v>
      </c>
      <c r="B15" s="37" t="str">
        <f>IF(PRELIM!B15="","",PRELIM!B15)</f>
        <v>BESTUDIO, JERBY BRIX T.</v>
      </c>
      <c r="C15" s="69" t="s">
        <v>190</v>
      </c>
      <c r="D15" s="69" t="s">
        <v>190</v>
      </c>
      <c r="E15" s="69" t="s">
        <v>190</v>
      </c>
      <c r="F15" s="69" t="s">
        <v>190</v>
      </c>
      <c r="G15" s="69" t="s">
        <v>190</v>
      </c>
      <c r="H15" s="38" t="s">
        <v>228</v>
      </c>
      <c r="I15" s="38" t="s">
        <v>190</v>
      </c>
      <c r="J15" s="38" t="s">
        <v>190</v>
      </c>
      <c r="K15" s="38" t="s">
        <v>190</v>
      </c>
      <c r="L15" s="38" t="s">
        <v>190</v>
      </c>
      <c r="M15" s="38" t="s">
        <v>190</v>
      </c>
      <c r="N15" s="38"/>
      <c r="O15" s="38"/>
      <c r="P15" s="38"/>
      <c r="Q15" s="38"/>
      <c r="R15" s="38"/>
      <c r="S15" s="38"/>
      <c r="T15" s="38"/>
      <c r="U15" s="38"/>
      <c r="V15" s="38"/>
      <c r="W15" s="39">
        <f t="shared" si="6"/>
        <v>94.545454545454547</v>
      </c>
      <c r="X15" s="38">
        <v>1</v>
      </c>
      <c r="Y15" s="38">
        <v>0</v>
      </c>
      <c r="Z15" s="38">
        <v>6</v>
      </c>
      <c r="AA15" s="38">
        <v>6</v>
      </c>
      <c r="AB15" s="38">
        <v>4</v>
      </c>
      <c r="AC15" s="38">
        <v>7</v>
      </c>
      <c r="AD15" s="38">
        <v>8</v>
      </c>
      <c r="AE15" s="38"/>
      <c r="AF15" s="38"/>
      <c r="AG15" s="38"/>
      <c r="AH15" s="40">
        <f t="shared" si="7"/>
        <v>46</v>
      </c>
      <c r="AI15" s="40">
        <f t="shared" si="7"/>
        <v>40</v>
      </c>
      <c r="AJ15" s="40">
        <f t="shared" si="7"/>
        <v>76</v>
      </c>
      <c r="AK15" s="40">
        <f t="shared" si="7"/>
        <v>76</v>
      </c>
      <c r="AL15" s="40">
        <f t="shared" si="7"/>
        <v>64</v>
      </c>
      <c r="AM15" s="40">
        <f t="shared" si="7"/>
        <v>82</v>
      </c>
      <c r="AN15" s="40">
        <f t="shared" si="7"/>
        <v>88</v>
      </c>
      <c r="AO15" s="40" t="str">
        <f t="shared" si="7"/>
        <v xml:space="preserve"> </v>
      </c>
      <c r="AP15" s="40" t="str">
        <f t="shared" si="7"/>
        <v xml:space="preserve"> </v>
      </c>
      <c r="AQ15" s="40" t="str">
        <f t="shared" si="7"/>
        <v xml:space="preserve"> </v>
      </c>
      <c r="AR15" s="41">
        <f t="shared" si="8"/>
        <v>67.428571428571431</v>
      </c>
      <c r="AS15" s="38">
        <v>100</v>
      </c>
      <c r="AT15" s="164">
        <f t="shared" si="20"/>
        <v>95</v>
      </c>
      <c r="AU15" s="38"/>
      <c r="AV15" s="38"/>
      <c r="AW15" s="38"/>
      <c r="AX15" s="38"/>
      <c r="AY15" s="38"/>
      <c r="AZ15" s="38"/>
      <c r="BA15" s="38"/>
      <c r="BB15" s="38"/>
      <c r="BC15" s="42">
        <f t="shared" si="9"/>
        <v>100</v>
      </c>
      <c r="BD15" s="42">
        <f t="shared" si="9"/>
        <v>97</v>
      </c>
      <c r="BE15" s="42" t="str">
        <f t="shared" si="9"/>
        <v xml:space="preserve"> </v>
      </c>
      <c r="BF15" s="42" t="str">
        <f t="shared" si="9"/>
        <v xml:space="preserve"> </v>
      </c>
      <c r="BG15" s="42" t="str">
        <f t="shared" si="9"/>
        <v xml:space="preserve"> </v>
      </c>
      <c r="BH15" s="42" t="str">
        <f t="shared" si="9"/>
        <v xml:space="preserve"> </v>
      </c>
      <c r="BI15" s="42" t="str">
        <f t="shared" si="9"/>
        <v xml:space="preserve"> </v>
      </c>
      <c r="BJ15" s="42" t="str">
        <f t="shared" si="9"/>
        <v xml:space="preserve"> </v>
      </c>
      <c r="BK15" s="42" t="str">
        <f t="shared" si="9"/>
        <v xml:space="preserve"> </v>
      </c>
      <c r="BL15" s="42" t="str">
        <f t="shared" si="9"/>
        <v xml:space="preserve"> </v>
      </c>
      <c r="BM15" s="43">
        <f t="shared" si="10"/>
        <v>98.5</v>
      </c>
      <c r="BN15" s="38">
        <v>70</v>
      </c>
      <c r="BO15" s="44">
        <f t="shared" si="11"/>
        <v>82</v>
      </c>
      <c r="BP15" s="20"/>
      <c r="BQ15" s="39">
        <f t="shared" si="21"/>
        <v>81.459415584415581</v>
      </c>
      <c r="BR15" s="23" t="str">
        <f t="shared" si="22"/>
        <v>PASSED</v>
      </c>
      <c r="BS15" s="45"/>
      <c r="BT15" s="46"/>
      <c r="BU15" s="46"/>
      <c r="BV15" s="46"/>
      <c r="BW15" s="21">
        <f t="shared" si="12"/>
        <v>1</v>
      </c>
      <c r="BX15" s="22">
        <f t="shared" si="12"/>
        <v>1</v>
      </c>
      <c r="BY15" s="22">
        <f t="shared" si="12"/>
        <v>1</v>
      </c>
      <c r="BZ15" s="22">
        <f t="shared" si="12"/>
        <v>1</v>
      </c>
      <c r="CA15" s="22">
        <f t="shared" si="12"/>
        <v>1</v>
      </c>
      <c r="CB15" s="22" t="str">
        <f t="shared" si="12"/>
        <v/>
      </c>
      <c r="CC15" s="22">
        <f t="shared" si="12"/>
        <v>1</v>
      </c>
      <c r="CD15" s="22">
        <f t="shared" si="12"/>
        <v>1</v>
      </c>
      <c r="CE15" s="22">
        <f t="shared" si="12"/>
        <v>1</v>
      </c>
      <c r="CF15" s="22">
        <f t="shared" si="12"/>
        <v>1</v>
      </c>
      <c r="CG15" s="22">
        <f t="shared" si="12"/>
        <v>1</v>
      </c>
      <c r="CH15" s="22" t="str">
        <f t="shared" si="12"/>
        <v/>
      </c>
      <c r="CI15" s="22" t="str">
        <f t="shared" si="12"/>
        <v/>
      </c>
      <c r="CJ15" s="22" t="str">
        <f t="shared" si="12"/>
        <v/>
      </c>
      <c r="CK15" s="22" t="str">
        <f t="shared" si="12"/>
        <v/>
      </c>
      <c r="CL15" s="22" t="str">
        <f t="shared" si="12"/>
        <v/>
      </c>
      <c r="CM15" s="22" t="str">
        <f t="shared" si="13"/>
        <v/>
      </c>
      <c r="CN15" s="22" t="str">
        <f t="shared" si="13"/>
        <v/>
      </c>
      <c r="CO15" s="22" t="str">
        <f t="shared" si="13"/>
        <v/>
      </c>
      <c r="CP15" s="22" t="str">
        <f t="shared" si="13"/>
        <v/>
      </c>
      <c r="CQ15" s="22">
        <f t="shared" si="23"/>
        <v>10</v>
      </c>
      <c r="CR15" s="22">
        <f t="shared" si="3"/>
        <v>11</v>
      </c>
      <c r="CS15" s="22" t="str">
        <f t="shared" si="14"/>
        <v/>
      </c>
      <c r="CT15" s="22" t="str">
        <f t="shared" si="14"/>
        <v/>
      </c>
      <c r="CU15" s="22" t="str">
        <f t="shared" si="14"/>
        <v/>
      </c>
      <c r="CV15" s="22" t="str">
        <f t="shared" si="14"/>
        <v/>
      </c>
      <c r="CW15" s="22" t="str">
        <f t="shared" si="14"/>
        <v/>
      </c>
      <c r="CX15" s="22" t="str">
        <f t="shared" si="14"/>
        <v/>
      </c>
      <c r="CY15" s="22" t="str">
        <f t="shared" si="14"/>
        <v/>
      </c>
      <c r="CZ15" s="22" t="str">
        <f t="shared" si="14"/>
        <v/>
      </c>
      <c r="DA15" s="22" t="str">
        <f t="shared" si="14"/>
        <v/>
      </c>
      <c r="DB15" s="22" t="str">
        <f t="shared" si="14"/>
        <v/>
      </c>
      <c r="DC15" s="22" t="str">
        <f t="shared" si="14"/>
        <v/>
      </c>
      <c r="DD15" s="22" t="str">
        <f t="shared" si="14"/>
        <v/>
      </c>
      <c r="DE15" s="22" t="str">
        <f t="shared" si="14"/>
        <v/>
      </c>
      <c r="DF15" s="22" t="str">
        <f t="shared" si="14"/>
        <v/>
      </c>
      <c r="DG15" s="22" t="str">
        <f t="shared" si="14"/>
        <v/>
      </c>
      <c r="DH15" s="22" t="str">
        <f t="shared" si="14"/>
        <v/>
      </c>
      <c r="DI15" s="22" t="str">
        <f t="shared" si="15"/>
        <v/>
      </c>
      <c r="DJ15" s="22" t="str">
        <f t="shared" si="15"/>
        <v/>
      </c>
      <c r="DK15" s="22" t="str">
        <f t="shared" si="15"/>
        <v/>
      </c>
      <c r="DL15" s="22" t="str">
        <f t="shared" si="15"/>
        <v/>
      </c>
      <c r="DM15" s="22">
        <f t="shared" si="16"/>
        <v>0</v>
      </c>
      <c r="DN15" s="36">
        <f t="shared" si="17"/>
        <v>10</v>
      </c>
      <c r="DO15" s="36">
        <f t="shared" si="17"/>
        <v>10</v>
      </c>
      <c r="DP15" s="36">
        <f t="shared" si="17"/>
        <v>10</v>
      </c>
      <c r="DQ15" s="36">
        <f t="shared" si="17"/>
        <v>10</v>
      </c>
      <c r="DR15" s="36">
        <f t="shared" si="17"/>
        <v>10</v>
      </c>
      <c r="DS15" s="36">
        <f t="shared" si="17"/>
        <v>10</v>
      </c>
      <c r="DT15" s="36">
        <f t="shared" si="17"/>
        <v>10</v>
      </c>
      <c r="DU15" s="36">
        <f t="shared" si="17"/>
        <v>0</v>
      </c>
      <c r="DV15" s="36">
        <f t="shared" si="17"/>
        <v>0</v>
      </c>
      <c r="DW15" s="36">
        <f t="shared" si="17"/>
        <v>0</v>
      </c>
      <c r="DX15" s="23">
        <f t="shared" si="17"/>
        <v>7</v>
      </c>
      <c r="DY15" s="23">
        <f t="shared" si="18"/>
        <v>100</v>
      </c>
      <c r="DZ15" s="23">
        <f t="shared" si="19"/>
        <v>100</v>
      </c>
      <c r="EA15" s="23">
        <f t="shared" si="19"/>
        <v>0</v>
      </c>
      <c r="EB15" s="23">
        <f t="shared" si="19"/>
        <v>0</v>
      </c>
      <c r="EC15" s="23">
        <f t="shared" si="19"/>
        <v>0</v>
      </c>
      <c r="ED15" s="23">
        <f t="shared" si="19"/>
        <v>0</v>
      </c>
      <c r="EE15" s="23">
        <f t="shared" si="19"/>
        <v>0</v>
      </c>
      <c r="EF15" s="23">
        <f t="shared" si="19"/>
        <v>0</v>
      </c>
      <c r="EG15" s="23">
        <f t="shared" si="19"/>
        <v>0</v>
      </c>
      <c r="EH15" s="23">
        <f t="shared" si="19"/>
        <v>0</v>
      </c>
      <c r="EI15" s="23">
        <f t="shared" si="19"/>
        <v>2</v>
      </c>
      <c r="EJ15" s="23">
        <f t="shared" si="19"/>
        <v>100</v>
      </c>
    </row>
    <row r="16" spans="1:140" ht="9.9" customHeight="1" x14ac:dyDescent="0.3">
      <c r="A16" s="23">
        <v>7</v>
      </c>
      <c r="B16" s="37" t="str">
        <f>IF(PRELIM!B16="","",PRELIM!B16)</f>
        <v>BONGGALON, ROSELYN M.</v>
      </c>
      <c r="C16" s="69" t="s">
        <v>190</v>
      </c>
      <c r="D16" s="69" t="s">
        <v>190</v>
      </c>
      <c r="E16" s="69" t="s">
        <v>190</v>
      </c>
      <c r="F16" s="69" t="s">
        <v>190</v>
      </c>
      <c r="G16" s="69" t="s">
        <v>190</v>
      </c>
      <c r="H16" s="38" t="s">
        <v>190</v>
      </c>
      <c r="I16" s="38" t="s">
        <v>190</v>
      </c>
      <c r="J16" s="38" t="s">
        <v>190</v>
      </c>
      <c r="K16" s="38" t="s">
        <v>190</v>
      </c>
      <c r="L16" s="38" t="s">
        <v>190</v>
      </c>
      <c r="M16" s="38" t="s">
        <v>190</v>
      </c>
      <c r="N16" s="38"/>
      <c r="O16" s="38"/>
      <c r="P16" s="38"/>
      <c r="Q16" s="38"/>
      <c r="R16" s="38"/>
      <c r="S16" s="38"/>
      <c r="T16" s="38"/>
      <c r="U16" s="38"/>
      <c r="V16" s="38"/>
      <c r="W16" s="39">
        <f t="shared" si="6"/>
        <v>100</v>
      </c>
      <c r="X16" s="38">
        <v>3</v>
      </c>
      <c r="Y16" s="38">
        <v>0</v>
      </c>
      <c r="Z16" s="38">
        <v>6</v>
      </c>
      <c r="AA16" s="38">
        <v>8</v>
      </c>
      <c r="AB16" s="38">
        <v>5</v>
      </c>
      <c r="AC16" s="38">
        <v>7</v>
      </c>
      <c r="AD16" s="38">
        <v>6</v>
      </c>
      <c r="AE16" s="38"/>
      <c r="AF16" s="38"/>
      <c r="AG16" s="38"/>
      <c r="AH16" s="40">
        <f t="shared" si="7"/>
        <v>58</v>
      </c>
      <c r="AI16" s="40">
        <f t="shared" si="7"/>
        <v>40</v>
      </c>
      <c r="AJ16" s="40">
        <f t="shared" si="7"/>
        <v>76</v>
      </c>
      <c r="AK16" s="40">
        <f t="shared" si="7"/>
        <v>88</v>
      </c>
      <c r="AL16" s="40">
        <f t="shared" si="7"/>
        <v>70</v>
      </c>
      <c r="AM16" s="40">
        <f t="shared" si="7"/>
        <v>82</v>
      </c>
      <c r="AN16" s="40">
        <f t="shared" si="7"/>
        <v>76</v>
      </c>
      <c r="AO16" s="40" t="str">
        <f t="shared" si="7"/>
        <v xml:space="preserve"> </v>
      </c>
      <c r="AP16" s="40" t="str">
        <f t="shared" si="7"/>
        <v xml:space="preserve"> </v>
      </c>
      <c r="AQ16" s="40" t="str">
        <f t="shared" si="7"/>
        <v xml:space="preserve"> </v>
      </c>
      <c r="AR16" s="41">
        <f t="shared" si="8"/>
        <v>70</v>
      </c>
      <c r="AS16" s="38">
        <v>100</v>
      </c>
      <c r="AT16" s="164">
        <f t="shared" si="20"/>
        <v>100</v>
      </c>
      <c r="AU16" s="38"/>
      <c r="AV16" s="38"/>
      <c r="AW16" s="38"/>
      <c r="AX16" s="38"/>
      <c r="AY16" s="38"/>
      <c r="AZ16" s="38"/>
      <c r="BA16" s="38"/>
      <c r="BB16" s="38"/>
      <c r="BC16" s="42">
        <f t="shared" si="9"/>
        <v>100</v>
      </c>
      <c r="BD16" s="42">
        <f t="shared" si="9"/>
        <v>100</v>
      </c>
      <c r="BE16" s="42" t="str">
        <f t="shared" si="9"/>
        <v xml:space="preserve"> </v>
      </c>
      <c r="BF16" s="42" t="str">
        <f t="shared" si="9"/>
        <v xml:space="preserve"> </v>
      </c>
      <c r="BG16" s="42" t="str">
        <f t="shared" si="9"/>
        <v xml:space="preserve"> </v>
      </c>
      <c r="BH16" s="42" t="str">
        <f t="shared" si="9"/>
        <v xml:space="preserve"> </v>
      </c>
      <c r="BI16" s="42" t="str">
        <f t="shared" si="9"/>
        <v xml:space="preserve"> </v>
      </c>
      <c r="BJ16" s="42" t="str">
        <f t="shared" si="9"/>
        <v xml:space="preserve"> </v>
      </c>
      <c r="BK16" s="42" t="str">
        <f t="shared" si="9"/>
        <v xml:space="preserve"> </v>
      </c>
      <c r="BL16" s="42" t="str">
        <f t="shared" si="9"/>
        <v xml:space="preserve"> </v>
      </c>
      <c r="BM16" s="43">
        <f t="shared" si="10"/>
        <v>100</v>
      </c>
      <c r="BN16" s="38">
        <v>47</v>
      </c>
      <c r="BO16" s="44">
        <f t="shared" si="11"/>
        <v>68.2</v>
      </c>
      <c r="BP16" s="20"/>
      <c r="BQ16" s="39">
        <f t="shared" si="21"/>
        <v>75.010000000000005</v>
      </c>
      <c r="BR16" s="23" t="str">
        <f t="shared" si="22"/>
        <v>PASSED</v>
      </c>
      <c r="BS16" s="45"/>
      <c r="BT16" s="46"/>
      <c r="BU16" s="46"/>
      <c r="BV16" s="46"/>
      <c r="BW16" s="21">
        <f t="shared" si="12"/>
        <v>1</v>
      </c>
      <c r="BX16" s="22">
        <f t="shared" si="12"/>
        <v>1</v>
      </c>
      <c r="BY16" s="22">
        <f t="shared" si="12"/>
        <v>1</v>
      </c>
      <c r="BZ16" s="22">
        <f t="shared" si="12"/>
        <v>1</v>
      </c>
      <c r="CA16" s="22">
        <f t="shared" si="12"/>
        <v>1</v>
      </c>
      <c r="CB16" s="22">
        <f t="shared" si="12"/>
        <v>1</v>
      </c>
      <c r="CC16" s="22">
        <f t="shared" si="12"/>
        <v>1</v>
      </c>
      <c r="CD16" s="22">
        <f t="shared" si="12"/>
        <v>1</v>
      </c>
      <c r="CE16" s="22">
        <f t="shared" si="12"/>
        <v>1</v>
      </c>
      <c r="CF16" s="22">
        <f t="shared" si="12"/>
        <v>1</v>
      </c>
      <c r="CG16" s="22">
        <f t="shared" si="12"/>
        <v>1</v>
      </c>
      <c r="CH16" s="22" t="str">
        <f t="shared" si="12"/>
        <v/>
      </c>
      <c r="CI16" s="22" t="str">
        <f t="shared" si="12"/>
        <v/>
      </c>
      <c r="CJ16" s="22" t="str">
        <f t="shared" si="12"/>
        <v/>
      </c>
      <c r="CK16" s="22" t="str">
        <f t="shared" si="12"/>
        <v/>
      </c>
      <c r="CL16" s="22" t="str">
        <f t="shared" si="12"/>
        <v/>
      </c>
      <c r="CM16" s="22" t="str">
        <f t="shared" si="13"/>
        <v/>
      </c>
      <c r="CN16" s="22" t="str">
        <f t="shared" si="13"/>
        <v/>
      </c>
      <c r="CO16" s="22" t="str">
        <f t="shared" si="13"/>
        <v/>
      </c>
      <c r="CP16" s="22" t="str">
        <f t="shared" si="13"/>
        <v/>
      </c>
      <c r="CQ16" s="22">
        <f t="shared" si="23"/>
        <v>11</v>
      </c>
      <c r="CR16" s="22">
        <f t="shared" si="3"/>
        <v>11</v>
      </c>
      <c r="CS16" s="22" t="str">
        <f t="shared" si="14"/>
        <v/>
      </c>
      <c r="CT16" s="22" t="str">
        <f t="shared" si="14"/>
        <v/>
      </c>
      <c r="CU16" s="22" t="str">
        <f t="shared" si="14"/>
        <v/>
      </c>
      <c r="CV16" s="22" t="str">
        <f t="shared" si="14"/>
        <v/>
      </c>
      <c r="CW16" s="22" t="str">
        <f t="shared" si="14"/>
        <v/>
      </c>
      <c r="CX16" s="22" t="str">
        <f t="shared" si="14"/>
        <v/>
      </c>
      <c r="CY16" s="22" t="str">
        <f t="shared" si="14"/>
        <v/>
      </c>
      <c r="CZ16" s="22" t="str">
        <f t="shared" si="14"/>
        <v/>
      </c>
      <c r="DA16" s="22" t="str">
        <f t="shared" si="14"/>
        <v/>
      </c>
      <c r="DB16" s="22" t="str">
        <f t="shared" si="14"/>
        <v/>
      </c>
      <c r="DC16" s="22" t="str">
        <f t="shared" si="14"/>
        <v/>
      </c>
      <c r="DD16" s="22" t="str">
        <f t="shared" si="14"/>
        <v/>
      </c>
      <c r="DE16" s="22" t="str">
        <f t="shared" si="14"/>
        <v/>
      </c>
      <c r="DF16" s="22" t="str">
        <f t="shared" si="14"/>
        <v/>
      </c>
      <c r="DG16" s="22" t="str">
        <f t="shared" si="14"/>
        <v/>
      </c>
      <c r="DH16" s="22" t="str">
        <f t="shared" si="14"/>
        <v/>
      </c>
      <c r="DI16" s="22" t="str">
        <f t="shared" si="15"/>
        <v/>
      </c>
      <c r="DJ16" s="22" t="str">
        <f t="shared" si="15"/>
        <v/>
      </c>
      <c r="DK16" s="22" t="str">
        <f t="shared" si="15"/>
        <v/>
      </c>
      <c r="DL16" s="22" t="str">
        <f t="shared" si="15"/>
        <v/>
      </c>
      <c r="DM16" s="22">
        <f t="shared" si="16"/>
        <v>0</v>
      </c>
      <c r="DN16" s="36">
        <f t="shared" si="17"/>
        <v>10</v>
      </c>
      <c r="DO16" s="36">
        <f t="shared" si="17"/>
        <v>10</v>
      </c>
      <c r="DP16" s="36">
        <f t="shared" si="17"/>
        <v>10</v>
      </c>
      <c r="DQ16" s="36">
        <f t="shared" si="17"/>
        <v>10</v>
      </c>
      <c r="DR16" s="36">
        <f t="shared" si="17"/>
        <v>10</v>
      </c>
      <c r="DS16" s="36">
        <f t="shared" si="17"/>
        <v>10</v>
      </c>
      <c r="DT16" s="36">
        <f t="shared" si="17"/>
        <v>10</v>
      </c>
      <c r="DU16" s="36">
        <f t="shared" si="17"/>
        <v>0</v>
      </c>
      <c r="DV16" s="36">
        <f t="shared" si="17"/>
        <v>0</v>
      </c>
      <c r="DW16" s="36">
        <f t="shared" si="17"/>
        <v>0</v>
      </c>
      <c r="DX16" s="23">
        <f t="shared" si="17"/>
        <v>7</v>
      </c>
      <c r="DY16" s="23">
        <f t="shared" si="18"/>
        <v>100</v>
      </c>
      <c r="DZ16" s="23">
        <f t="shared" si="19"/>
        <v>100</v>
      </c>
      <c r="EA16" s="23">
        <f t="shared" si="19"/>
        <v>0</v>
      </c>
      <c r="EB16" s="23">
        <f t="shared" si="19"/>
        <v>0</v>
      </c>
      <c r="EC16" s="23">
        <f t="shared" si="19"/>
        <v>0</v>
      </c>
      <c r="ED16" s="23">
        <f t="shared" si="19"/>
        <v>0</v>
      </c>
      <c r="EE16" s="23">
        <f t="shared" si="19"/>
        <v>0</v>
      </c>
      <c r="EF16" s="23">
        <f t="shared" si="19"/>
        <v>0</v>
      </c>
      <c r="EG16" s="23">
        <f t="shared" si="19"/>
        <v>0</v>
      </c>
      <c r="EH16" s="23">
        <f t="shared" si="19"/>
        <v>0</v>
      </c>
      <c r="EI16" s="23">
        <f t="shared" si="19"/>
        <v>2</v>
      </c>
      <c r="EJ16" s="23">
        <f t="shared" si="19"/>
        <v>100</v>
      </c>
    </row>
    <row r="17" spans="1:140" ht="9.9" customHeight="1" x14ac:dyDescent="0.3">
      <c r="A17" s="23">
        <v>8</v>
      </c>
      <c r="B17" s="37" t="str">
        <f>IF(PRELIM!B17="","",PRELIM!B17)</f>
        <v>CABANIG, JOYCE D.</v>
      </c>
      <c r="C17" s="69" t="s">
        <v>190</v>
      </c>
      <c r="D17" s="69" t="s">
        <v>190</v>
      </c>
      <c r="E17" s="69" t="s">
        <v>190</v>
      </c>
      <c r="F17" s="69" t="s">
        <v>190</v>
      </c>
      <c r="G17" s="69" t="s">
        <v>190</v>
      </c>
      <c r="H17" s="38" t="s">
        <v>190</v>
      </c>
      <c r="I17" s="38" t="s">
        <v>190</v>
      </c>
      <c r="J17" s="38" t="s">
        <v>190</v>
      </c>
      <c r="K17" s="38" t="s">
        <v>190</v>
      </c>
      <c r="L17" s="38" t="s">
        <v>190</v>
      </c>
      <c r="M17" s="38" t="s">
        <v>190</v>
      </c>
      <c r="N17" s="38"/>
      <c r="O17" s="38"/>
      <c r="P17" s="38"/>
      <c r="Q17" s="38"/>
      <c r="R17" s="38"/>
      <c r="S17" s="38"/>
      <c r="T17" s="38"/>
      <c r="U17" s="38"/>
      <c r="V17" s="38"/>
      <c r="W17" s="39">
        <f t="shared" si="6"/>
        <v>100</v>
      </c>
      <c r="X17" s="38">
        <v>4</v>
      </c>
      <c r="Y17" s="38">
        <v>0</v>
      </c>
      <c r="Z17" s="38">
        <v>7</v>
      </c>
      <c r="AA17" s="38">
        <v>6</v>
      </c>
      <c r="AB17" s="38">
        <v>7</v>
      </c>
      <c r="AC17" s="38">
        <v>7</v>
      </c>
      <c r="AD17" s="38">
        <v>6</v>
      </c>
      <c r="AE17" s="38"/>
      <c r="AF17" s="38"/>
      <c r="AG17" s="38"/>
      <c r="AH17" s="40">
        <f t="shared" si="7"/>
        <v>64</v>
      </c>
      <c r="AI17" s="40">
        <f t="shared" si="7"/>
        <v>40</v>
      </c>
      <c r="AJ17" s="40">
        <f t="shared" si="7"/>
        <v>82</v>
      </c>
      <c r="AK17" s="40">
        <f t="shared" si="7"/>
        <v>76</v>
      </c>
      <c r="AL17" s="40">
        <f t="shared" si="7"/>
        <v>82</v>
      </c>
      <c r="AM17" s="40">
        <f t="shared" si="7"/>
        <v>82</v>
      </c>
      <c r="AN17" s="40">
        <f t="shared" si="7"/>
        <v>76</v>
      </c>
      <c r="AO17" s="40" t="str">
        <f t="shared" si="7"/>
        <v xml:space="preserve"> </v>
      </c>
      <c r="AP17" s="40" t="str">
        <f t="shared" si="7"/>
        <v xml:space="preserve"> </v>
      </c>
      <c r="AQ17" s="40" t="str">
        <f t="shared" si="7"/>
        <v xml:space="preserve"> </v>
      </c>
      <c r="AR17" s="41">
        <f t="shared" si="8"/>
        <v>71.714285714285708</v>
      </c>
      <c r="AS17" s="38">
        <v>90</v>
      </c>
      <c r="AT17" s="164">
        <f t="shared" si="20"/>
        <v>100</v>
      </c>
      <c r="AU17" s="38"/>
      <c r="AV17" s="38"/>
      <c r="AW17" s="38"/>
      <c r="AX17" s="38"/>
      <c r="AY17" s="38"/>
      <c r="AZ17" s="38"/>
      <c r="BA17" s="38"/>
      <c r="BB17" s="38"/>
      <c r="BC17" s="42">
        <f t="shared" si="9"/>
        <v>94</v>
      </c>
      <c r="BD17" s="42">
        <f t="shared" si="9"/>
        <v>100</v>
      </c>
      <c r="BE17" s="42" t="str">
        <f t="shared" si="9"/>
        <v xml:space="preserve"> </v>
      </c>
      <c r="BF17" s="42" t="str">
        <f t="shared" si="9"/>
        <v xml:space="preserve"> </v>
      </c>
      <c r="BG17" s="42" t="str">
        <f t="shared" si="9"/>
        <v xml:space="preserve"> </v>
      </c>
      <c r="BH17" s="42" t="str">
        <f t="shared" si="9"/>
        <v xml:space="preserve"> </v>
      </c>
      <c r="BI17" s="42" t="str">
        <f t="shared" si="9"/>
        <v xml:space="preserve"> </v>
      </c>
      <c r="BJ17" s="42" t="str">
        <f t="shared" si="9"/>
        <v xml:space="preserve"> </v>
      </c>
      <c r="BK17" s="42" t="str">
        <f t="shared" si="9"/>
        <v xml:space="preserve"> </v>
      </c>
      <c r="BL17" s="42" t="str">
        <f t="shared" si="9"/>
        <v xml:space="preserve"> </v>
      </c>
      <c r="BM17" s="43">
        <f t="shared" si="10"/>
        <v>97</v>
      </c>
      <c r="BN17" s="38">
        <v>64</v>
      </c>
      <c r="BO17" s="44">
        <f t="shared" si="11"/>
        <v>78.400000000000006</v>
      </c>
      <c r="BP17" s="20"/>
      <c r="BQ17" s="39">
        <f t="shared" si="21"/>
        <v>80.598571428571432</v>
      </c>
      <c r="BR17" s="23" t="str">
        <f t="shared" si="22"/>
        <v>PASSED</v>
      </c>
      <c r="BS17" s="45"/>
      <c r="BT17" s="46"/>
      <c r="BU17" s="46"/>
      <c r="BV17" s="46"/>
      <c r="BW17" s="21">
        <f t="shared" si="12"/>
        <v>1</v>
      </c>
      <c r="BX17" s="22">
        <f t="shared" si="12"/>
        <v>1</v>
      </c>
      <c r="BY17" s="22">
        <f t="shared" si="12"/>
        <v>1</v>
      </c>
      <c r="BZ17" s="22">
        <f t="shared" si="12"/>
        <v>1</v>
      </c>
      <c r="CA17" s="22">
        <f t="shared" si="12"/>
        <v>1</v>
      </c>
      <c r="CB17" s="22">
        <f t="shared" si="12"/>
        <v>1</v>
      </c>
      <c r="CC17" s="22">
        <f t="shared" si="12"/>
        <v>1</v>
      </c>
      <c r="CD17" s="22">
        <f t="shared" si="12"/>
        <v>1</v>
      </c>
      <c r="CE17" s="22">
        <f t="shared" si="12"/>
        <v>1</v>
      </c>
      <c r="CF17" s="22">
        <f t="shared" si="12"/>
        <v>1</v>
      </c>
      <c r="CG17" s="22">
        <f t="shared" si="12"/>
        <v>1</v>
      </c>
      <c r="CH17" s="22" t="str">
        <f t="shared" si="12"/>
        <v/>
      </c>
      <c r="CI17" s="22" t="str">
        <f t="shared" si="12"/>
        <v/>
      </c>
      <c r="CJ17" s="22" t="str">
        <f t="shared" si="12"/>
        <v/>
      </c>
      <c r="CK17" s="22" t="str">
        <f t="shared" si="12"/>
        <v/>
      </c>
      <c r="CL17" s="22" t="str">
        <f t="shared" si="12"/>
        <v/>
      </c>
      <c r="CM17" s="22" t="str">
        <f t="shared" si="13"/>
        <v/>
      </c>
      <c r="CN17" s="22" t="str">
        <f t="shared" si="13"/>
        <v/>
      </c>
      <c r="CO17" s="22" t="str">
        <f t="shared" si="13"/>
        <v/>
      </c>
      <c r="CP17" s="22" t="str">
        <f t="shared" si="13"/>
        <v/>
      </c>
      <c r="CQ17" s="22">
        <f t="shared" si="23"/>
        <v>11</v>
      </c>
      <c r="CR17" s="22">
        <f t="shared" si="3"/>
        <v>11</v>
      </c>
      <c r="CS17" s="22" t="str">
        <f t="shared" si="14"/>
        <v/>
      </c>
      <c r="CT17" s="22" t="str">
        <f t="shared" si="14"/>
        <v/>
      </c>
      <c r="CU17" s="22" t="str">
        <f t="shared" si="14"/>
        <v/>
      </c>
      <c r="CV17" s="22" t="str">
        <f t="shared" si="14"/>
        <v/>
      </c>
      <c r="CW17" s="22" t="str">
        <f t="shared" si="14"/>
        <v/>
      </c>
      <c r="CX17" s="22" t="str">
        <f t="shared" si="14"/>
        <v/>
      </c>
      <c r="CY17" s="22" t="str">
        <f t="shared" si="14"/>
        <v/>
      </c>
      <c r="CZ17" s="22" t="str">
        <f t="shared" si="14"/>
        <v/>
      </c>
      <c r="DA17" s="22" t="str">
        <f t="shared" si="14"/>
        <v/>
      </c>
      <c r="DB17" s="22" t="str">
        <f t="shared" si="14"/>
        <v/>
      </c>
      <c r="DC17" s="22" t="str">
        <f t="shared" si="14"/>
        <v/>
      </c>
      <c r="DD17" s="22" t="str">
        <f t="shared" si="14"/>
        <v/>
      </c>
      <c r="DE17" s="22" t="str">
        <f t="shared" si="14"/>
        <v/>
      </c>
      <c r="DF17" s="22" t="str">
        <f t="shared" si="14"/>
        <v/>
      </c>
      <c r="DG17" s="22" t="str">
        <f t="shared" si="14"/>
        <v/>
      </c>
      <c r="DH17" s="22" t="str">
        <f t="shared" si="14"/>
        <v/>
      </c>
      <c r="DI17" s="22" t="str">
        <f t="shared" si="15"/>
        <v/>
      </c>
      <c r="DJ17" s="22" t="str">
        <f t="shared" si="15"/>
        <v/>
      </c>
      <c r="DK17" s="22" t="str">
        <f t="shared" si="15"/>
        <v/>
      </c>
      <c r="DL17" s="22" t="str">
        <f t="shared" si="15"/>
        <v/>
      </c>
      <c r="DM17" s="22">
        <f t="shared" si="16"/>
        <v>0</v>
      </c>
      <c r="DN17" s="36">
        <f t="shared" si="17"/>
        <v>10</v>
      </c>
      <c r="DO17" s="36">
        <f t="shared" si="17"/>
        <v>10</v>
      </c>
      <c r="DP17" s="36">
        <f t="shared" si="17"/>
        <v>10</v>
      </c>
      <c r="DQ17" s="36">
        <f t="shared" si="17"/>
        <v>10</v>
      </c>
      <c r="DR17" s="36">
        <f t="shared" si="17"/>
        <v>10</v>
      </c>
      <c r="DS17" s="36">
        <f t="shared" si="17"/>
        <v>10</v>
      </c>
      <c r="DT17" s="36">
        <f t="shared" si="17"/>
        <v>10</v>
      </c>
      <c r="DU17" s="36">
        <f t="shared" si="17"/>
        <v>0</v>
      </c>
      <c r="DV17" s="36">
        <f t="shared" si="17"/>
        <v>0</v>
      </c>
      <c r="DW17" s="36">
        <f t="shared" si="17"/>
        <v>0</v>
      </c>
      <c r="DX17" s="23">
        <f t="shared" si="17"/>
        <v>7</v>
      </c>
      <c r="DY17" s="23">
        <f t="shared" si="18"/>
        <v>100</v>
      </c>
      <c r="DZ17" s="23">
        <f t="shared" si="19"/>
        <v>100</v>
      </c>
      <c r="EA17" s="23">
        <f t="shared" si="19"/>
        <v>0</v>
      </c>
      <c r="EB17" s="23">
        <f t="shared" si="19"/>
        <v>0</v>
      </c>
      <c r="EC17" s="23">
        <f t="shared" si="19"/>
        <v>0</v>
      </c>
      <c r="ED17" s="23">
        <f t="shared" si="19"/>
        <v>0</v>
      </c>
      <c r="EE17" s="23">
        <f t="shared" si="19"/>
        <v>0</v>
      </c>
      <c r="EF17" s="23">
        <f t="shared" si="19"/>
        <v>0</v>
      </c>
      <c r="EG17" s="23">
        <f t="shared" si="19"/>
        <v>0</v>
      </c>
      <c r="EH17" s="23">
        <f t="shared" si="19"/>
        <v>0</v>
      </c>
      <c r="EI17" s="23">
        <f t="shared" si="19"/>
        <v>2</v>
      </c>
      <c r="EJ17" s="23">
        <f t="shared" si="19"/>
        <v>100</v>
      </c>
    </row>
    <row r="18" spans="1:140" ht="9.9" customHeight="1" x14ac:dyDescent="0.3">
      <c r="A18" s="23">
        <v>9</v>
      </c>
      <c r="B18" s="37" t="str">
        <f>IF(PRELIM!B18="","",PRELIM!B18)</f>
        <v>DELEGUER JR., WYNIEL M.</v>
      </c>
      <c r="C18" s="69" t="s">
        <v>190</v>
      </c>
      <c r="D18" s="69" t="s">
        <v>190</v>
      </c>
      <c r="E18" s="69" t="s">
        <v>190</v>
      </c>
      <c r="F18" s="69" t="s">
        <v>190</v>
      </c>
      <c r="G18" s="69" t="s">
        <v>190</v>
      </c>
      <c r="H18" s="38" t="s">
        <v>190</v>
      </c>
      <c r="I18" s="38" t="s">
        <v>190</v>
      </c>
      <c r="J18" s="38" t="s">
        <v>190</v>
      </c>
      <c r="K18" s="38" t="s">
        <v>190</v>
      </c>
      <c r="L18" s="38" t="s">
        <v>190</v>
      </c>
      <c r="M18" s="38" t="s">
        <v>190</v>
      </c>
      <c r="N18" s="38"/>
      <c r="O18" s="38"/>
      <c r="P18" s="38"/>
      <c r="Q18" s="38"/>
      <c r="R18" s="38"/>
      <c r="S18" s="38"/>
      <c r="T18" s="38"/>
      <c r="U18" s="38"/>
      <c r="V18" s="38"/>
      <c r="W18" s="39">
        <f t="shared" si="6"/>
        <v>100</v>
      </c>
      <c r="X18" s="38">
        <v>3</v>
      </c>
      <c r="Y18" s="38">
        <v>1</v>
      </c>
      <c r="Z18" s="38">
        <v>4</v>
      </c>
      <c r="AA18" s="38">
        <v>8</v>
      </c>
      <c r="AB18" s="38">
        <v>8</v>
      </c>
      <c r="AC18" s="38">
        <v>8</v>
      </c>
      <c r="AD18" s="38">
        <v>7</v>
      </c>
      <c r="AE18" s="38"/>
      <c r="AF18" s="38"/>
      <c r="AG18" s="38"/>
      <c r="AH18" s="40">
        <f t="shared" si="7"/>
        <v>58</v>
      </c>
      <c r="AI18" s="40">
        <f t="shared" si="7"/>
        <v>46</v>
      </c>
      <c r="AJ18" s="40">
        <f t="shared" si="7"/>
        <v>64</v>
      </c>
      <c r="AK18" s="40">
        <f t="shared" si="7"/>
        <v>88</v>
      </c>
      <c r="AL18" s="40">
        <f t="shared" si="7"/>
        <v>88</v>
      </c>
      <c r="AM18" s="40">
        <f t="shared" si="7"/>
        <v>88</v>
      </c>
      <c r="AN18" s="40">
        <f t="shared" si="7"/>
        <v>82</v>
      </c>
      <c r="AO18" s="40" t="str">
        <f t="shared" si="7"/>
        <v xml:space="preserve"> </v>
      </c>
      <c r="AP18" s="40" t="str">
        <f t="shared" si="7"/>
        <v xml:space="preserve"> </v>
      </c>
      <c r="AQ18" s="40" t="str">
        <f t="shared" si="7"/>
        <v xml:space="preserve"> </v>
      </c>
      <c r="AR18" s="41">
        <f t="shared" si="8"/>
        <v>73.428571428571431</v>
      </c>
      <c r="AS18" s="38">
        <v>100</v>
      </c>
      <c r="AT18" s="164">
        <f t="shared" si="20"/>
        <v>100</v>
      </c>
      <c r="AU18" s="38"/>
      <c r="AV18" s="38"/>
      <c r="AW18" s="38"/>
      <c r="AX18" s="38"/>
      <c r="AY18" s="38"/>
      <c r="AZ18" s="38"/>
      <c r="BA18" s="38"/>
      <c r="BB18" s="38"/>
      <c r="BC18" s="42">
        <f t="shared" si="9"/>
        <v>100</v>
      </c>
      <c r="BD18" s="42">
        <f t="shared" si="9"/>
        <v>100</v>
      </c>
      <c r="BE18" s="42" t="str">
        <f t="shared" si="9"/>
        <v xml:space="preserve"> </v>
      </c>
      <c r="BF18" s="42" t="str">
        <f t="shared" si="9"/>
        <v xml:space="preserve"> </v>
      </c>
      <c r="BG18" s="42" t="str">
        <f t="shared" si="9"/>
        <v xml:space="preserve"> </v>
      </c>
      <c r="BH18" s="42" t="str">
        <f t="shared" si="9"/>
        <v xml:space="preserve"> </v>
      </c>
      <c r="BI18" s="42" t="str">
        <f t="shared" si="9"/>
        <v xml:space="preserve"> </v>
      </c>
      <c r="BJ18" s="42" t="str">
        <f t="shared" si="9"/>
        <v xml:space="preserve"> </v>
      </c>
      <c r="BK18" s="42" t="str">
        <f t="shared" si="9"/>
        <v xml:space="preserve"> </v>
      </c>
      <c r="BL18" s="42" t="str">
        <f t="shared" si="9"/>
        <v xml:space="preserve"> </v>
      </c>
      <c r="BM18" s="43">
        <f t="shared" si="10"/>
        <v>100</v>
      </c>
      <c r="BN18" s="38">
        <v>59</v>
      </c>
      <c r="BO18" s="44">
        <f t="shared" si="11"/>
        <v>75.400000000000006</v>
      </c>
      <c r="BP18" s="20"/>
      <c r="BQ18" s="39">
        <f t="shared" si="21"/>
        <v>79.82714285714286</v>
      </c>
      <c r="BR18" s="23" t="str">
        <f t="shared" si="22"/>
        <v>PASSED</v>
      </c>
      <c r="BS18" s="45"/>
      <c r="BT18" s="46"/>
      <c r="BU18" s="46"/>
      <c r="BV18" s="46"/>
      <c r="BW18" s="21">
        <f t="shared" si="12"/>
        <v>1</v>
      </c>
      <c r="BX18" s="22">
        <f t="shared" si="12"/>
        <v>1</v>
      </c>
      <c r="BY18" s="22">
        <f t="shared" si="12"/>
        <v>1</v>
      </c>
      <c r="BZ18" s="22">
        <f t="shared" si="12"/>
        <v>1</v>
      </c>
      <c r="CA18" s="22">
        <f t="shared" si="12"/>
        <v>1</v>
      </c>
      <c r="CB18" s="22">
        <f t="shared" si="12"/>
        <v>1</v>
      </c>
      <c r="CC18" s="22">
        <f t="shared" si="12"/>
        <v>1</v>
      </c>
      <c r="CD18" s="22">
        <f t="shared" si="12"/>
        <v>1</v>
      </c>
      <c r="CE18" s="22">
        <f t="shared" si="12"/>
        <v>1</v>
      </c>
      <c r="CF18" s="22">
        <f t="shared" si="12"/>
        <v>1</v>
      </c>
      <c r="CG18" s="22">
        <f t="shared" si="12"/>
        <v>1</v>
      </c>
      <c r="CH18" s="22" t="str">
        <f t="shared" si="12"/>
        <v/>
      </c>
      <c r="CI18" s="22" t="str">
        <f t="shared" si="12"/>
        <v/>
      </c>
      <c r="CJ18" s="22" t="str">
        <f t="shared" si="12"/>
        <v/>
      </c>
      <c r="CK18" s="22" t="str">
        <f t="shared" si="12"/>
        <v/>
      </c>
      <c r="CL18" s="22" t="str">
        <f t="shared" si="12"/>
        <v/>
      </c>
      <c r="CM18" s="22" t="str">
        <f t="shared" si="13"/>
        <v/>
      </c>
      <c r="CN18" s="22" t="str">
        <f t="shared" si="13"/>
        <v/>
      </c>
      <c r="CO18" s="22" t="str">
        <f t="shared" si="13"/>
        <v/>
      </c>
      <c r="CP18" s="22" t="str">
        <f t="shared" si="13"/>
        <v/>
      </c>
      <c r="CQ18" s="22">
        <f t="shared" si="23"/>
        <v>11</v>
      </c>
      <c r="CR18" s="22">
        <f t="shared" si="3"/>
        <v>11</v>
      </c>
      <c r="CS18" s="22" t="str">
        <f t="shared" si="14"/>
        <v/>
      </c>
      <c r="CT18" s="22" t="str">
        <f t="shared" si="14"/>
        <v/>
      </c>
      <c r="CU18" s="22" t="str">
        <f t="shared" si="14"/>
        <v/>
      </c>
      <c r="CV18" s="22" t="str">
        <f t="shared" si="14"/>
        <v/>
      </c>
      <c r="CW18" s="22" t="str">
        <f t="shared" si="14"/>
        <v/>
      </c>
      <c r="CX18" s="22" t="str">
        <f t="shared" si="14"/>
        <v/>
      </c>
      <c r="CY18" s="22" t="str">
        <f t="shared" si="14"/>
        <v/>
      </c>
      <c r="CZ18" s="22" t="str">
        <f t="shared" si="14"/>
        <v/>
      </c>
      <c r="DA18" s="22" t="str">
        <f t="shared" si="14"/>
        <v/>
      </c>
      <c r="DB18" s="22" t="str">
        <f t="shared" si="14"/>
        <v/>
      </c>
      <c r="DC18" s="22" t="str">
        <f t="shared" si="14"/>
        <v/>
      </c>
      <c r="DD18" s="22" t="str">
        <f t="shared" si="14"/>
        <v/>
      </c>
      <c r="DE18" s="22" t="str">
        <f t="shared" si="14"/>
        <v/>
      </c>
      <c r="DF18" s="22" t="str">
        <f t="shared" si="14"/>
        <v/>
      </c>
      <c r="DG18" s="22" t="str">
        <f t="shared" si="14"/>
        <v/>
      </c>
      <c r="DH18" s="22" t="str">
        <f t="shared" si="14"/>
        <v/>
      </c>
      <c r="DI18" s="22" t="str">
        <f t="shared" si="15"/>
        <v/>
      </c>
      <c r="DJ18" s="22" t="str">
        <f t="shared" si="15"/>
        <v/>
      </c>
      <c r="DK18" s="22" t="str">
        <f t="shared" si="15"/>
        <v/>
      </c>
      <c r="DL18" s="22" t="str">
        <f t="shared" si="15"/>
        <v/>
      </c>
      <c r="DM18" s="22">
        <f t="shared" si="16"/>
        <v>0</v>
      </c>
      <c r="DN18" s="36">
        <f t="shared" si="17"/>
        <v>10</v>
      </c>
      <c r="DO18" s="36">
        <f t="shared" si="17"/>
        <v>10</v>
      </c>
      <c r="DP18" s="36">
        <f t="shared" si="17"/>
        <v>10</v>
      </c>
      <c r="DQ18" s="36">
        <f t="shared" si="17"/>
        <v>10</v>
      </c>
      <c r="DR18" s="36">
        <f t="shared" si="17"/>
        <v>10</v>
      </c>
      <c r="DS18" s="36">
        <f t="shared" si="17"/>
        <v>10</v>
      </c>
      <c r="DT18" s="36">
        <f t="shared" si="17"/>
        <v>10</v>
      </c>
      <c r="DU18" s="36">
        <f t="shared" si="17"/>
        <v>0</v>
      </c>
      <c r="DV18" s="36">
        <f t="shared" si="17"/>
        <v>0</v>
      </c>
      <c r="DW18" s="36">
        <f t="shared" si="17"/>
        <v>0</v>
      </c>
      <c r="DX18" s="23">
        <f t="shared" si="17"/>
        <v>7</v>
      </c>
      <c r="DY18" s="23">
        <f t="shared" si="18"/>
        <v>100</v>
      </c>
      <c r="DZ18" s="23">
        <f t="shared" si="19"/>
        <v>100</v>
      </c>
      <c r="EA18" s="23">
        <f t="shared" si="19"/>
        <v>0</v>
      </c>
      <c r="EB18" s="23">
        <f t="shared" si="19"/>
        <v>0</v>
      </c>
      <c r="EC18" s="23">
        <f t="shared" si="19"/>
        <v>0</v>
      </c>
      <c r="ED18" s="23">
        <f t="shared" si="19"/>
        <v>0</v>
      </c>
      <c r="EE18" s="23">
        <f t="shared" si="19"/>
        <v>0</v>
      </c>
      <c r="EF18" s="23">
        <f t="shared" si="19"/>
        <v>0</v>
      </c>
      <c r="EG18" s="23">
        <f t="shared" si="19"/>
        <v>0</v>
      </c>
      <c r="EH18" s="23">
        <f t="shared" si="19"/>
        <v>0</v>
      </c>
      <c r="EI18" s="23">
        <f t="shared" si="19"/>
        <v>2</v>
      </c>
      <c r="EJ18" s="23">
        <f t="shared" si="19"/>
        <v>100</v>
      </c>
    </row>
    <row r="19" spans="1:140" ht="9.9" customHeight="1" x14ac:dyDescent="0.3">
      <c r="A19" s="23">
        <v>10</v>
      </c>
      <c r="B19" s="37" t="str">
        <f>IF(PRELIM!B19="","",PRELIM!B19)</f>
        <v>ESPINO, PRINCESS GAIL A.</v>
      </c>
      <c r="C19" s="69" t="s">
        <v>190</v>
      </c>
      <c r="D19" s="69" t="s">
        <v>190</v>
      </c>
      <c r="E19" s="69" t="s">
        <v>190</v>
      </c>
      <c r="F19" s="69" t="s">
        <v>190</v>
      </c>
      <c r="G19" s="69" t="s">
        <v>190</v>
      </c>
      <c r="H19" s="38" t="s">
        <v>190</v>
      </c>
      <c r="I19" s="38" t="s">
        <v>190</v>
      </c>
      <c r="J19" s="38" t="s">
        <v>190</v>
      </c>
      <c r="K19" s="38" t="s">
        <v>190</v>
      </c>
      <c r="L19" s="38" t="s">
        <v>190</v>
      </c>
      <c r="M19" s="38" t="s">
        <v>190</v>
      </c>
      <c r="N19" s="38"/>
      <c r="O19" s="38"/>
      <c r="P19" s="38"/>
      <c r="Q19" s="38"/>
      <c r="R19" s="38"/>
      <c r="S19" s="38"/>
      <c r="T19" s="38"/>
      <c r="U19" s="38"/>
      <c r="V19" s="38"/>
      <c r="W19" s="39">
        <f t="shared" si="6"/>
        <v>100</v>
      </c>
      <c r="X19" s="38">
        <v>8</v>
      </c>
      <c r="Y19" s="38">
        <v>4</v>
      </c>
      <c r="Z19" s="38">
        <v>6</v>
      </c>
      <c r="AA19" s="38">
        <v>6</v>
      </c>
      <c r="AB19" s="38">
        <v>7</v>
      </c>
      <c r="AC19" s="38">
        <v>8</v>
      </c>
      <c r="AD19" s="38">
        <v>8</v>
      </c>
      <c r="AE19" s="38"/>
      <c r="AF19" s="38"/>
      <c r="AG19" s="38"/>
      <c r="AH19" s="40">
        <f t="shared" si="7"/>
        <v>88</v>
      </c>
      <c r="AI19" s="40">
        <f t="shared" si="7"/>
        <v>64</v>
      </c>
      <c r="AJ19" s="40">
        <f t="shared" si="7"/>
        <v>76</v>
      </c>
      <c r="AK19" s="40">
        <f t="shared" si="7"/>
        <v>76</v>
      </c>
      <c r="AL19" s="40">
        <f t="shared" si="7"/>
        <v>82</v>
      </c>
      <c r="AM19" s="40">
        <f t="shared" si="7"/>
        <v>88</v>
      </c>
      <c r="AN19" s="40">
        <f t="shared" si="7"/>
        <v>88</v>
      </c>
      <c r="AO19" s="40" t="str">
        <f t="shared" si="7"/>
        <v xml:space="preserve"> </v>
      </c>
      <c r="AP19" s="40" t="str">
        <f t="shared" si="7"/>
        <v xml:space="preserve"> </v>
      </c>
      <c r="AQ19" s="40" t="str">
        <f t="shared" si="7"/>
        <v xml:space="preserve"> </v>
      </c>
      <c r="AR19" s="41">
        <f t="shared" si="8"/>
        <v>80.285714285714292</v>
      </c>
      <c r="AS19" s="38">
        <v>90</v>
      </c>
      <c r="AT19" s="164">
        <f t="shared" si="20"/>
        <v>100</v>
      </c>
      <c r="AU19" s="38"/>
      <c r="AV19" s="38"/>
      <c r="AW19" s="38"/>
      <c r="AX19" s="38"/>
      <c r="AY19" s="38"/>
      <c r="AZ19" s="38"/>
      <c r="BA19" s="38"/>
      <c r="BB19" s="38"/>
      <c r="BC19" s="42">
        <f t="shared" si="9"/>
        <v>94</v>
      </c>
      <c r="BD19" s="42">
        <f t="shared" si="9"/>
        <v>100</v>
      </c>
      <c r="BE19" s="42" t="str">
        <f t="shared" si="9"/>
        <v xml:space="preserve"> </v>
      </c>
      <c r="BF19" s="42" t="str">
        <f t="shared" si="9"/>
        <v xml:space="preserve"> </v>
      </c>
      <c r="BG19" s="42" t="str">
        <f t="shared" si="9"/>
        <v xml:space="preserve"> </v>
      </c>
      <c r="BH19" s="42" t="str">
        <f t="shared" si="9"/>
        <v xml:space="preserve"> </v>
      </c>
      <c r="BI19" s="42" t="str">
        <f t="shared" si="9"/>
        <v xml:space="preserve"> </v>
      </c>
      <c r="BJ19" s="42" t="str">
        <f t="shared" si="9"/>
        <v xml:space="preserve"> </v>
      </c>
      <c r="BK19" s="42" t="str">
        <f t="shared" si="9"/>
        <v xml:space="preserve"> </v>
      </c>
      <c r="BL19" s="42" t="str">
        <f t="shared" si="9"/>
        <v xml:space="preserve"> </v>
      </c>
      <c r="BM19" s="43">
        <f t="shared" si="10"/>
        <v>97</v>
      </c>
      <c r="BN19" s="38">
        <v>65</v>
      </c>
      <c r="BO19" s="44">
        <f t="shared" si="11"/>
        <v>79</v>
      </c>
      <c r="BP19" s="20"/>
      <c r="BQ19" s="39">
        <f t="shared" si="21"/>
        <v>83.071428571428584</v>
      </c>
      <c r="BR19" s="23" t="str">
        <f t="shared" si="22"/>
        <v>PASSED</v>
      </c>
      <c r="BS19" s="45"/>
      <c r="BT19" s="46"/>
      <c r="BU19" s="46"/>
      <c r="BV19" s="46"/>
      <c r="BW19" s="21">
        <f t="shared" si="12"/>
        <v>1</v>
      </c>
      <c r="BX19" s="22">
        <f t="shared" si="12"/>
        <v>1</v>
      </c>
      <c r="BY19" s="22">
        <f t="shared" si="12"/>
        <v>1</v>
      </c>
      <c r="BZ19" s="22">
        <f t="shared" si="12"/>
        <v>1</v>
      </c>
      <c r="CA19" s="22">
        <f t="shared" si="12"/>
        <v>1</v>
      </c>
      <c r="CB19" s="22">
        <f t="shared" si="12"/>
        <v>1</v>
      </c>
      <c r="CC19" s="22">
        <f t="shared" si="12"/>
        <v>1</v>
      </c>
      <c r="CD19" s="22">
        <f t="shared" si="12"/>
        <v>1</v>
      </c>
      <c r="CE19" s="22">
        <f t="shared" si="12"/>
        <v>1</v>
      </c>
      <c r="CF19" s="22">
        <f t="shared" si="12"/>
        <v>1</v>
      </c>
      <c r="CG19" s="22">
        <f t="shared" si="12"/>
        <v>1</v>
      </c>
      <c r="CH19" s="22" t="str">
        <f t="shared" si="12"/>
        <v/>
      </c>
      <c r="CI19" s="22" t="str">
        <f t="shared" si="12"/>
        <v/>
      </c>
      <c r="CJ19" s="22" t="str">
        <f t="shared" si="12"/>
        <v/>
      </c>
      <c r="CK19" s="22" t="str">
        <f t="shared" si="12"/>
        <v/>
      </c>
      <c r="CL19" s="22" t="str">
        <f t="shared" si="12"/>
        <v/>
      </c>
      <c r="CM19" s="22" t="str">
        <f t="shared" si="13"/>
        <v/>
      </c>
      <c r="CN19" s="22" t="str">
        <f t="shared" si="13"/>
        <v/>
      </c>
      <c r="CO19" s="22" t="str">
        <f t="shared" si="13"/>
        <v/>
      </c>
      <c r="CP19" s="22" t="str">
        <f t="shared" si="13"/>
        <v/>
      </c>
      <c r="CQ19" s="22">
        <f t="shared" si="23"/>
        <v>11</v>
      </c>
      <c r="CR19" s="22">
        <f t="shared" si="3"/>
        <v>11</v>
      </c>
      <c r="CS19" s="22" t="str">
        <f t="shared" si="14"/>
        <v/>
      </c>
      <c r="CT19" s="22" t="str">
        <f t="shared" si="14"/>
        <v/>
      </c>
      <c r="CU19" s="22" t="str">
        <f t="shared" si="14"/>
        <v/>
      </c>
      <c r="CV19" s="22" t="str">
        <f t="shared" si="14"/>
        <v/>
      </c>
      <c r="CW19" s="22" t="str">
        <f t="shared" si="14"/>
        <v/>
      </c>
      <c r="CX19" s="22" t="str">
        <f t="shared" si="14"/>
        <v/>
      </c>
      <c r="CY19" s="22" t="str">
        <f t="shared" si="14"/>
        <v/>
      </c>
      <c r="CZ19" s="22" t="str">
        <f t="shared" si="14"/>
        <v/>
      </c>
      <c r="DA19" s="22" t="str">
        <f t="shared" si="14"/>
        <v/>
      </c>
      <c r="DB19" s="22" t="str">
        <f t="shared" si="14"/>
        <v/>
      </c>
      <c r="DC19" s="22" t="str">
        <f t="shared" si="14"/>
        <v/>
      </c>
      <c r="DD19" s="22" t="str">
        <f t="shared" si="14"/>
        <v/>
      </c>
      <c r="DE19" s="22" t="str">
        <f t="shared" si="14"/>
        <v/>
      </c>
      <c r="DF19" s="22" t="str">
        <f t="shared" si="14"/>
        <v/>
      </c>
      <c r="DG19" s="22" t="str">
        <f t="shared" si="14"/>
        <v/>
      </c>
      <c r="DH19" s="22" t="str">
        <f t="shared" si="14"/>
        <v/>
      </c>
      <c r="DI19" s="22" t="str">
        <f t="shared" si="15"/>
        <v/>
      </c>
      <c r="DJ19" s="22" t="str">
        <f t="shared" si="15"/>
        <v/>
      </c>
      <c r="DK19" s="22" t="str">
        <f t="shared" si="15"/>
        <v/>
      </c>
      <c r="DL19" s="22" t="str">
        <f t="shared" si="15"/>
        <v/>
      </c>
      <c r="DM19" s="22">
        <f t="shared" si="16"/>
        <v>0</v>
      </c>
      <c r="DN19" s="36">
        <f t="shared" si="17"/>
        <v>10</v>
      </c>
      <c r="DO19" s="36">
        <f t="shared" si="17"/>
        <v>10</v>
      </c>
      <c r="DP19" s="36">
        <f t="shared" si="17"/>
        <v>10</v>
      </c>
      <c r="DQ19" s="36">
        <f t="shared" si="17"/>
        <v>10</v>
      </c>
      <c r="DR19" s="36">
        <f t="shared" si="17"/>
        <v>10</v>
      </c>
      <c r="DS19" s="36">
        <f t="shared" si="17"/>
        <v>10</v>
      </c>
      <c r="DT19" s="36">
        <f t="shared" si="17"/>
        <v>10</v>
      </c>
      <c r="DU19" s="36">
        <f t="shared" si="17"/>
        <v>0</v>
      </c>
      <c r="DV19" s="36">
        <f t="shared" si="17"/>
        <v>0</v>
      </c>
      <c r="DW19" s="36">
        <f t="shared" si="17"/>
        <v>0</v>
      </c>
      <c r="DX19" s="23">
        <f t="shared" si="17"/>
        <v>7</v>
      </c>
      <c r="DY19" s="23">
        <f t="shared" si="18"/>
        <v>100</v>
      </c>
      <c r="DZ19" s="23">
        <f t="shared" si="19"/>
        <v>100</v>
      </c>
      <c r="EA19" s="23">
        <f t="shared" si="19"/>
        <v>0</v>
      </c>
      <c r="EB19" s="23">
        <f t="shared" si="19"/>
        <v>0</v>
      </c>
      <c r="EC19" s="23">
        <f t="shared" si="19"/>
        <v>0</v>
      </c>
      <c r="ED19" s="23">
        <f t="shared" si="19"/>
        <v>0</v>
      </c>
      <c r="EE19" s="23">
        <f t="shared" si="19"/>
        <v>0</v>
      </c>
      <c r="EF19" s="23">
        <f t="shared" si="19"/>
        <v>0</v>
      </c>
      <c r="EG19" s="23">
        <f t="shared" si="19"/>
        <v>0</v>
      </c>
      <c r="EH19" s="23">
        <f t="shared" si="19"/>
        <v>0</v>
      </c>
      <c r="EI19" s="23">
        <f t="shared" si="19"/>
        <v>2</v>
      </c>
      <c r="EJ19" s="23">
        <f t="shared" si="19"/>
        <v>100</v>
      </c>
    </row>
    <row r="20" spans="1:140" ht="9.9" customHeight="1" x14ac:dyDescent="0.3">
      <c r="A20" s="23">
        <v>11</v>
      </c>
      <c r="B20" s="37" t="str">
        <f>IF(PRELIM!B20="","",PRELIM!B20)</f>
        <v>GUEVARRA, HERLAN ARC JOHNSON C.</v>
      </c>
      <c r="C20" s="69" t="s">
        <v>190</v>
      </c>
      <c r="D20" s="69" t="s">
        <v>190</v>
      </c>
      <c r="E20" s="69" t="s">
        <v>190</v>
      </c>
      <c r="F20" s="69" t="s">
        <v>190</v>
      </c>
      <c r="G20" s="69" t="s">
        <v>190</v>
      </c>
      <c r="H20" s="38" t="s">
        <v>190</v>
      </c>
      <c r="I20" s="38" t="s">
        <v>228</v>
      </c>
      <c r="J20" s="38" t="s">
        <v>228</v>
      </c>
      <c r="K20" s="38" t="s">
        <v>190</v>
      </c>
      <c r="L20" s="38" t="s">
        <v>190</v>
      </c>
      <c r="M20" s="38" t="s">
        <v>228</v>
      </c>
      <c r="N20" s="38"/>
      <c r="O20" s="38"/>
      <c r="P20" s="38"/>
      <c r="Q20" s="38"/>
      <c r="R20" s="38"/>
      <c r="S20" s="38"/>
      <c r="T20" s="38"/>
      <c r="U20" s="38"/>
      <c r="V20" s="38"/>
      <c r="W20" s="39">
        <f t="shared" si="6"/>
        <v>83.63636363636364</v>
      </c>
      <c r="X20" s="38">
        <v>5</v>
      </c>
      <c r="Y20" s="38">
        <v>3</v>
      </c>
      <c r="Z20" s="38">
        <v>7</v>
      </c>
      <c r="AA20" s="38">
        <v>7</v>
      </c>
      <c r="AB20" s="38">
        <v>8</v>
      </c>
      <c r="AC20" s="38">
        <v>9</v>
      </c>
      <c r="AD20" s="38">
        <v>9</v>
      </c>
      <c r="AE20" s="38"/>
      <c r="AF20" s="38"/>
      <c r="AG20" s="38"/>
      <c r="AH20" s="40">
        <f t="shared" si="7"/>
        <v>70</v>
      </c>
      <c r="AI20" s="40">
        <f t="shared" si="7"/>
        <v>58</v>
      </c>
      <c r="AJ20" s="40">
        <f t="shared" si="7"/>
        <v>82</v>
      </c>
      <c r="AK20" s="40">
        <f t="shared" si="7"/>
        <v>82</v>
      </c>
      <c r="AL20" s="40">
        <f t="shared" si="7"/>
        <v>88</v>
      </c>
      <c r="AM20" s="40">
        <f t="shared" si="7"/>
        <v>94</v>
      </c>
      <c r="AN20" s="40">
        <f t="shared" si="7"/>
        <v>94</v>
      </c>
      <c r="AO20" s="40" t="str">
        <f t="shared" si="7"/>
        <v xml:space="preserve"> </v>
      </c>
      <c r="AP20" s="40" t="str">
        <f t="shared" si="7"/>
        <v xml:space="preserve"> </v>
      </c>
      <c r="AQ20" s="40" t="str">
        <f t="shared" si="7"/>
        <v xml:space="preserve"> </v>
      </c>
      <c r="AR20" s="41">
        <f t="shared" si="8"/>
        <v>81.142857142857139</v>
      </c>
      <c r="AS20" s="38">
        <v>100</v>
      </c>
      <c r="AT20" s="164">
        <f t="shared" si="20"/>
        <v>84</v>
      </c>
      <c r="AU20" s="38"/>
      <c r="AV20" s="38"/>
      <c r="AW20" s="38"/>
      <c r="AX20" s="38"/>
      <c r="AY20" s="38"/>
      <c r="AZ20" s="38"/>
      <c r="BA20" s="38"/>
      <c r="BB20" s="38"/>
      <c r="BC20" s="42">
        <f t="shared" si="9"/>
        <v>100</v>
      </c>
      <c r="BD20" s="42">
        <f t="shared" si="9"/>
        <v>90.4</v>
      </c>
      <c r="BE20" s="42" t="str">
        <f t="shared" si="9"/>
        <v xml:space="preserve"> </v>
      </c>
      <c r="BF20" s="42" t="str">
        <f t="shared" si="9"/>
        <v xml:space="preserve"> </v>
      </c>
      <c r="BG20" s="42" t="str">
        <f t="shared" si="9"/>
        <v xml:space="preserve"> </v>
      </c>
      <c r="BH20" s="42" t="str">
        <f t="shared" si="9"/>
        <v xml:space="preserve"> </v>
      </c>
      <c r="BI20" s="42" t="str">
        <f t="shared" si="9"/>
        <v xml:space="preserve"> </v>
      </c>
      <c r="BJ20" s="42" t="str">
        <f t="shared" si="9"/>
        <v xml:space="preserve"> </v>
      </c>
      <c r="BK20" s="42" t="str">
        <f t="shared" si="9"/>
        <v xml:space="preserve"> </v>
      </c>
      <c r="BL20" s="42" t="str">
        <f t="shared" si="9"/>
        <v xml:space="preserve"> </v>
      </c>
      <c r="BM20" s="43">
        <f t="shared" si="10"/>
        <v>95.2</v>
      </c>
      <c r="BN20" s="38">
        <v>77</v>
      </c>
      <c r="BO20" s="44">
        <f t="shared" si="11"/>
        <v>86.2</v>
      </c>
      <c r="BP20" s="20"/>
      <c r="BQ20" s="39">
        <f t="shared" si="21"/>
        <v>86.157532467532462</v>
      </c>
      <c r="BR20" s="23" t="str">
        <f t="shared" si="22"/>
        <v>PASSED</v>
      </c>
      <c r="BS20" s="45"/>
      <c r="BT20" s="46"/>
      <c r="BU20" s="46"/>
      <c r="BV20" s="46"/>
      <c r="BW20" s="21">
        <f t="shared" si="12"/>
        <v>1</v>
      </c>
      <c r="BX20" s="22">
        <f t="shared" si="12"/>
        <v>1</v>
      </c>
      <c r="BY20" s="22">
        <f t="shared" si="12"/>
        <v>1</v>
      </c>
      <c r="BZ20" s="22">
        <f t="shared" si="12"/>
        <v>1</v>
      </c>
      <c r="CA20" s="22">
        <f t="shared" si="12"/>
        <v>1</v>
      </c>
      <c r="CB20" s="22">
        <f t="shared" si="12"/>
        <v>1</v>
      </c>
      <c r="CC20" s="22" t="str">
        <f t="shared" si="12"/>
        <v/>
      </c>
      <c r="CD20" s="22" t="str">
        <f t="shared" si="12"/>
        <v/>
      </c>
      <c r="CE20" s="22">
        <f t="shared" si="12"/>
        <v>1</v>
      </c>
      <c r="CF20" s="22">
        <f t="shared" si="12"/>
        <v>1</v>
      </c>
      <c r="CG20" s="22" t="str">
        <f t="shared" si="12"/>
        <v/>
      </c>
      <c r="CH20" s="22" t="str">
        <f t="shared" si="12"/>
        <v/>
      </c>
      <c r="CI20" s="22" t="str">
        <f t="shared" si="12"/>
        <v/>
      </c>
      <c r="CJ20" s="22" t="str">
        <f t="shared" si="12"/>
        <v/>
      </c>
      <c r="CK20" s="22" t="str">
        <f t="shared" si="12"/>
        <v/>
      </c>
      <c r="CL20" s="22" t="str">
        <f t="shared" si="12"/>
        <v/>
      </c>
      <c r="CM20" s="22" t="str">
        <f t="shared" si="13"/>
        <v/>
      </c>
      <c r="CN20" s="22" t="str">
        <f t="shared" si="13"/>
        <v/>
      </c>
      <c r="CO20" s="22" t="str">
        <f t="shared" si="13"/>
        <v/>
      </c>
      <c r="CP20" s="22" t="str">
        <f t="shared" si="13"/>
        <v/>
      </c>
      <c r="CQ20" s="22">
        <f t="shared" si="23"/>
        <v>8</v>
      </c>
      <c r="CR20" s="22">
        <f t="shared" si="3"/>
        <v>11</v>
      </c>
      <c r="CS20" s="22" t="str">
        <f t="shared" si="14"/>
        <v/>
      </c>
      <c r="CT20" s="22" t="str">
        <f t="shared" si="14"/>
        <v/>
      </c>
      <c r="CU20" s="22" t="str">
        <f t="shared" si="14"/>
        <v/>
      </c>
      <c r="CV20" s="22" t="str">
        <f t="shared" si="14"/>
        <v/>
      </c>
      <c r="CW20" s="22" t="str">
        <f t="shared" si="14"/>
        <v/>
      </c>
      <c r="CX20" s="22" t="str">
        <f t="shared" si="14"/>
        <v/>
      </c>
      <c r="CY20" s="22" t="str">
        <f t="shared" si="14"/>
        <v/>
      </c>
      <c r="CZ20" s="22" t="str">
        <f t="shared" si="14"/>
        <v/>
      </c>
      <c r="DA20" s="22" t="str">
        <f t="shared" si="14"/>
        <v/>
      </c>
      <c r="DB20" s="22" t="str">
        <f t="shared" si="14"/>
        <v/>
      </c>
      <c r="DC20" s="22" t="str">
        <f t="shared" si="14"/>
        <v/>
      </c>
      <c r="DD20" s="22" t="str">
        <f t="shared" si="14"/>
        <v/>
      </c>
      <c r="DE20" s="22" t="str">
        <f t="shared" si="14"/>
        <v/>
      </c>
      <c r="DF20" s="22" t="str">
        <f t="shared" si="14"/>
        <v/>
      </c>
      <c r="DG20" s="22" t="str">
        <f t="shared" si="14"/>
        <v/>
      </c>
      <c r="DH20" s="22" t="str">
        <f t="shared" si="14"/>
        <v/>
      </c>
      <c r="DI20" s="22" t="str">
        <f t="shared" si="15"/>
        <v/>
      </c>
      <c r="DJ20" s="22" t="str">
        <f t="shared" si="15"/>
        <v/>
      </c>
      <c r="DK20" s="22" t="str">
        <f t="shared" si="15"/>
        <v/>
      </c>
      <c r="DL20" s="22" t="str">
        <f t="shared" si="15"/>
        <v/>
      </c>
      <c r="DM20" s="22">
        <f t="shared" si="16"/>
        <v>0</v>
      </c>
      <c r="DN20" s="36">
        <f t="shared" si="17"/>
        <v>10</v>
      </c>
      <c r="DO20" s="36">
        <f t="shared" si="17"/>
        <v>10</v>
      </c>
      <c r="DP20" s="36">
        <f t="shared" si="17"/>
        <v>10</v>
      </c>
      <c r="DQ20" s="36">
        <f t="shared" si="17"/>
        <v>10</v>
      </c>
      <c r="DR20" s="36">
        <f t="shared" si="17"/>
        <v>10</v>
      </c>
      <c r="DS20" s="36">
        <f t="shared" si="17"/>
        <v>10</v>
      </c>
      <c r="DT20" s="36">
        <f t="shared" si="17"/>
        <v>10</v>
      </c>
      <c r="DU20" s="36">
        <f t="shared" si="17"/>
        <v>0</v>
      </c>
      <c r="DV20" s="36">
        <f t="shared" si="17"/>
        <v>0</v>
      </c>
      <c r="DW20" s="36">
        <f t="shared" si="17"/>
        <v>0</v>
      </c>
      <c r="DX20" s="23">
        <f t="shared" si="17"/>
        <v>7</v>
      </c>
      <c r="DY20" s="23">
        <f t="shared" si="18"/>
        <v>100</v>
      </c>
      <c r="DZ20" s="23">
        <f t="shared" si="19"/>
        <v>100</v>
      </c>
      <c r="EA20" s="23">
        <f t="shared" si="19"/>
        <v>0</v>
      </c>
      <c r="EB20" s="23">
        <f t="shared" si="19"/>
        <v>0</v>
      </c>
      <c r="EC20" s="23">
        <f t="shared" si="19"/>
        <v>0</v>
      </c>
      <c r="ED20" s="23">
        <f t="shared" si="19"/>
        <v>0</v>
      </c>
      <c r="EE20" s="23">
        <f t="shared" si="19"/>
        <v>0</v>
      </c>
      <c r="EF20" s="23">
        <f t="shared" si="19"/>
        <v>0</v>
      </c>
      <c r="EG20" s="23">
        <f t="shared" si="19"/>
        <v>0</v>
      </c>
      <c r="EH20" s="23">
        <f t="shared" si="19"/>
        <v>0</v>
      </c>
      <c r="EI20" s="23">
        <f t="shared" si="19"/>
        <v>2</v>
      </c>
      <c r="EJ20" s="23">
        <f t="shared" si="19"/>
        <v>100</v>
      </c>
    </row>
    <row r="21" spans="1:140" ht="9.9" customHeight="1" x14ac:dyDescent="0.3">
      <c r="A21" s="23">
        <v>12</v>
      </c>
      <c r="B21" s="37" t="str">
        <f>IF(PRELIM!B21="","",PRELIM!B21)</f>
        <v>GUTIERREZ, MILLECENT SHYNE C.</v>
      </c>
      <c r="C21" s="69" t="s">
        <v>190</v>
      </c>
      <c r="D21" s="69" t="s">
        <v>190</v>
      </c>
      <c r="E21" s="69" t="s">
        <v>190</v>
      </c>
      <c r="F21" s="69" t="s">
        <v>190</v>
      </c>
      <c r="G21" s="69" t="s">
        <v>190</v>
      </c>
      <c r="H21" s="38" t="s">
        <v>190</v>
      </c>
      <c r="I21" s="38" t="s">
        <v>190</v>
      </c>
      <c r="J21" s="38" t="s">
        <v>190</v>
      </c>
      <c r="K21" s="38" t="s">
        <v>190</v>
      </c>
      <c r="L21" s="38" t="s">
        <v>190</v>
      </c>
      <c r="M21" s="38" t="s">
        <v>190</v>
      </c>
      <c r="N21" s="38"/>
      <c r="O21" s="38"/>
      <c r="P21" s="38"/>
      <c r="Q21" s="38"/>
      <c r="R21" s="38"/>
      <c r="S21" s="38"/>
      <c r="T21" s="38"/>
      <c r="U21" s="38"/>
      <c r="V21" s="38"/>
      <c r="W21" s="39">
        <f t="shared" si="6"/>
        <v>100</v>
      </c>
      <c r="X21" s="38">
        <v>1</v>
      </c>
      <c r="Y21" s="38">
        <v>2</v>
      </c>
      <c r="Z21" s="38">
        <v>10</v>
      </c>
      <c r="AA21" s="38">
        <v>6</v>
      </c>
      <c r="AB21" s="38">
        <v>5</v>
      </c>
      <c r="AC21" s="38">
        <v>7</v>
      </c>
      <c r="AD21" s="38">
        <v>8</v>
      </c>
      <c r="AE21" s="38"/>
      <c r="AF21" s="38"/>
      <c r="AG21" s="38"/>
      <c r="AH21" s="40">
        <f t="shared" si="7"/>
        <v>46</v>
      </c>
      <c r="AI21" s="40">
        <f t="shared" si="7"/>
        <v>52</v>
      </c>
      <c r="AJ21" s="40">
        <f t="shared" si="7"/>
        <v>100</v>
      </c>
      <c r="AK21" s="40">
        <f t="shared" si="7"/>
        <v>76</v>
      </c>
      <c r="AL21" s="40">
        <f t="shared" si="7"/>
        <v>70</v>
      </c>
      <c r="AM21" s="40">
        <f t="shared" si="7"/>
        <v>82</v>
      </c>
      <c r="AN21" s="40">
        <f t="shared" si="7"/>
        <v>88</v>
      </c>
      <c r="AO21" s="40" t="str">
        <f t="shared" si="7"/>
        <v xml:space="preserve"> </v>
      </c>
      <c r="AP21" s="40" t="str">
        <f t="shared" si="7"/>
        <v xml:space="preserve"> </v>
      </c>
      <c r="AQ21" s="40" t="str">
        <f t="shared" si="7"/>
        <v xml:space="preserve"> </v>
      </c>
      <c r="AR21" s="41">
        <f t="shared" si="8"/>
        <v>73.428571428571431</v>
      </c>
      <c r="AS21" s="38">
        <v>100</v>
      </c>
      <c r="AT21" s="164">
        <f t="shared" si="20"/>
        <v>100</v>
      </c>
      <c r="AU21" s="38"/>
      <c r="AV21" s="38"/>
      <c r="AW21" s="38"/>
      <c r="AX21" s="38"/>
      <c r="AY21" s="38"/>
      <c r="AZ21" s="38"/>
      <c r="BA21" s="38"/>
      <c r="BB21" s="38"/>
      <c r="BC21" s="42">
        <f t="shared" si="9"/>
        <v>100</v>
      </c>
      <c r="BD21" s="42">
        <f t="shared" si="9"/>
        <v>100</v>
      </c>
      <c r="BE21" s="42" t="str">
        <f t="shared" si="9"/>
        <v xml:space="preserve"> </v>
      </c>
      <c r="BF21" s="42" t="str">
        <f t="shared" si="9"/>
        <v xml:space="preserve"> </v>
      </c>
      <c r="BG21" s="42" t="str">
        <f t="shared" si="9"/>
        <v xml:space="preserve"> </v>
      </c>
      <c r="BH21" s="42" t="str">
        <f t="shared" si="9"/>
        <v xml:space="preserve"> </v>
      </c>
      <c r="BI21" s="42" t="str">
        <f t="shared" si="9"/>
        <v xml:space="preserve"> </v>
      </c>
      <c r="BJ21" s="42" t="str">
        <f t="shared" si="9"/>
        <v xml:space="preserve"> </v>
      </c>
      <c r="BK21" s="42" t="str">
        <f t="shared" si="9"/>
        <v xml:space="preserve"> </v>
      </c>
      <c r="BL21" s="42" t="str">
        <f t="shared" si="9"/>
        <v xml:space="preserve"> </v>
      </c>
      <c r="BM21" s="43">
        <f t="shared" si="10"/>
        <v>100</v>
      </c>
      <c r="BN21" s="38">
        <v>53</v>
      </c>
      <c r="BO21" s="44">
        <f t="shared" si="11"/>
        <v>71.8</v>
      </c>
      <c r="BP21" s="20"/>
      <c r="BQ21" s="39">
        <f t="shared" si="21"/>
        <v>77.84714285714287</v>
      </c>
      <c r="BR21" s="23" t="str">
        <f t="shared" si="22"/>
        <v>PASSED</v>
      </c>
      <c r="BS21" s="45"/>
      <c r="BT21" s="46"/>
      <c r="BU21" s="46"/>
      <c r="BV21" s="46"/>
      <c r="BW21" s="21">
        <f t="shared" si="12"/>
        <v>1</v>
      </c>
      <c r="BX21" s="22">
        <f t="shared" si="12"/>
        <v>1</v>
      </c>
      <c r="BY21" s="22">
        <f t="shared" si="12"/>
        <v>1</v>
      </c>
      <c r="BZ21" s="22">
        <f t="shared" si="12"/>
        <v>1</v>
      </c>
      <c r="CA21" s="22">
        <f t="shared" si="12"/>
        <v>1</v>
      </c>
      <c r="CB21" s="22">
        <f t="shared" si="12"/>
        <v>1</v>
      </c>
      <c r="CC21" s="22">
        <f t="shared" si="12"/>
        <v>1</v>
      </c>
      <c r="CD21" s="22">
        <f t="shared" si="12"/>
        <v>1</v>
      </c>
      <c r="CE21" s="22">
        <f t="shared" si="12"/>
        <v>1</v>
      </c>
      <c r="CF21" s="22">
        <f t="shared" si="12"/>
        <v>1</v>
      </c>
      <c r="CG21" s="22">
        <f t="shared" si="12"/>
        <v>1</v>
      </c>
      <c r="CH21" s="22" t="str">
        <f t="shared" si="12"/>
        <v/>
      </c>
      <c r="CI21" s="22" t="str">
        <f t="shared" si="12"/>
        <v/>
      </c>
      <c r="CJ21" s="22" t="str">
        <f t="shared" si="12"/>
        <v/>
      </c>
      <c r="CK21" s="22" t="str">
        <f t="shared" si="12"/>
        <v/>
      </c>
      <c r="CL21" s="22" t="str">
        <f t="shared" si="12"/>
        <v/>
      </c>
      <c r="CM21" s="22" t="str">
        <f t="shared" si="13"/>
        <v/>
      </c>
      <c r="CN21" s="22" t="str">
        <f t="shared" si="13"/>
        <v/>
      </c>
      <c r="CO21" s="22" t="str">
        <f t="shared" si="13"/>
        <v/>
      </c>
      <c r="CP21" s="22" t="str">
        <f t="shared" si="13"/>
        <v/>
      </c>
      <c r="CQ21" s="22">
        <f t="shared" si="23"/>
        <v>11</v>
      </c>
      <c r="CR21" s="22">
        <f t="shared" si="3"/>
        <v>11</v>
      </c>
      <c r="CS21" s="22" t="str">
        <f t="shared" si="14"/>
        <v/>
      </c>
      <c r="CT21" s="22" t="str">
        <f t="shared" si="14"/>
        <v/>
      </c>
      <c r="CU21" s="22" t="str">
        <f t="shared" si="14"/>
        <v/>
      </c>
      <c r="CV21" s="22" t="str">
        <f t="shared" si="14"/>
        <v/>
      </c>
      <c r="CW21" s="22" t="str">
        <f t="shared" si="14"/>
        <v/>
      </c>
      <c r="CX21" s="22" t="str">
        <f t="shared" si="14"/>
        <v/>
      </c>
      <c r="CY21" s="22" t="str">
        <f t="shared" si="14"/>
        <v/>
      </c>
      <c r="CZ21" s="22" t="str">
        <f t="shared" si="14"/>
        <v/>
      </c>
      <c r="DA21" s="22" t="str">
        <f t="shared" si="14"/>
        <v/>
      </c>
      <c r="DB21" s="22" t="str">
        <f t="shared" si="14"/>
        <v/>
      </c>
      <c r="DC21" s="22" t="str">
        <f t="shared" si="14"/>
        <v/>
      </c>
      <c r="DD21" s="22" t="str">
        <f t="shared" si="14"/>
        <v/>
      </c>
      <c r="DE21" s="22" t="str">
        <f t="shared" si="14"/>
        <v/>
      </c>
      <c r="DF21" s="22" t="str">
        <f t="shared" si="14"/>
        <v/>
      </c>
      <c r="DG21" s="22" t="str">
        <f t="shared" si="14"/>
        <v/>
      </c>
      <c r="DH21" s="22" t="str">
        <f t="shared" si="14"/>
        <v/>
      </c>
      <c r="DI21" s="22" t="str">
        <f t="shared" si="15"/>
        <v/>
      </c>
      <c r="DJ21" s="22" t="str">
        <f t="shared" si="15"/>
        <v/>
      </c>
      <c r="DK21" s="22" t="str">
        <f t="shared" si="15"/>
        <v/>
      </c>
      <c r="DL21" s="22" t="str">
        <f t="shared" si="15"/>
        <v/>
      </c>
      <c r="DM21" s="22">
        <f t="shared" si="16"/>
        <v>0</v>
      </c>
      <c r="DN21" s="36">
        <f t="shared" si="17"/>
        <v>10</v>
      </c>
      <c r="DO21" s="36">
        <f t="shared" si="17"/>
        <v>10</v>
      </c>
      <c r="DP21" s="36">
        <f t="shared" si="17"/>
        <v>10</v>
      </c>
      <c r="DQ21" s="36">
        <f t="shared" si="17"/>
        <v>10</v>
      </c>
      <c r="DR21" s="36">
        <f t="shared" si="17"/>
        <v>10</v>
      </c>
      <c r="DS21" s="36">
        <f t="shared" si="17"/>
        <v>10</v>
      </c>
      <c r="DT21" s="36">
        <f t="shared" si="17"/>
        <v>10</v>
      </c>
      <c r="DU21" s="36">
        <f t="shared" si="17"/>
        <v>0</v>
      </c>
      <c r="DV21" s="36">
        <f t="shared" si="17"/>
        <v>0</v>
      </c>
      <c r="DW21" s="36">
        <f t="shared" si="17"/>
        <v>0</v>
      </c>
      <c r="DX21" s="23">
        <f t="shared" si="17"/>
        <v>7</v>
      </c>
      <c r="DY21" s="23">
        <f t="shared" si="18"/>
        <v>100</v>
      </c>
      <c r="DZ21" s="23">
        <f t="shared" si="19"/>
        <v>100</v>
      </c>
      <c r="EA21" s="23">
        <f t="shared" si="19"/>
        <v>0</v>
      </c>
      <c r="EB21" s="23">
        <f t="shared" si="19"/>
        <v>0</v>
      </c>
      <c r="EC21" s="23">
        <f t="shared" si="19"/>
        <v>0</v>
      </c>
      <c r="ED21" s="23">
        <f t="shared" si="19"/>
        <v>0</v>
      </c>
      <c r="EE21" s="23">
        <f t="shared" si="19"/>
        <v>0</v>
      </c>
      <c r="EF21" s="23">
        <f t="shared" si="19"/>
        <v>0</v>
      </c>
      <c r="EG21" s="23">
        <f t="shared" si="19"/>
        <v>0</v>
      </c>
      <c r="EH21" s="23">
        <f t="shared" si="19"/>
        <v>0</v>
      </c>
      <c r="EI21" s="23">
        <f t="shared" si="19"/>
        <v>2</v>
      </c>
      <c r="EJ21" s="23">
        <f t="shared" si="19"/>
        <v>100</v>
      </c>
    </row>
    <row r="22" spans="1:140" ht="9.9" customHeight="1" x14ac:dyDescent="0.3">
      <c r="A22" s="23">
        <v>13</v>
      </c>
      <c r="B22" s="37" t="str">
        <f>IF(PRELIM!B22="","",PRELIM!B22)</f>
        <v>HERNANDEZ, ANGEL JEAN A</v>
      </c>
      <c r="C22" s="69" t="s">
        <v>190</v>
      </c>
      <c r="D22" s="69" t="s">
        <v>190</v>
      </c>
      <c r="E22" s="69" t="s">
        <v>190</v>
      </c>
      <c r="F22" s="69" t="s">
        <v>190</v>
      </c>
      <c r="G22" s="69" t="s">
        <v>190</v>
      </c>
      <c r="H22" s="38" t="s">
        <v>190</v>
      </c>
      <c r="I22" s="38" t="s">
        <v>190</v>
      </c>
      <c r="J22" s="38" t="s">
        <v>190</v>
      </c>
      <c r="K22" s="38" t="s">
        <v>190</v>
      </c>
      <c r="L22" s="38" t="s">
        <v>190</v>
      </c>
      <c r="M22" s="38" t="s">
        <v>190</v>
      </c>
      <c r="N22" s="38"/>
      <c r="O22" s="38"/>
      <c r="P22" s="38"/>
      <c r="Q22" s="38"/>
      <c r="R22" s="38"/>
      <c r="S22" s="38"/>
      <c r="T22" s="38"/>
      <c r="U22" s="38"/>
      <c r="V22" s="38"/>
      <c r="W22" s="39">
        <f t="shared" si="6"/>
        <v>100</v>
      </c>
      <c r="X22" s="38">
        <v>8</v>
      </c>
      <c r="Y22" s="38">
        <v>5</v>
      </c>
      <c r="Z22" s="38">
        <v>10</v>
      </c>
      <c r="AA22" s="38">
        <v>10</v>
      </c>
      <c r="AB22" s="38">
        <v>7</v>
      </c>
      <c r="AC22" s="38">
        <v>9</v>
      </c>
      <c r="AD22" s="38">
        <v>10</v>
      </c>
      <c r="AE22" s="38"/>
      <c r="AF22" s="38"/>
      <c r="AG22" s="38"/>
      <c r="AH22" s="40">
        <f t="shared" si="7"/>
        <v>88</v>
      </c>
      <c r="AI22" s="40">
        <f t="shared" si="7"/>
        <v>70</v>
      </c>
      <c r="AJ22" s="40">
        <f t="shared" si="7"/>
        <v>100</v>
      </c>
      <c r="AK22" s="40">
        <f t="shared" si="7"/>
        <v>100</v>
      </c>
      <c r="AL22" s="40">
        <f t="shared" si="7"/>
        <v>82</v>
      </c>
      <c r="AM22" s="40">
        <f t="shared" si="7"/>
        <v>94</v>
      </c>
      <c r="AN22" s="40">
        <f t="shared" si="7"/>
        <v>100</v>
      </c>
      <c r="AO22" s="40" t="str">
        <f t="shared" si="7"/>
        <v xml:space="preserve"> </v>
      </c>
      <c r="AP22" s="40" t="str">
        <f t="shared" si="7"/>
        <v xml:space="preserve"> </v>
      </c>
      <c r="AQ22" s="40" t="str">
        <f t="shared" si="7"/>
        <v xml:space="preserve"> </v>
      </c>
      <c r="AR22" s="41">
        <f t="shared" si="8"/>
        <v>90.571428571428569</v>
      </c>
      <c r="AS22" s="38">
        <v>100</v>
      </c>
      <c r="AT22" s="164">
        <f t="shared" si="20"/>
        <v>100</v>
      </c>
      <c r="AU22" s="38"/>
      <c r="AV22" s="38"/>
      <c r="AW22" s="38"/>
      <c r="AX22" s="38"/>
      <c r="AY22" s="38"/>
      <c r="AZ22" s="38"/>
      <c r="BA22" s="38"/>
      <c r="BB22" s="38"/>
      <c r="BC22" s="42">
        <f t="shared" si="9"/>
        <v>100</v>
      </c>
      <c r="BD22" s="42">
        <f t="shared" si="9"/>
        <v>100</v>
      </c>
      <c r="BE22" s="42" t="str">
        <f t="shared" si="9"/>
        <v xml:space="preserve"> </v>
      </c>
      <c r="BF22" s="42" t="str">
        <f t="shared" si="9"/>
        <v xml:space="preserve"> </v>
      </c>
      <c r="BG22" s="42" t="str">
        <f t="shared" si="9"/>
        <v xml:space="preserve"> </v>
      </c>
      <c r="BH22" s="42" t="str">
        <f t="shared" si="9"/>
        <v xml:space="preserve"> </v>
      </c>
      <c r="BI22" s="42" t="str">
        <f t="shared" si="9"/>
        <v xml:space="preserve"> </v>
      </c>
      <c r="BJ22" s="42" t="str">
        <f t="shared" si="9"/>
        <v xml:space="preserve"> </v>
      </c>
      <c r="BK22" s="42" t="str">
        <f t="shared" si="9"/>
        <v xml:space="preserve"> </v>
      </c>
      <c r="BL22" s="42" t="str">
        <f t="shared" si="9"/>
        <v xml:space="preserve"> </v>
      </c>
      <c r="BM22" s="43">
        <f t="shared" si="10"/>
        <v>100</v>
      </c>
      <c r="BN22" s="38">
        <v>87</v>
      </c>
      <c r="BO22" s="44">
        <f t="shared" si="11"/>
        <v>92.2</v>
      </c>
      <c r="BP22" s="20"/>
      <c r="BQ22" s="39">
        <f t="shared" si="21"/>
        <v>93.352857142857147</v>
      </c>
      <c r="BR22" s="23" t="str">
        <f t="shared" si="22"/>
        <v>PASSED</v>
      </c>
      <c r="BS22" s="45"/>
      <c r="BT22" s="46"/>
      <c r="BU22" s="46"/>
      <c r="BV22" s="46"/>
      <c r="BW22" s="21">
        <f t="shared" si="12"/>
        <v>1</v>
      </c>
      <c r="BX22" s="22">
        <f t="shared" si="12"/>
        <v>1</v>
      </c>
      <c r="BY22" s="22">
        <f t="shared" si="12"/>
        <v>1</v>
      </c>
      <c r="BZ22" s="22">
        <f t="shared" si="12"/>
        <v>1</v>
      </c>
      <c r="CA22" s="22">
        <f t="shared" si="12"/>
        <v>1</v>
      </c>
      <c r="CB22" s="22">
        <f t="shared" si="12"/>
        <v>1</v>
      </c>
      <c r="CC22" s="22">
        <f t="shared" si="12"/>
        <v>1</v>
      </c>
      <c r="CD22" s="22">
        <f t="shared" si="12"/>
        <v>1</v>
      </c>
      <c r="CE22" s="22">
        <f t="shared" si="12"/>
        <v>1</v>
      </c>
      <c r="CF22" s="22">
        <f t="shared" si="12"/>
        <v>1</v>
      </c>
      <c r="CG22" s="22">
        <f t="shared" si="12"/>
        <v>1</v>
      </c>
      <c r="CH22" s="22" t="str">
        <f t="shared" si="12"/>
        <v/>
      </c>
      <c r="CI22" s="22" t="str">
        <f t="shared" si="12"/>
        <v/>
      </c>
      <c r="CJ22" s="22" t="str">
        <f t="shared" si="12"/>
        <v/>
      </c>
      <c r="CK22" s="22" t="str">
        <f t="shared" si="12"/>
        <v/>
      </c>
      <c r="CL22" s="22" t="str">
        <f t="shared" si="12"/>
        <v/>
      </c>
      <c r="CM22" s="22" t="str">
        <f t="shared" si="13"/>
        <v/>
      </c>
      <c r="CN22" s="22" t="str">
        <f t="shared" si="13"/>
        <v/>
      </c>
      <c r="CO22" s="22" t="str">
        <f t="shared" si="13"/>
        <v/>
      </c>
      <c r="CP22" s="22" t="str">
        <f t="shared" si="13"/>
        <v/>
      </c>
      <c r="CQ22" s="22">
        <f t="shared" si="23"/>
        <v>11</v>
      </c>
      <c r="CR22" s="22">
        <f t="shared" si="3"/>
        <v>11</v>
      </c>
      <c r="CS22" s="22" t="str">
        <f t="shared" si="14"/>
        <v/>
      </c>
      <c r="CT22" s="22" t="str">
        <f t="shared" si="14"/>
        <v/>
      </c>
      <c r="CU22" s="22" t="str">
        <f t="shared" si="14"/>
        <v/>
      </c>
      <c r="CV22" s="22" t="str">
        <f t="shared" si="14"/>
        <v/>
      </c>
      <c r="CW22" s="22" t="str">
        <f t="shared" si="14"/>
        <v/>
      </c>
      <c r="CX22" s="22" t="str">
        <f t="shared" si="14"/>
        <v/>
      </c>
      <c r="CY22" s="22" t="str">
        <f t="shared" si="14"/>
        <v/>
      </c>
      <c r="CZ22" s="22" t="str">
        <f t="shared" si="14"/>
        <v/>
      </c>
      <c r="DA22" s="22" t="str">
        <f t="shared" si="14"/>
        <v/>
      </c>
      <c r="DB22" s="22" t="str">
        <f t="shared" si="14"/>
        <v/>
      </c>
      <c r="DC22" s="22" t="str">
        <f t="shared" si="14"/>
        <v/>
      </c>
      <c r="DD22" s="22" t="str">
        <f t="shared" si="14"/>
        <v/>
      </c>
      <c r="DE22" s="22" t="str">
        <f t="shared" si="14"/>
        <v/>
      </c>
      <c r="DF22" s="22" t="str">
        <f t="shared" si="14"/>
        <v/>
      </c>
      <c r="DG22" s="22" t="str">
        <f t="shared" si="14"/>
        <v/>
      </c>
      <c r="DH22" s="22" t="str">
        <f t="shared" si="14"/>
        <v/>
      </c>
      <c r="DI22" s="22" t="str">
        <f t="shared" si="15"/>
        <v/>
      </c>
      <c r="DJ22" s="22" t="str">
        <f t="shared" si="15"/>
        <v/>
      </c>
      <c r="DK22" s="22" t="str">
        <f t="shared" si="15"/>
        <v/>
      </c>
      <c r="DL22" s="22" t="str">
        <f t="shared" si="15"/>
        <v/>
      </c>
      <c r="DM22" s="22">
        <f t="shared" si="16"/>
        <v>0</v>
      </c>
      <c r="DN22" s="36">
        <f t="shared" si="17"/>
        <v>10</v>
      </c>
      <c r="DO22" s="36">
        <f t="shared" si="17"/>
        <v>10</v>
      </c>
      <c r="DP22" s="36">
        <f t="shared" si="17"/>
        <v>10</v>
      </c>
      <c r="DQ22" s="36">
        <f t="shared" si="17"/>
        <v>10</v>
      </c>
      <c r="DR22" s="36">
        <f t="shared" si="17"/>
        <v>10</v>
      </c>
      <c r="DS22" s="36">
        <f t="shared" si="17"/>
        <v>10</v>
      </c>
      <c r="DT22" s="36">
        <f t="shared" si="17"/>
        <v>10</v>
      </c>
      <c r="DU22" s="36">
        <f t="shared" si="17"/>
        <v>0</v>
      </c>
      <c r="DV22" s="36">
        <f t="shared" si="17"/>
        <v>0</v>
      </c>
      <c r="DW22" s="36">
        <f t="shared" si="17"/>
        <v>0</v>
      </c>
      <c r="DX22" s="23">
        <f t="shared" si="17"/>
        <v>7</v>
      </c>
      <c r="DY22" s="23">
        <f t="shared" si="18"/>
        <v>100</v>
      </c>
      <c r="DZ22" s="23">
        <f t="shared" si="19"/>
        <v>100</v>
      </c>
      <c r="EA22" s="23">
        <f t="shared" si="19"/>
        <v>0</v>
      </c>
      <c r="EB22" s="23">
        <f t="shared" si="19"/>
        <v>0</v>
      </c>
      <c r="EC22" s="23">
        <f t="shared" si="19"/>
        <v>0</v>
      </c>
      <c r="ED22" s="23">
        <f t="shared" si="19"/>
        <v>0</v>
      </c>
      <c r="EE22" s="23">
        <f t="shared" si="19"/>
        <v>0</v>
      </c>
      <c r="EF22" s="23">
        <f t="shared" si="19"/>
        <v>0</v>
      </c>
      <c r="EG22" s="23">
        <f t="shared" si="19"/>
        <v>0</v>
      </c>
      <c r="EH22" s="23">
        <f t="shared" si="19"/>
        <v>0</v>
      </c>
      <c r="EI22" s="23">
        <f t="shared" si="19"/>
        <v>2</v>
      </c>
      <c r="EJ22" s="23">
        <f t="shared" si="19"/>
        <v>100</v>
      </c>
    </row>
    <row r="23" spans="1:140" ht="9.9" customHeight="1" x14ac:dyDescent="0.3">
      <c r="A23" s="23">
        <v>14</v>
      </c>
      <c r="B23" s="37" t="str">
        <f>IF(PRELIM!B23="","",PRELIM!B23)</f>
        <v>LAGUIDAN, PRINCESS JEAN A.</v>
      </c>
      <c r="C23" s="69" t="s">
        <v>190</v>
      </c>
      <c r="D23" s="69" t="s">
        <v>190</v>
      </c>
      <c r="E23" s="69" t="s">
        <v>190</v>
      </c>
      <c r="F23" s="69" t="s">
        <v>190</v>
      </c>
      <c r="G23" s="69" t="s">
        <v>190</v>
      </c>
      <c r="H23" s="38" t="s">
        <v>190</v>
      </c>
      <c r="I23" s="38" t="s">
        <v>190</v>
      </c>
      <c r="J23" s="38" t="s">
        <v>190</v>
      </c>
      <c r="K23" s="38" t="s">
        <v>190</v>
      </c>
      <c r="L23" s="38" t="s">
        <v>190</v>
      </c>
      <c r="M23" s="38" t="s">
        <v>190</v>
      </c>
      <c r="N23" s="38"/>
      <c r="O23" s="38"/>
      <c r="P23" s="38"/>
      <c r="Q23" s="38"/>
      <c r="R23" s="38"/>
      <c r="S23" s="38"/>
      <c r="T23" s="38"/>
      <c r="U23" s="38"/>
      <c r="V23" s="38"/>
      <c r="W23" s="39">
        <f t="shared" si="6"/>
        <v>100</v>
      </c>
      <c r="X23" s="38">
        <v>6</v>
      </c>
      <c r="Y23" s="38">
        <v>4</v>
      </c>
      <c r="Z23" s="38">
        <v>6</v>
      </c>
      <c r="AA23" s="38">
        <v>7</v>
      </c>
      <c r="AB23" s="38">
        <v>8</v>
      </c>
      <c r="AC23" s="38">
        <v>9</v>
      </c>
      <c r="AD23" s="38">
        <v>8</v>
      </c>
      <c r="AE23" s="38"/>
      <c r="AF23" s="38"/>
      <c r="AG23" s="38"/>
      <c r="AH23" s="40">
        <f t="shared" si="7"/>
        <v>76</v>
      </c>
      <c r="AI23" s="40">
        <f t="shared" si="7"/>
        <v>64</v>
      </c>
      <c r="AJ23" s="40">
        <f t="shared" si="7"/>
        <v>76</v>
      </c>
      <c r="AK23" s="40">
        <f t="shared" si="7"/>
        <v>82</v>
      </c>
      <c r="AL23" s="40">
        <f t="shared" si="7"/>
        <v>88</v>
      </c>
      <c r="AM23" s="40">
        <f t="shared" si="7"/>
        <v>94</v>
      </c>
      <c r="AN23" s="40">
        <f t="shared" si="7"/>
        <v>88</v>
      </c>
      <c r="AO23" s="40" t="str">
        <f t="shared" si="7"/>
        <v xml:space="preserve"> </v>
      </c>
      <c r="AP23" s="40" t="str">
        <f t="shared" si="7"/>
        <v xml:space="preserve"> </v>
      </c>
      <c r="AQ23" s="40" t="str">
        <f t="shared" si="7"/>
        <v xml:space="preserve"> </v>
      </c>
      <c r="AR23" s="41">
        <f t="shared" si="8"/>
        <v>81.142857142857139</v>
      </c>
      <c r="AS23" s="38">
        <v>100</v>
      </c>
      <c r="AT23" s="164">
        <f t="shared" si="20"/>
        <v>100</v>
      </c>
      <c r="AU23" s="38"/>
      <c r="AV23" s="38"/>
      <c r="AW23" s="38"/>
      <c r="AX23" s="38"/>
      <c r="AY23" s="38"/>
      <c r="AZ23" s="38"/>
      <c r="BA23" s="38"/>
      <c r="BB23" s="38"/>
      <c r="BC23" s="42">
        <f t="shared" si="9"/>
        <v>100</v>
      </c>
      <c r="BD23" s="42">
        <f t="shared" si="9"/>
        <v>100</v>
      </c>
      <c r="BE23" s="42" t="str">
        <f t="shared" si="9"/>
        <v xml:space="preserve"> </v>
      </c>
      <c r="BF23" s="42" t="str">
        <f t="shared" si="9"/>
        <v xml:space="preserve"> </v>
      </c>
      <c r="BG23" s="42" t="str">
        <f t="shared" si="9"/>
        <v xml:space="preserve"> </v>
      </c>
      <c r="BH23" s="42" t="str">
        <f t="shared" si="9"/>
        <v xml:space="preserve"> </v>
      </c>
      <c r="BI23" s="42" t="str">
        <f t="shared" si="9"/>
        <v xml:space="preserve"> </v>
      </c>
      <c r="BJ23" s="42" t="str">
        <f t="shared" si="9"/>
        <v xml:space="preserve"> </v>
      </c>
      <c r="BK23" s="42" t="str">
        <f t="shared" si="9"/>
        <v xml:space="preserve"> </v>
      </c>
      <c r="BL23" s="42" t="str">
        <f t="shared" si="9"/>
        <v xml:space="preserve"> </v>
      </c>
      <c r="BM23" s="43">
        <f t="shared" si="10"/>
        <v>100</v>
      </c>
      <c r="BN23" s="38">
        <v>58</v>
      </c>
      <c r="BO23" s="44">
        <f t="shared" si="11"/>
        <v>74.8</v>
      </c>
      <c r="BP23" s="20"/>
      <c r="BQ23" s="39">
        <f t="shared" si="21"/>
        <v>81.425714285714292</v>
      </c>
      <c r="BR23" s="23" t="str">
        <f t="shared" si="22"/>
        <v>PASSED</v>
      </c>
      <c r="BS23" s="45"/>
      <c r="BT23" s="46"/>
      <c r="BU23" s="46"/>
      <c r="BV23" s="46"/>
      <c r="BW23" s="21">
        <f t="shared" si="12"/>
        <v>1</v>
      </c>
      <c r="BX23" s="22">
        <f t="shared" si="12"/>
        <v>1</v>
      </c>
      <c r="BY23" s="22">
        <f t="shared" si="12"/>
        <v>1</v>
      </c>
      <c r="BZ23" s="22">
        <f t="shared" si="12"/>
        <v>1</v>
      </c>
      <c r="CA23" s="22">
        <f t="shared" si="12"/>
        <v>1</v>
      </c>
      <c r="CB23" s="22">
        <f t="shared" si="12"/>
        <v>1</v>
      </c>
      <c r="CC23" s="22">
        <f t="shared" si="12"/>
        <v>1</v>
      </c>
      <c r="CD23" s="22">
        <f t="shared" si="12"/>
        <v>1</v>
      </c>
      <c r="CE23" s="22">
        <f t="shared" si="12"/>
        <v>1</v>
      </c>
      <c r="CF23" s="22">
        <f t="shared" si="12"/>
        <v>1</v>
      </c>
      <c r="CG23" s="22">
        <f t="shared" si="12"/>
        <v>1</v>
      </c>
      <c r="CH23" s="22" t="str">
        <f t="shared" si="12"/>
        <v/>
      </c>
      <c r="CI23" s="22" t="str">
        <f t="shared" si="12"/>
        <v/>
      </c>
      <c r="CJ23" s="22" t="str">
        <f t="shared" si="12"/>
        <v/>
      </c>
      <c r="CK23" s="22" t="str">
        <f t="shared" si="12"/>
        <v/>
      </c>
      <c r="CL23" s="22" t="str">
        <f t="shared" si="12"/>
        <v/>
      </c>
      <c r="CM23" s="22" t="str">
        <f t="shared" si="13"/>
        <v/>
      </c>
      <c r="CN23" s="22" t="str">
        <f t="shared" si="13"/>
        <v/>
      </c>
      <c r="CO23" s="22" t="str">
        <f t="shared" si="13"/>
        <v/>
      </c>
      <c r="CP23" s="22" t="str">
        <f t="shared" si="13"/>
        <v/>
      </c>
      <c r="CQ23" s="22">
        <f t="shared" si="23"/>
        <v>11</v>
      </c>
      <c r="CR23" s="22">
        <f t="shared" si="3"/>
        <v>11</v>
      </c>
      <c r="CS23" s="22" t="str">
        <f t="shared" si="14"/>
        <v/>
      </c>
      <c r="CT23" s="22" t="str">
        <f t="shared" si="14"/>
        <v/>
      </c>
      <c r="CU23" s="22" t="str">
        <f t="shared" si="14"/>
        <v/>
      </c>
      <c r="CV23" s="22" t="str">
        <f t="shared" si="14"/>
        <v/>
      </c>
      <c r="CW23" s="22" t="str">
        <f t="shared" si="14"/>
        <v/>
      </c>
      <c r="CX23" s="22" t="str">
        <f t="shared" si="14"/>
        <v/>
      </c>
      <c r="CY23" s="22" t="str">
        <f t="shared" si="14"/>
        <v/>
      </c>
      <c r="CZ23" s="22" t="str">
        <f t="shared" si="14"/>
        <v/>
      </c>
      <c r="DA23" s="22" t="str">
        <f t="shared" si="14"/>
        <v/>
      </c>
      <c r="DB23" s="22" t="str">
        <f t="shared" si="14"/>
        <v/>
      </c>
      <c r="DC23" s="22" t="str">
        <f t="shared" si="14"/>
        <v/>
      </c>
      <c r="DD23" s="22" t="str">
        <f t="shared" si="14"/>
        <v/>
      </c>
      <c r="DE23" s="22" t="str">
        <f t="shared" si="14"/>
        <v/>
      </c>
      <c r="DF23" s="22" t="str">
        <f t="shared" si="14"/>
        <v/>
      </c>
      <c r="DG23" s="22" t="str">
        <f t="shared" si="14"/>
        <v/>
      </c>
      <c r="DH23" s="22" t="str">
        <f t="shared" si="14"/>
        <v/>
      </c>
      <c r="DI23" s="22" t="str">
        <f t="shared" si="15"/>
        <v/>
      </c>
      <c r="DJ23" s="22" t="str">
        <f t="shared" si="15"/>
        <v/>
      </c>
      <c r="DK23" s="22" t="str">
        <f t="shared" si="15"/>
        <v/>
      </c>
      <c r="DL23" s="22" t="str">
        <f t="shared" si="15"/>
        <v/>
      </c>
      <c r="DM23" s="22">
        <f t="shared" si="16"/>
        <v>0</v>
      </c>
      <c r="DN23" s="36">
        <f t="shared" si="17"/>
        <v>10</v>
      </c>
      <c r="DO23" s="36">
        <f t="shared" si="17"/>
        <v>10</v>
      </c>
      <c r="DP23" s="36">
        <f t="shared" si="17"/>
        <v>10</v>
      </c>
      <c r="DQ23" s="36">
        <f t="shared" si="17"/>
        <v>10</v>
      </c>
      <c r="DR23" s="36">
        <f t="shared" si="17"/>
        <v>10</v>
      </c>
      <c r="DS23" s="36">
        <f t="shared" si="17"/>
        <v>10</v>
      </c>
      <c r="DT23" s="36">
        <f t="shared" si="17"/>
        <v>10</v>
      </c>
      <c r="DU23" s="36">
        <f t="shared" si="17"/>
        <v>0</v>
      </c>
      <c r="DV23" s="36">
        <f t="shared" si="17"/>
        <v>0</v>
      </c>
      <c r="DW23" s="36">
        <f t="shared" si="17"/>
        <v>0</v>
      </c>
      <c r="DX23" s="23">
        <f t="shared" si="17"/>
        <v>7</v>
      </c>
      <c r="DY23" s="23">
        <f t="shared" si="18"/>
        <v>100</v>
      </c>
      <c r="DZ23" s="23">
        <f t="shared" si="19"/>
        <v>100</v>
      </c>
      <c r="EA23" s="23">
        <f t="shared" si="19"/>
        <v>0</v>
      </c>
      <c r="EB23" s="23">
        <f t="shared" si="19"/>
        <v>0</v>
      </c>
      <c r="EC23" s="23">
        <f t="shared" si="19"/>
        <v>0</v>
      </c>
      <c r="ED23" s="23">
        <f t="shared" si="19"/>
        <v>0</v>
      </c>
      <c r="EE23" s="23">
        <f t="shared" si="19"/>
        <v>0</v>
      </c>
      <c r="EF23" s="23">
        <f t="shared" si="19"/>
        <v>0</v>
      </c>
      <c r="EG23" s="23">
        <f t="shared" si="19"/>
        <v>0</v>
      </c>
      <c r="EH23" s="23">
        <f t="shared" si="19"/>
        <v>0</v>
      </c>
      <c r="EI23" s="23">
        <f t="shared" si="19"/>
        <v>2</v>
      </c>
      <c r="EJ23" s="23">
        <f t="shared" si="19"/>
        <v>100</v>
      </c>
    </row>
    <row r="24" spans="1:140" ht="9.9" customHeight="1" x14ac:dyDescent="0.3">
      <c r="A24" s="23">
        <v>15</v>
      </c>
      <c r="B24" s="37" t="str">
        <f>IF(PRELIM!B24="","",PRELIM!B24)</f>
        <v>LAGUROS, LYKA A.</v>
      </c>
      <c r="C24" s="69" t="s">
        <v>190</v>
      </c>
      <c r="D24" s="69" t="s">
        <v>190</v>
      </c>
      <c r="E24" s="69" t="s">
        <v>190</v>
      </c>
      <c r="F24" s="69" t="s">
        <v>190</v>
      </c>
      <c r="G24" s="69" t="s">
        <v>190</v>
      </c>
      <c r="H24" s="38" t="s">
        <v>190</v>
      </c>
      <c r="I24" s="38" t="s">
        <v>190</v>
      </c>
      <c r="J24" s="38" t="s">
        <v>190</v>
      </c>
      <c r="K24" s="38" t="s">
        <v>190</v>
      </c>
      <c r="L24" s="38" t="s">
        <v>190</v>
      </c>
      <c r="M24" s="38" t="s">
        <v>190</v>
      </c>
      <c r="N24" s="38"/>
      <c r="O24" s="38"/>
      <c r="P24" s="38"/>
      <c r="Q24" s="38"/>
      <c r="R24" s="38"/>
      <c r="S24" s="38"/>
      <c r="T24" s="38"/>
      <c r="U24" s="38"/>
      <c r="V24" s="38"/>
      <c r="W24" s="39">
        <f t="shared" si="6"/>
        <v>100</v>
      </c>
      <c r="X24" s="38">
        <v>6</v>
      </c>
      <c r="Y24" s="38">
        <v>2</v>
      </c>
      <c r="Z24" s="38">
        <v>4</v>
      </c>
      <c r="AA24" s="38">
        <v>7</v>
      </c>
      <c r="AB24" s="38">
        <v>7</v>
      </c>
      <c r="AC24" s="38">
        <v>8</v>
      </c>
      <c r="AD24" s="38">
        <v>6</v>
      </c>
      <c r="AE24" s="38"/>
      <c r="AF24" s="38"/>
      <c r="AG24" s="38"/>
      <c r="AH24" s="40">
        <f t="shared" si="7"/>
        <v>76</v>
      </c>
      <c r="AI24" s="40">
        <f t="shared" si="7"/>
        <v>52</v>
      </c>
      <c r="AJ24" s="40">
        <f t="shared" si="7"/>
        <v>64</v>
      </c>
      <c r="AK24" s="40">
        <f t="shared" si="7"/>
        <v>82</v>
      </c>
      <c r="AL24" s="40">
        <f t="shared" si="7"/>
        <v>82</v>
      </c>
      <c r="AM24" s="40">
        <f t="shared" si="7"/>
        <v>88</v>
      </c>
      <c r="AN24" s="40">
        <f t="shared" si="7"/>
        <v>76</v>
      </c>
      <c r="AO24" s="40" t="str">
        <f t="shared" si="7"/>
        <v xml:space="preserve"> </v>
      </c>
      <c r="AP24" s="40" t="str">
        <f t="shared" si="7"/>
        <v xml:space="preserve"> </v>
      </c>
      <c r="AQ24" s="40" t="str">
        <f t="shared" si="7"/>
        <v xml:space="preserve"> </v>
      </c>
      <c r="AR24" s="41">
        <f t="shared" si="8"/>
        <v>74.285714285714292</v>
      </c>
      <c r="AS24" s="38">
        <v>100</v>
      </c>
      <c r="AT24" s="164">
        <f t="shared" si="20"/>
        <v>100</v>
      </c>
      <c r="AU24" s="38"/>
      <c r="AV24" s="38"/>
      <c r="AW24" s="38"/>
      <c r="AX24" s="38"/>
      <c r="AY24" s="38"/>
      <c r="AZ24" s="38"/>
      <c r="BA24" s="38"/>
      <c r="BB24" s="38"/>
      <c r="BC24" s="42">
        <f t="shared" si="9"/>
        <v>100</v>
      </c>
      <c r="BD24" s="42">
        <f t="shared" si="9"/>
        <v>100</v>
      </c>
      <c r="BE24" s="42" t="str">
        <f t="shared" si="9"/>
        <v xml:space="preserve"> </v>
      </c>
      <c r="BF24" s="42" t="str">
        <f t="shared" si="9"/>
        <v xml:space="preserve"> </v>
      </c>
      <c r="BG24" s="42" t="str">
        <f t="shared" si="9"/>
        <v xml:space="preserve"> </v>
      </c>
      <c r="BH24" s="42" t="str">
        <f t="shared" si="9"/>
        <v xml:space="preserve"> </v>
      </c>
      <c r="BI24" s="42" t="str">
        <f t="shared" si="9"/>
        <v xml:space="preserve"> </v>
      </c>
      <c r="BJ24" s="42" t="str">
        <f t="shared" si="9"/>
        <v xml:space="preserve"> </v>
      </c>
      <c r="BK24" s="42" t="str">
        <f t="shared" si="9"/>
        <v xml:space="preserve"> </v>
      </c>
      <c r="BL24" s="42" t="str">
        <f t="shared" si="9"/>
        <v xml:space="preserve"> </v>
      </c>
      <c r="BM24" s="43">
        <f t="shared" si="10"/>
        <v>100</v>
      </c>
      <c r="BN24" s="38">
        <v>59</v>
      </c>
      <c r="BO24" s="44">
        <f t="shared" si="11"/>
        <v>75.400000000000006</v>
      </c>
      <c r="BP24" s="20"/>
      <c r="BQ24" s="39">
        <f t="shared" si="21"/>
        <v>80.041428571428582</v>
      </c>
      <c r="BR24" s="23" t="str">
        <f t="shared" si="22"/>
        <v>PASSED</v>
      </c>
      <c r="BS24" s="45"/>
      <c r="BT24" s="46"/>
      <c r="BU24" s="46"/>
      <c r="BV24" s="46"/>
      <c r="BW24" s="21">
        <f t="shared" si="12"/>
        <v>1</v>
      </c>
      <c r="BX24" s="22">
        <f t="shared" si="12"/>
        <v>1</v>
      </c>
      <c r="BY24" s="22">
        <f t="shared" si="12"/>
        <v>1</v>
      </c>
      <c r="BZ24" s="22">
        <f t="shared" si="12"/>
        <v>1</v>
      </c>
      <c r="CA24" s="22">
        <f t="shared" si="12"/>
        <v>1</v>
      </c>
      <c r="CB24" s="22">
        <f t="shared" si="12"/>
        <v>1</v>
      </c>
      <c r="CC24" s="22">
        <f t="shared" si="12"/>
        <v>1</v>
      </c>
      <c r="CD24" s="22">
        <f t="shared" si="12"/>
        <v>1</v>
      </c>
      <c r="CE24" s="22">
        <f t="shared" si="12"/>
        <v>1</v>
      </c>
      <c r="CF24" s="22">
        <f t="shared" si="12"/>
        <v>1</v>
      </c>
      <c r="CG24" s="22">
        <f t="shared" si="12"/>
        <v>1</v>
      </c>
      <c r="CH24" s="22" t="str">
        <f t="shared" si="12"/>
        <v/>
      </c>
      <c r="CI24" s="22" t="str">
        <f t="shared" si="12"/>
        <v/>
      </c>
      <c r="CJ24" s="22" t="str">
        <f t="shared" si="12"/>
        <v/>
      </c>
      <c r="CK24" s="22" t="str">
        <f t="shared" si="12"/>
        <v/>
      </c>
      <c r="CL24" s="22" t="str">
        <f t="shared" si="12"/>
        <v/>
      </c>
      <c r="CM24" s="22" t="str">
        <f t="shared" si="13"/>
        <v/>
      </c>
      <c r="CN24" s="22" t="str">
        <f t="shared" si="13"/>
        <v/>
      </c>
      <c r="CO24" s="22" t="str">
        <f t="shared" si="13"/>
        <v/>
      </c>
      <c r="CP24" s="22" t="str">
        <f t="shared" si="13"/>
        <v/>
      </c>
      <c r="CQ24" s="22">
        <f t="shared" si="23"/>
        <v>11</v>
      </c>
      <c r="CR24" s="22">
        <f t="shared" si="3"/>
        <v>11</v>
      </c>
      <c r="CS24" s="22" t="str">
        <f t="shared" si="14"/>
        <v/>
      </c>
      <c r="CT24" s="22" t="str">
        <f t="shared" si="14"/>
        <v/>
      </c>
      <c r="CU24" s="22" t="str">
        <f t="shared" si="14"/>
        <v/>
      </c>
      <c r="CV24" s="22" t="str">
        <f t="shared" si="14"/>
        <v/>
      </c>
      <c r="CW24" s="22" t="str">
        <f t="shared" si="14"/>
        <v/>
      </c>
      <c r="CX24" s="22" t="str">
        <f t="shared" si="14"/>
        <v/>
      </c>
      <c r="CY24" s="22" t="str">
        <f t="shared" si="14"/>
        <v/>
      </c>
      <c r="CZ24" s="22" t="str">
        <f t="shared" si="14"/>
        <v/>
      </c>
      <c r="DA24" s="22" t="str">
        <f t="shared" si="14"/>
        <v/>
      </c>
      <c r="DB24" s="22" t="str">
        <f t="shared" si="14"/>
        <v/>
      </c>
      <c r="DC24" s="22" t="str">
        <f t="shared" si="14"/>
        <v/>
      </c>
      <c r="DD24" s="22" t="str">
        <f t="shared" si="14"/>
        <v/>
      </c>
      <c r="DE24" s="22" t="str">
        <f t="shared" si="14"/>
        <v/>
      </c>
      <c r="DF24" s="22" t="str">
        <f t="shared" si="14"/>
        <v/>
      </c>
      <c r="DG24" s="22" t="str">
        <f t="shared" si="14"/>
        <v/>
      </c>
      <c r="DH24" s="22" t="str">
        <f t="shared" si="14"/>
        <v/>
      </c>
      <c r="DI24" s="22" t="str">
        <f t="shared" si="15"/>
        <v/>
      </c>
      <c r="DJ24" s="22" t="str">
        <f t="shared" si="15"/>
        <v/>
      </c>
      <c r="DK24" s="22" t="str">
        <f t="shared" si="15"/>
        <v/>
      </c>
      <c r="DL24" s="22" t="str">
        <f t="shared" si="15"/>
        <v/>
      </c>
      <c r="DM24" s="22">
        <f t="shared" si="16"/>
        <v>0</v>
      </c>
      <c r="DN24" s="36">
        <f t="shared" si="17"/>
        <v>10</v>
      </c>
      <c r="DO24" s="36">
        <f t="shared" si="17"/>
        <v>10</v>
      </c>
      <c r="DP24" s="36">
        <f t="shared" si="17"/>
        <v>10</v>
      </c>
      <c r="DQ24" s="36">
        <f t="shared" si="17"/>
        <v>10</v>
      </c>
      <c r="DR24" s="36">
        <f t="shared" si="17"/>
        <v>10</v>
      </c>
      <c r="DS24" s="36">
        <f t="shared" si="17"/>
        <v>10</v>
      </c>
      <c r="DT24" s="36">
        <f t="shared" si="17"/>
        <v>10</v>
      </c>
      <c r="DU24" s="36">
        <f t="shared" si="17"/>
        <v>0</v>
      </c>
      <c r="DV24" s="36">
        <f t="shared" si="17"/>
        <v>0</v>
      </c>
      <c r="DW24" s="36">
        <f t="shared" si="17"/>
        <v>0</v>
      </c>
      <c r="DX24" s="23">
        <f t="shared" si="17"/>
        <v>7</v>
      </c>
      <c r="DY24" s="23">
        <f t="shared" si="18"/>
        <v>100</v>
      </c>
      <c r="DZ24" s="23">
        <f t="shared" si="19"/>
        <v>100</v>
      </c>
      <c r="EA24" s="23">
        <f t="shared" si="19"/>
        <v>0</v>
      </c>
      <c r="EB24" s="23">
        <f t="shared" si="19"/>
        <v>0</v>
      </c>
      <c r="EC24" s="23">
        <f t="shared" si="19"/>
        <v>0</v>
      </c>
      <c r="ED24" s="23">
        <f t="shared" si="19"/>
        <v>0</v>
      </c>
      <c r="EE24" s="23">
        <f t="shared" si="19"/>
        <v>0</v>
      </c>
      <c r="EF24" s="23">
        <f t="shared" si="19"/>
        <v>0</v>
      </c>
      <c r="EG24" s="23">
        <f t="shared" si="19"/>
        <v>0</v>
      </c>
      <c r="EH24" s="23">
        <f t="shared" si="19"/>
        <v>0</v>
      </c>
      <c r="EI24" s="23">
        <f t="shared" si="19"/>
        <v>2</v>
      </c>
      <c r="EJ24" s="23">
        <f t="shared" si="19"/>
        <v>100</v>
      </c>
    </row>
    <row r="25" spans="1:140" ht="9.9" customHeight="1" x14ac:dyDescent="0.3">
      <c r="A25" s="23">
        <v>16</v>
      </c>
      <c r="B25" s="37" t="str">
        <f>IF(PRELIM!B25="","",PRELIM!B25)</f>
        <v>LAIDAN, JOSEPH G.</v>
      </c>
      <c r="C25" s="69" t="s">
        <v>190</v>
      </c>
      <c r="D25" s="69" t="s">
        <v>190</v>
      </c>
      <c r="E25" s="69" t="s">
        <v>190</v>
      </c>
      <c r="F25" s="69" t="s">
        <v>190</v>
      </c>
      <c r="G25" s="69" t="s">
        <v>190</v>
      </c>
      <c r="H25" s="38" t="s">
        <v>190</v>
      </c>
      <c r="I25" s="38" t="s">
        <v>190</v>
      </c>
      <c r="J25" s="38" t="s">
        <v>190</v>
      </c>
      <c r="K25" s="38" t="s">
        <v>190</v>
      </c>
      <c r="L25" s="38" t="s">
        <v>190</v>
      </c>
      <c r="M25" s="38" t="s">
        <v>190</v>
      </c>
      <c r="N25" s="38"/>
      <c r="O25" s="38"/>
      <c r="P25" s="38"/>
      <c r="Q25" s="38"/>
      <c r="R25" s="38"/>
      <c r="S25" s="38"/>
      <c r="T25" s="38"/>
      <c r="U25" s="38"/>
      <c r="V25" s="38"/>
      <c r="W25" s="39">
        <f t="shared" si="6"/>
        <v>100</v>
      </c>
      <c r="X25" s="38">
        <v>2</v>
      </c>
      <c r="Y25" s="38">
        <v>1</v>
      </c>
      <c r="Z25" s="38">
        <v>5</v>
      </c>
      <c r="AA25" s="38">
        <v>6</v>
      </c>
      <c r="AB25" s="38">
        <v>2</v>
      </c>
      <c r="AC25" s="38">
        <v>6</v>
      </c>
      <c r="AD25" s="38">
        <v>7</v>
      </c>
      <c r="AE25" s="38"/>
      <c r="AF25" s="38"/>
      <c r="AG25" s="38"/>
      <c r="AH25" s="40">
        <f t="shared" si="7"/>
        <v>52</v>
      </c>
      <c r="AI25" s="40">
        <f t="shared" si="7"/>
        <v>46</v>
      </c>
      <c r="AJ25" s="40">
        <f t="shared" si="7"/>
        <v>70</v>
      </c>
      <c r="AK25" s="40">
        <f t="shared" si="7"/>
        <v>76</v>
      </c>
      <c r="AL25" s="40">
        <f t="shared" si="7"/>
        <v>52</v>
      </c>
      <c r="AM25" s="40">
        <f t="shared" si="7"/>
        <v>76</v>
      </c>
      <c r="AN25" s="40">
        <f t="shared" si="7"/>
        <v>82</v>
      </c>
      <c r="AO25" s="40" t="str">
        <f t="shared" si="7"/>
        <v xml:space="preserve"> </v>
      </c>
      <c r="AP25" s="40" t="str">
        <f t="shared" si="7"/>
        <v xml:space="preserve"> </v>
      </c>
      <c r="AQ25" s="40" t="str">
        <f t="shared" si="7"/>
        <v xml:space="preserve"> </v>
      </c>
      <c r="AR25" s="41">
        <f t="shared" si="8"/>
        <v>64.857142857142861</v>
      </c>
      <c r="AS25" s="38">
        <v>100</v>
      </c>
      <c r="AT25" s="164">
        <f t="shared" si="20"/>
        <v>100</v>
      </c>
      <c r="AU25" s="38"/>
      <c r="AV25" s="38"/>
      <c r="AW25" s="38"/>
      <c r="AX25" s="38"/>
      <c r="AY25" s="38"/>
      <c r="AZ25" s="38"/>
      <c r="BA25" s="38"/>
      <c r="BB25" s="38"/>
      <c r="BC25" s="42">
        <f t="shared" si="9"/>
        <v>100</v>
      </c>
      <c r="BD25" s="42">
        <f t="shared" si="9"/>
        <v>100</v>
      </c>
      <c r="BE25" s="42" t="str">
        <f t="shared" si="9"/>
        <v xml:space="preserve"> </v>
      </c>
      <c r="BF25" s="42" t="str">
        <f t="shared" si="9"/>
        <v xml:space="preserve"> </v>
      </c>
      <c r="BG25" s="42" t="str">
        <f t="shared" si="9"/>
        <v xml:space="preserve"> </v>
      </c>
      <c r="BH25" s="42" t="str">
        <f t="shared" si="9"/>
        <v xml:space="preserve"> </v>
      </c>
      <c r="BI25" s="42" t="str">
        <f t="shared" si="9"/>
        <v xml:space="preserve"> </v>
      </c>
      <c r="BJ25" s="42" t="str">
        <f t="shared" si="9"/>
        <v xml:space="preserve"> </v>
      </c>
      <c r="BK25" s="42" t="str">
        <f t="shared" si="9"/>
        <v xml:space="preserve"> </v>
      </c>
      <c r="BL25" s="42" t="str">
        <f t="shared" si="9"/>
        <v xml:space="preserve"> </v>
      </c>
      <c r="BM25" s="43">
        <f t="shared" si="10"/>
        <v>100</v>
      </c>
      <c r="BN25" s="38">
        <v>59</v>
      </c>
      <c r="BO25" s="44">
        <f t="shared" si="11"/>
        <v>75.400000000000006</v>
      </c>
      <c r="BP25" s="20"/>
      <c r="BQ25" s="39">
        <f t="shared" si="21"/>
        <v>77.684285714285721</v>
      </c>
      <c r="BR25" s="23" t="str">
        <f t="shared" si="22"/>
        <v>PASSED</v>
      </c>
      <c r="BS25" s="45"/>
      <c r="BT25" s="46"/>
      <c r="BU25" s="46"/>
      <c r="BV25" s="46"/>
      <c r="BW25" s="21">
        <f t="shared" si="12"/>
        <v>1</v>
      </c>
      <c r="BX25" s="22">
        <f t="shared" si="12"/>
        <v>1</v>
      </c>
      <c r="BY25" s="22">
        <f t="shared" si="12"/>
        <v>1</v>
      </c>
      <c r="BZ25" s="22">
        <f t="shared" si="12"/>
        <v>1</v>
      </c>
      <c r="CA25" s="22">
        <f t="shared" si="12"/>
        <v>1</v>
      </c>
      <c r="CB25" s="22">
        <f t="shared" si="12"/>
        <v>1</v>
      </c>
      <c r="CC25" s="22">
        <f t="shared" si="12"/>
        <v>1</v>
      </c>
      <c r="CD25" s="22">
        <f t="shared" si="12"/>
        <v>1</v>
      </c>
      <c r="CE25" s="22">
        <f t="shared" si="12"/>
        <v>1</v>
      </c>
      <c r="CF25" s="22">
        <f t="shared" si="12"/>
        <v>1</v>
      </c>
      <c r="CG25" s="22">
        <f t="shared" si="12"/>
        <v>1</v>
      </c>
      <c r="CH25" s="22" t="str">
        <f t="shared" si="12"/>
        <v/>
      </c>
      <c r="CI25" s="22" t="str">
        <f t="shared" si="12"/>
        <v/>
      </c>
      <c r="CJ25" s="22" t="str">
        <f t="shared" si="12"/>
        <v/>
      </c>
      <c r="CK25" s="22" t="str">
        <f t="shared" si="12"/>
        <v/>
      </c>
      <c r="CL25" s="22" t="str">
        <f t="shared" ref="CL25:CP56" si="24">IF(R25="P",1,IF(R25="L",1,""))</f>
        <v/>
      </c>
      <c r="CM25" s="22" t="str">
        <f t="shared" si="13"/>
        <v/>
      </c>
      <c r="CN25" s="22" t="str">
        <f t="shared" si="13"/>
        <v/>
      </c>
      <c r="CO25" s="22" t="str">
        <f t="shared" si="13"/>
        <v/>
      </c>
      <c r="CP25" s="22" t="str">
        <f t="shared" si="13"/>
        <v/>
      </c>
      <c r="CQ25" s="22">
        <f t="shared" si="23"/>
        <v>11</v>
      </c>
      <c r="CR25" s="22">
        <f t="shared" si="3"/>
        <v>11</v>
      </c>
      <c r="CS25" s="22" t="str">
        <f t="shared" si="14"/>
        <v/>
      </c>
      <c r="CT25" s="22" t="str">
        <f t="shared" si="14"/>
        <v/>
      </c>
      <c r="CU25" s="22" t="str">
        <f t="shared" si="14"/>
        <v/>
      </c>
      <c r="CV25" s="22" t="str">
        <f t="shared" si="14"/>
        <v/>
      </c>
      <c r="CW25" s="22" t="str">
        <f t="shared" si="14"/>
        <v/>
      </c>
      <c r="CX25" s="22" t="str">
        <f t="shared" si="14"/>
        <v/>
      </c>
      <c r="CY25" s="22" t="str">
        <f t="shared" si="14"/>
        <v/>
      </c>
      <c r="CZ25" s="22" t="str">
        <f t="shared" si="14"/>
        <v/>
      </c>
      <c r="DA25" s="22" t="str">
        <f t="shared" si="14"/>
        <v/>
      </c>
      <c r="DB25" s="22" t="str">
        <f t="shared" si="14"/>
        <v/>
      </c>
      <c r="DC25" s="22" t="str">
        <f t="shared" si="14"/>
        <v/>
      </c>
      <c r="DD25" s="22" t="str">
        <f t="shared" si="14"/>
        <v/>
      </c>
      <c r="DE25" s="22" t="str">
        <f t="shared" si="14"/>
        <v/>
      </c>
      <c r="DF25" s="22" t="str">
        <f t="shared" si="14"/>
        <v/>
      </c>
      <c r="DG25" s="22" t="str">
        <f t="shared" si="14"/>
        <v/>
      </c>
      <c r="DH25" s="22" t="str">
        <f t="shared" ref="DH25:DL56" si="25">IF(R25="l",1,"")</f>
        <v/>
      </c>
      <c r="DI25" s="22" t="str">
        <f t="shared" si="15"/>
        <v/>
      </c>
      <c r="DJ25" s="22" t="str">
        <f t="shared" si="15"/>
        <v/>
      </c>
      <c r="DK25" s="22" t="str">
        <f t="shared" si="15"/>
        <v/>
      </c>
      <c r="DL25" s="22" t="str">
        <f t="shared" si="15"/>
        <v/>
      </c>
      <c r="DM25" s="22">
        <f t="shared" si="16"/>
        <v>0</v>
      </c>
      <c r="DN25" s="36">
        <f t="shared" si="17"/>
        <v>10</v>
      </c>
      <c r="DO25" s="36">
        <f t="shared" si="17"/>
        <v>10</v>
      </c>
      <c r="DP25" s="36">
        <f t="shared" si="17"/>
        <v>10</v>
      </c>
      <c r="DQ25" s="36">
        <f t="shared" si="17"/>
        <v>10</v>
      </c>
      <c r="DR25" s="36">
        <f t="shared" si="17"/>
        <v>10</v>
      </c>
      <c r="DS25" s="36">
        <f t="shared" si="17"/>
        <v>10</v>
      </c>
      <c r="DT25" s="36">
        <f t="shared" si="17"/>
        <v>10</v>
      </c>
      <c r="DU25" s="36">
        <f t="shared" si="17"/>
        <v>0</v>
      </c>
      <c r="DV25" s="36">
        <f t="shared" si="17"/>
        <v>0</v>
      </c>
      <c r="DW25" s="36">
        <f t="shared" si="17"/>
        <v>0</v>
      </c>
      <c r="DX25" s="23">
        <f t="shared" si="17"/>
        <v>7</v>
      </c>
      <c r="DY25" s="23">
        <f t="shared" si="18"/>
        <v>100</v>
      </c>
      <c r="DZ25" s="23">
        <f t="shared" si="19"/>
        <v>100</v>
      </c>
      <c r="EA25" s="23">
        <f t="shared" si="19"/>
        <v>0</v>
      </c>
      <c r="EB25" s="23">
        <f t="shared" si="19"/>
        <v>0</v>
      </c>
      <c r="EC25" s="23">
        <f t="shared" si="19"/>
        <v>0</v>
      </c>
      <c r="ED25" s="23">
        <f t="shared" si="19"/>
        <v>0</v>
      </c>
      <c r="EE25" s="23">
        <f t="shared" si="19"/>
        <v>0</v>
      </c>
      <c r="EF25" s="23">
        <f t="shared" si="19"/>
        <v>0</v>
      </c>
      <c r="EG25" s="23">
        <f t="shared" si="19"/>
        <v>0</v>
      </c>
      <c r="EH25" s="23">
        <f t="shared" si="19"/>
        <v>0</v>
      </c>
      <c r="EI25" s="23">
        <f t="shared" si="19"/>
        <v>2</v>
      </c>
      <c r="EJ25" s="23">
        <f t="shared" si="19"/>
        <v>100</v>
      </c>
    </row>
    <row r="26" spans="1:140" ht="9.9" customHeight="1" x14ac:dyDescent="0.3">
      <c r="A26" s="23">
        <v>17</v>
      </c>
      <c r="B26" s="37" t="str">
        <f>IF(PRELIM!B26="","",PRELIM!B26)</f>
        <v>LAPICEROS, ELVIE V.</v>
      </c>
      <c r="C26" s="69" t="s">
        <v>190</v>
      </c>
      <c r="D26" s="69" t="s">
        <v>190</v>
      </c>
      <c r="E26" s="69" t="s">
        <v>190</v>
      </c>
      <c r="F26" s="69" t="s">
        <v>190</v>
      </c>
      <c r="G26" s="69" t="s">
        <v>190</v>
      </c>
      <c r="H26" s="38" t="s">
        <v>190</v>
      </c>
      <c r="I26" s="38" t="s">
        <v>190</v>
      </c>
      <c r="J26" s="38" t="s">
        <v>190</v>
      </c>
      <c r="K26" s="38" t="s">
        <v>190</v>
      </c>
      <c r="L26" s="38" t="s">
        <v>190</v>
      </c>
      <c r="M26" s="38" t="s">
        <v>190</v>
      </c>
      <c r="N26" s="38"/>
      <c r="O26" s="38"/>
      <c r="P26" s="38"/>
      <c r="Q26" s="38"/>
      <c r="R26" s="38"/>
      <c r="S26" s="38"/>
      <c r="T26" s="38"/>
      <c r="U26" s="38"/>
      <c r="V26" s="38"/>
      <c r="W26" s="39">
        <f t="shared" si="6"/>
        <v>100</v>
      </c>
      <c r="X26" s="38">
        <v>8</v>
      </c>
      <c r="Y26" s="38">
        <v>2</v>
      </c>
      <c r="Z26" s="38">
        <v>6</v>
      </c>
      <c r="AA26" s="38">
        <v>7</v>
      </c>
      <c r="AB26" s="38">
        <v>8</v>
      </c>
      <c r="AC26" s="38">
        <v>8</v>
      </c>
      <c r="AD26" s="38">
        <v>8</v>
      </c>
      <c r="AE26" s="38"/>
      <c r="AF26" s="38"/>
      <c r="AG26" s="38"/>
      <c r="AH26" s="40">
        <f t="shared" si="7"/>
        <v>88</v>
      </c>
      <c r="AI26" s="40">
        <f t="shared" si="7"/>
        <v>52</v>
      </c>
      <c r="AJ26" s="40">
        <f t="shared" si="7"/>
        <v>76</v>
      </c>
      <c r="AK26" s="40">
        <f t="shared" si="7"/>
        <v>82</v>
      </c>
      <c r="AL26" s="40">
        <f t="shared" si="7"/>
        <v>88</v>
      </c>
      <c r="AM26" s="40">
        <f t="shared" si="7"/>
        <v>88</v>
      </c>
      <c r="AN26" s="40">
        <f t="shared" si="7"/>
        <v>88</v>
      </c>
      <c r="AO26" s="40" t="str">
        <f t="shared" si="7"/>
        <v xml:space="preserve"> </v>
      </c>
      <c r="AP26" s="40" t="str">
        <f t="shared" si="7"/>
        <v xml:space="preserve"> </v>
      </c>
      <c r="AQ26" s="40" t="str">
        <f t="shared" si="7"/>
        <v xml:space="preserve"> </v>
      </c>
      <c r="AR26" s="41">
        <f t="shared" si="8"/>
        <v>80.285714285714292</v>
      </c>
      <c r="AS26" s="38">
        <v>100</v>
      </c>
      <c r="AT26" s="164">
        <f t="shared" si="20"/>
        <v>100</v>
      </c>
      <c r="AU26" s="38"/>
      <c r="AV26" s="38"/>
      <c r="AW26" s="38"/>
      <c r="AX26" s="38"/>
      <c r="AY26" s="38"/>
      <c r="AZ26" s="38"/>
      <c r="BA26" s="38"/>
      <c r="BB26" s="38"/>
      <c r="BC26" s="42">
        <f t="shared" si="9"/>
        <v>100</v>
      </c>
      <c r="BD26" s="42">
        <f t="shared" si="9"/>
        <v>100</v>
      </c>
      <c r="BE26" s="42" t="str">
        <f t="shared" si="9"/>
        <v xml:space="preserve"> </v>
      </c>
      <c r="BF26" s="42" t="str">
        <f t="shared" si="9"/>
        <v xml:space="preserve"> </v>
      </c>
      <c r="BG26" s="42" t="str">
        <f t="shared" si="9"/>
        <v xml:space="preserve"> </v>
      </c>
      <c r="BH26" s="42" t="str">
        <f t="shared" si="9"/>
        <v xml:space="preserve"> </v>
      </c>
      <c r="BI26" s="42" t="str">
        <f t="shared" si="9"/>
        <v xml:space="preserve"> </v>
      </c>
      <c r="BJ26" s="42" t="str">
        <f t="shared" si="9"/>
        <v xml:space="preserve"> </v>
      </c>
      <c r="BK26" s="42" t="str">
        <f t="shared" si="9"/>
        <v xml:space="preserve"> </v>
      </c>
      <c r="BL26" s="42" t="str">
        <f t="shared" si="9"/>
        <v xml:space="preserve"> </v>
      </c>
      <c r="BM26" s="43">
        <f t="shared" si="10"/>
        <v>100</v>
      </c>
      <c r="BN26" s="38">
        <v>75</v>
      </c>
      <c r="BO26" s="44">
        <f t="shared" si="11"/>
        <v>85</v>
      </c>
      <c r="BP26" s="20"/>
      <c r="BQ26" s="39">
        <f t="shared" si="21"/>
        <v>86.821428571428584</v>
      </c>
      <c r="BR26" s="23" t="str">
        <f t="shared" si="22"/>
        <v>PASSED</v>
      </c>
      <c r="BS26" s="45"/>
      <c r="BT26" s="46"/>
      <c r="BU26" s="46"/>
      <c r="BV26" s="46"/>
      <c r="BW26" s="21">
        <f t="shared" ref="BW26:CK42" si="26">IF(C26="P",1,IF(C26="L",1,""))</f>
        <v>1</v>
      </c>
      <c r="BX26" s="22">
        <f t="shared" si="26"/>
        <v>1</v>
      </c>
      <c r="BY26" s="22">
        <f t="shared" si="26"/>
        <v>1</v>
      </c>
      <c r="BZ26" s="22">
        <f t="shared" si="26"/>
        <v>1</v>
      </c>
      <c r="CA26" s="22">
        <f t="shared" si="26"/>
        <v>1</v>
      </c>
      <c r="CB26" s="22">
        <f t="shared" si="26"/>
        <v>1</v>
      </c>
      <c r="CC26" s="22">
        <f t="shared" si="26"/>
        <v>1</v>
      </c>
      <c r="CD26" s="22">
        <f t="shared" si="26"/>
        <v>1</v>
      </c>
      <c r="CE26" s="22">
        <f t="shared" si="26"/>
        <v>1</v>
      </c>
      <c r="CF26" s="22">
        <f t="shared" si="26"/>
        <v>1</v>
      </c>
      <c r="CG26" s="22">
        <f t="shared" si="26"/>
        <v>1</v>
      </c>
      <c r="CH26" s="22" t="str">
        <f t="shared" si="26"/>
        <v/>
      </c>
      <c r="CI26" s="22" t="str">
        <f t="shared" si="26"/>
        <v/>
      </c>
      <c r="CJ26" s="22" t="str">
        <f t="shared" si="26"/>
        <v/>
      </c>
      <c r="CK26" s="22" t="str">
        <f t="shared" si="26"/>
        <v/>
      </c>
      <c r="CL26" s="22" t="str">
        <f t="shared" si="24"/>
        <v/>
      </c>
      <c r="CM26" s="22" t="str">
        <f t="shared" si="13"/>
        <v/>
      </c>
      <c r="CN26" s="22" t="str">
        <f t="shared" si="13"/>
        <v/>
      </c>
      <c r="CO26" s="22" t="str">
        <f t="shared" si="13"/>
        <v/>
      </c>
      <c r="CP26" s="22" t="str">
        <f t="shared" si="13"/>
        <v/>
      </c>
      <c r="CQ26" s="22">
        <f t="shared" si="23"/>
        <v>11</v>
      </c>
      <c r="CR26" s="22">
        <f t="shared" si="3"/>
        <v>11</v>
      </c>
      <c r="CS26" s="22" t="str">
        <f t="shared" ref="CS26:DG42" si="27">IF(C26="l",1,"")</f>
        <v/>
      </c>
      <c r="CT26" s="22" t="str">
        <f t="shared" si="27"/>
        <v/>
      </c>
      <c r="CU26" s="22" t="str">
        <f t="shared" si="27"/>
        <v/>
      </c>
      <c r="CV26" s="22" t="str">
        <f t="shared" si="27"/>
        <v/>
      </c>
      <c r="CW26" s="22" t="str">
        <f t="shared" si="27"/>
        <v/>
      </c>
      <c r="CX26" s="22" t="str">
        <f t="shared" si="27"/>
        <v/>
      </c>
      <c r="CY26" s="22" t="str">
        <f t="shared" si="27"/>
        <v/>
      </c>
      <c r="CZ26" s="22" t="str">
        <f t="shared" si="27"/>
        <v/>
      </c>
      <c r="DA26" s="22" t="str">
        <f t="shared" si="27"/>
        <v/>
      </c>
      <c r="DB26" s="22" t="str">
        <f t="shared" si="27"/>
        <v/>
      </c>
      <c r="DC26" s="22" t="str">
        <f t="shared" si="27"/>
        <v/>
      </c>
      <c r="DD26" s="22" t="str">
        <f t="shared" si="27"/>
        <v/>
      </c>
      <c r="DE26" s="22" t="str">
        <f t="shared" si="27"/>
        <v/>
      </c>
      <c r="DF26" s="22" t="str">
        <f t="shared" si="27"/>
        <v/>
      </c>
      <c r="DG26" s="22" t="str">
        <f t="shared" si="27"/>
        <v/>
      </c>
      <c r="DH26" s="22" t="str">
        <f t="shared" si="25"/>
        <v/>
      </c>
      <c r="DI26" s="22" t="str">
        <f t="shared" si="15"/>
        <v/>
      </c>
      <c r="DJ26" s="22" t="str">
        <f t="shared" si="15"/>
        <v/>
      </c>
      <c r="DK26" s="22" t="str">
        <f t="shared" si="15"/>
        <v/>
      </c>
      <c r="DL26" s="22" t="str">
        <f t="shared" si="15"/>
        <v/>
      </c>
      <c r="DM26" s="22">
        <f t="shared" si="16"/>
        <v>0</v>
      </c>
      <c r="DN26" s="36">
        <f t="shared" ref="DN26:EC41" si="28">DN25</f>
        <v>10</v>
      </c>
      <c r="DO26" s="36">
        <f t="shared" si="28"/>
        <v>10</v>
      </c>
      <c r="DP26" s="36">
        <f t="shared" si="28"/>
        <v>10</v>
      </c>
      <c r="DQ26" s="36">
        <f t="shared" si="28"/>
        <v>10</v>
      </c>
      <c r="DR26" s="36">
        <f t="shared" si="28"/>
        <v>10</v>
      </c>
      <c r="DS26" s="36">
        <f t="shared" si="28"/>
        <v>10</v>
      </c>
      <c r="DT26" s="36">
        <f t="shared" si="28"/>
        <v>10</v>
      </c>
      <c r="DU26" s="36">
        <f t="shared" si="28"/>
        <v>0</v>
      </c>
      <c r="DV26" s="36">
        <f t="shared" si="28"/>
        <v>0</v>
      </c>
      <c r="DW26" s="36">
        <f t="shared" si="28"/>
        <v>0</v>
      </c>
      <c r="DX26" s="23">
        <f t="shared" si="28"/>
        <v>7</v>
      </c>
      <c r="DY26" s="23">
        <f t="shared" si="18"/>
        <v>100</v>
      </c>
      <c r="DZ26" s="23">
        <f t="shared" ref="DZ26:EJ26" si="29">DZ25</f>
        <v>100</v>
      </c>
      <c r="EA26" s="23">
        <f t="shared" si="29"/>
        <v>0</v>
      </c>
      <c r="EB26" s="23">
        <f t="shared" si="29"/>
        <v>0</v>
      </c>
      <c r="EC26" s="23">
        <f t="shared" si="29"/>
        <v>0</v>
      </c>
      <c r="ED26" s="23">
        <f t="shared" si="29"/>
        <v>0</v>
      </c>
      <c r="EE26" s="23">
        <f t="shared" si="29"/>
        <v>0</v>
      </c>
      <c r="EF26" s="23">
        <f t="shared" si="29"/>
        <v>0</v>
      </c>
      <c r="EG26" s="23">
        <f t="shared" si="29"/>
        <v>0</v>
      </c>
      <c r="EH26" s="23">
        <f t="shared" si="29"/>
        <v>0</v>
      </c>
      <c r="EI26" s="23">
        <f t="shared" si="29"/>
        <v>2</v>
      </c>
      <c r="EJ26" s="23">
        <f t="shared" si="29"/>
        <v>100</v>
      </c>
    </row>
    <row r="27" spans="1:140" ht="9.9" customHeight="1" x14ac:dyDescent="0.3">
      <c r="A27" s="23">
        <v>18</v>
      </c>
      <c r="B27" s="37" t="str">
        <f>IF(PRELIM!B27="","",PRELIM!B27)</f>
        <v>LIBOT, MARK ANTHONY A.</v>
      </c>
      <c r="C27" s="69" t="s">
        <v>190</v>
      </c>
      <c r="D27" s="69" t="s">
        <v>190</v>
      </c>
      <c r="E27" s="69" t="s">
        <v>190</v>
      </c>
      <c r="F27" s="69" t="s">
        <v>190</v>
      </c>
      <c r="G27" s="69" t="s">
        <v>190</v>
      </c>
      <c r="H27" s="38" t="s">
        <v>190</v>
      </c>
      <c r="I27" s="38" t="s">
        <v>190</v>
      </c>
      <c r="J27" s="38" t="s">
        <v>190</v>
      </c>
      <c r="K27" s="38" t="s">
        <v>190</v>
      </c>
      <c r="L27" s="38" t="s">
        <v>190</v>
      </c>
      <c r="M27" s="38" t="s">
        <v>190</v>
      </c>
      <c r="N27" s="38"/>
      <c r="O27" s="38"/>
      <c r="P27" s="38"/>
      <c r="Q27" s="38"/>
      <c r="R27" s="38"/>
      <c r="S27" s="38"/>
      <c r="T27" s="38"/>
      <c r="U27" s="38"/>
      <c r="V27" s="38"/>
      <c r="W27" s="39">
        <f t="shared" si="6"/>
        <v>100</v>
      </c>
      <c r="X27" s="38">
        <v>4</v>
      </c>
      <c r="Y27" s="38">
        <v>2</v>
      </c>
      <c r="Z27" s="38">
        <v>10</v>
      </c>
      <c r="AA27" s="38">
        <v>9</v>
      </c>
      <c r="AB27" s="38">
        <v>9</v>
      </c>
      <c r="AC27" s="38">
        <v>7</v>
      </c>
      <c r="AD27" s="38">
        <v>8</v>
      </c>
      <c r="AE27" s="38"/>
      <c r="AF27" s="38"/>
      <c r="AG27" s="38"/>
      <c r="AH27" s="40">
        <f t="shared" si="7"/>
        <v>64</v>
      </c>
      <c r="AI27" s="40">
        <f t="shared" si="7"/>
        <v>52</v>
      </c>
      <c r="AJ27" s="40">
        <f t="shared" si="7"/>
        <v>100</v>
      </c>
      <c r="AK27" s="40">
        <f t="shared" si="7"/>
        <v>94</v>
      </c>
      <c r="AL27" s="40">
        <f t="shared" si="7"/>
        <v>94</v>
      </c>
      <c r="AM27" s="40">
        <f t="shared" si="7"/>
        <v>82</v>
      </c>
      <c r="AN27" s="40">
        <f t="shared" si="7"/>
        <v>88</v>
      </c>
      <c r="AO27" s="40" t="str">
        <f t="shared" si="7"/>
        <v xml:space="preserve"> </v>
      </c>
      <c r="AP27" s="40" t="str">
        <f t="shared" si="7"/>
        <v xml:space="preserve"> </v>
      </c>
      <c r="AQ27" s="40" t="str">
        <f t="shared" si="7"/>
        <v xml:space="preserve"> </v>
      </c>
      <c r="AR27" s="41">
        <f t="shared" si="8"/>
        <v>82</v>
      </c>
      <c r="AS27" s="38">
        <v>100</v>
      </c>
      <c r="AT27" s="164">
        <f t="shared" si="20"/>
        <v>100</v>
      </c>
      <c r="AU27" s="38"/>
      <c r="AV27" s="38"/>
      <c r="AW27" s="38"/>
      <c r="AX27" s="38"/>
      <c r="AY27" s="38"/>
      <c r="AZ27" s="38"/>
      <c r="BA27" s="38"/>
      <c r="BB27" s="38"/>
      <c r="BC27" s="42">
        <f t="shared" si="9"/>
        <v>100</v>
      </c>
      <c r="BD27" s="42">
        <f t="shared" si="9"/>
        <v>100</v>
      </c>
      <c r="BE27" s="42" t="str">
        <f t="shared" si="9"/>
        <v xml:space="preserve"> </v>
      </c>
      <c r="BF27" s="42" t="str">
        <f t="shared" si="9"/>
        <v xml:space="preserve"> </v>
      </c>
      <c r="BG27" s="42" t="str">
        <f t="shared" si="9"/>
        <v xml:space="preserve"> </v>
      </c>
      <c r="BH27" s="42" t="str">
        <f t="shared" si="9"/>
        <v xml:space="preserve"> </v>
      </c>
      <c r="BI27" s="42" t="str">
        <f t="shared" si="9"/>
        <v xml:space="preserve"> </v>
      </c>
      <c r="BJ27" s="42" t="str">
        <f t="shared" si="9"/>
        <v xml:space="preserve"> </v>
      </c>
      <c r="BK27" s="42" t="str">
        <f t="shared" si="9"/>
        <v xml:space="preserve"> </v>
      </c>
      <c r="BL27" s="42" t="str">
        <f t="shared" si="9"/>
        <v xml:space="preserve"> </v>
      </c>
      <c r="BM27" s="43">
        <f t="shared" si="10"/>
        <v>100</v>
      </c>
      <c r="BN27" s="38">
        <v>78</v>
      </c>
      <c r="BO27" s="44">
        <f t="shared" si="11"/>
        <v>86.800000000000011</v>
      </c>
      <c r="BP27" s="20"/>
      <c r="BQ27" s="39">
        <f t="shared" si="21"/>
        <v>88.240000000000009</v>
      </c>
      <c r="BR27" s="23" t="str">
        <f t="shared" si="22"/>
        <v>PASSED</v>
      </c>
      <c r="BS27" s="45"/>
      <c r="BT27" s="46"/>
      <c r="BU27" s="46"/>
      <c r="BV27" s="46"/>
      <c r="BW27" s="21">
        <f t="shared" si="26"/>
        <v>1</v>
      </c>
      <c r="BX27" s="22">
        <f t="shared" si="26"/>
        <v>1</v>
      </c>
      <c r="BY27" s="22">
        <f t="shared" si="26"/>
        <v>1</v>
      </c>
      <c r="BZ27" s="22">
        <f t="shared" si="26"/>
        <v>1</v>
      </c>
      <c r="CA27" s="22">
        <f t="shared" si="26"/>
        <v>1</v>
      </c>
      <c r="CB27" s="22">
        <f t="shared" si="26"/>
        <v>1</v>
      </c>
      <c r="CC27" s="22">
        <f t="shared" si="26"/>
        <v>1</v>
      </c>
      <c r="CD27" s="22">
        <f t="shared" si="26"/>
        <v>1</v>
      </c>
      <c r="CE27" s="22">
        <f t="shared" si="26"/>
        <v>1</v>
      </c>
      <c r="CF27" s="22">
        <f t="shared" si="26"/>
        <v>1</v>
      </c>
      <c r="CG27" s="22">
        <f t="shared" si="26"/>
        <v>1</v>
      </c>
      <c r="CH27" s="22" t="str">
        <f t="shared" si="26"/>
        <v/>
      </c>
      <c r="CI27" s="22" t="str">
        <f t="shared" si="26"/>
        <v/>
      </c>
      <c r="CJ27" s="22" t="str">
        <f t="shared" si="26"/>
        <v/>
      </c>
      <c r="CK27" s="22" t="str">
        <f t="shared" si="26"/>
        <v/>
      </c>
      <c r="CL27" s="22" t="str">
        <f t="shared" si="24"/>
        <v/>
      </c>
      <c r="CM27" s="22" t="str">
        <f t="shared" si="13"/>
        <v/>
      </c>
      <c r="CN27" s="22" t="str">
        <f t="shared" si="13"/>
        <v/>
      </c>
      <c r="CO27" s="22" t="str">
        <f t="shared" si="13"/>
        <v/>
      </c>
      <c r="CP27" s="22" t="str">
        <f t="shared" si="13"/>
        <v/>
      </c>
      <c r="CQ27" s="22">
        <f t="shared" si="23"/>
        <v>11</v>
      </c>
      <c r="CR27" s="22">
        <f t="shared" si="3"/>
        <v>11</v>
      </c>
      <c r="CS27" s="22" t="str">
        <f t="shared" si="27"/>
        <v/>
      </c>
      <c r="CT27" s="22" t="str">
        <f t="shared" si="27"/>
        <v/>
      </c>
      <c r="CU27" s="22" t="str">
        <f t="shared" si="27"/>
        <v/>
      </c>
      <c r="CV27" s="22" t="str">
        <f t="shared" si="27"/>
        <v/>
      </c>
      <c r="CW27" s="22" t="str">
        <f t="shared" si="27"/>
        <v/>
      </c>
      <c r="CX27" s="22" t="str">
        <f t="shared" si="27"/>
        <v/>
      </c>
      <c r="CY27" s="22" t="str">
        <f t="shared" si="27"/>
        <v/>
      </c>
      <c r="CZ27" s="22" t="str">
        <f t="shared" si="27"/>
        <v/>
      </c>
      <c r="DA27" s="22" t="str">
        <f t="shared" si="27"/>
        <v/>
      </c>
      <c r="DB27" s="22" t="str">
        <f t="shared" si="27"/>
        <v/>
      </c>
      <c r="DC27" s="22" t="str">
        <f t="shared" si="27"/>
        <v/>
      </c>
      <c r="DD27" s="22" t="str">
        <f t="shared" si="27"/>
        <v/>
      </c>
      <c r="DE27" s="22" t="str">
        <f t="shared" si="27"/>
        <v/>
      </c>
      <c r="DF27" s="22" t="str">
        <f t="shared" si="27"/>
        <v/>
      </c>
      <c r="DG27" s="22" t="str">
        <f t="shared" si="27"/>
        <v/>
      </c>
      <c r="DH27" s="22" t="str">
        <f t="shared" si="25"/>
        <v/>
      </c>
      <c r="DI27" s="22" t="str">
        <f t="shared" si="15"/>
        <v/>
      </c>
      <c r="DJ27" s="22" t="str">
        <f t="shared" si="15"/>
        <v/>
      </c>
      <c r="DK27" s="22" t="str">
        <f t="shared" si="15"/>
        <v/>
      </c>
      <c r="DL27" s="22" t="str">
        <f t="shared" si="15"/>
        <v/>
      </c>
      <c r="DM27" s="22">
        <f t="shared" si="16"/>
        <v>0</v>
      </c>
      <c r="DN27" s="36">
        <f t="shared" si="28"/>
        <v>10</v>
      </c>
      <c r="DO27" s="36">
        <f t="shared" si="28"/>
        <v>10</v>
      </c>
      <c r="DP27" s="36">
        <f t="shared" si="28"/>
        <v>10</v>
      </c>
      <c r="DQ27" s="36">
        <f t="shared" si="28"/>
        <v>10</v>
      </c>
      <c r="DR27" s="36">
        <f t="shared" si="28"/>
        <v>10</v>
      </c>
      <c r="DS27" s="36">
        <f t="shared" si="28"/>
        <v>10</v>
      </c>
      <c r="DT27" s="36">
        <f t="shared" si="28"/>
        <v>10</v>
      </c>
      <c r="DU27" s="36">
        <f t="shared" si="28"/>
        <v>0</v>
      </c>
      <c r="DV27" s="36">
        <f t="shared" si="28"/>
        <v>0</v>
      </c>
      <c r="DW27" s="36">
        <f t="shared" si="28"/>
        <v>0</v>
      </c>
      <c r="DX27" s="23">
        <f t="shared" si="28"/>
        <v>7</v>
      </c>
      <c r="DY27" s="23">
        <f t="shared" si="28"/>
        <v>100</v>
      </c>
      <c r="DZ27" s="23">
        <f t="shared" si="28"/>
        <v>100</v>
      </c>
      <c r="EA27" s="23">
        <f t="shared" si="28"/>
        <v>0</v>
      </c>
      <c r="EB27" s="23">
        <f t="shared" si="28"/>
        <v>0</v>
      </c>
      <c r="EC27" s="23">
        <f t="shared" si="28"/>
        <v>0</v>
      </c>
      <c r="ED27" s="23">
        <f t="shared" ref="ED27:EJ42" si="30">ED26</f>
        <v>0</v>
      </c>
      <c r="EE27" s="23">
        <f t="shared" si="30"/>
        <v>0</v>
      </c>
      <c r="EF27" s="23">
        <f t="shared" si="30"/>
        <v>0</v>
      </c>
      <c r="EG27" s="23">
        <f t="shared" si="30"/>
        <v>0</v>
      </c>
      <c r="EH27" s="23">
        <f t="shared" si="30"/>
        <v>0</v>
      </c>
      <c r="EI27" s="23">
        <f t="shared" si="30"/>
        <v>2</v>
      </c>
      <c r="EJ27" s="23">
        <f t="shared" si="30"/>
        <v>100</v>
      </c>
    </row>
    <row r="28" spans="1:140" ht="9.9" customHeight="1" x14ac:dyDescent="0.3">
      <c r="A28" s="23">
        <v>19</v>
      </c>
      <c r="B28" s="37" t="str">
        <f>IF(PRELIM!B28="","",PRELIM!B28)</f>
        <v>MAINAR, MADEL V.</v>
      </c>
      <c r="C28" s="69" t="s">
        <v>190</v>
      </c>
      <c r="D28" s="69" t="s">
        <v>190</v>
      </c>
      <c r="E28" s="69" t="s">
        <v>190</v>
      </c>
      <c r="F28" s="69" t="s">
        <v>190</v>
      </c>
      <c r="G28" s="69" t="s">
        <v>190</v>
      </c>
      <c r="H28" s="38" t="s">
        <v>190</v>
      </c>
      <c r="I28" s="38" t="s">
        <v>190</v>
      </c>
      <c r="J28" s="38" t="s">
        <v>190</v>
      </c>
      <c r="K28" s="38" t="s">
        <v>190</v>
      </c>
      <c r="L28" s="38" t="s">
        <v>190</v>
      </c>
      <c r="M28" s="38" t="s">
        <v>190</v>
      </c>
      <c r="N28" s="38"/>
      <c r="O28" s="38"/>
      <c r="P28" s="38"/>
      <c r="Q28" s="38"/>
      <c r="R28" s="38"/>
      <c r="S28" s="38"/>
      <c r="T28" s="38"/>
      <c r="U28" s="38"/>
      <c r="V28" s="38"/>
      <c r="W28" s="39">
        <f t="shared" si="6"/>
        <v>100</v>
      </c>
      <c r="X28" s="38">
        <v>1</v>
      </c>
      <c r="Y28" s="38">
        <v>1</v>
      </c>
      <c r="Z28" s="38">
        <v>8</v>
      </c>
      <c r="AA28" s="38">
        <v>5</v>
      </c>
      <c r="AB28" s="38">
        <v>8</v>
      </c>
      <c r="AC28" s="38">
        <v>6</v>
      </c>
      <c r="AD28" s="38">
        <v>8</v>
      </c>
      <c r="AE28" s="38"/>
      <c r="AF28" s="38"/>
      <c r="AG28" s="38"/>
      <c r="AH28" s="40">
        <f t="shared" si="7"/>
        <v>46</v>
      </c>
      <c r="AI28" s="40">
        <f t="shared" si="7"/>
        <v>46</v>
      </c>
      <c r="AJ28" s="40">
        <f t="shared" si="7"/>
        <v>88</v>
      </c>
      <c r="AK28" s="40">
        <f t="shared" si="7"/>
        <v>70</v>
      </c>
      <c r="AL28" s="40">
        <f t="shared" si="7"/>
        <v>88</v>
      </c>
      <c r="AM28" s="40">
        <f t="shared" si="7"/>
        <v>76</v>
      </c>
      <c r="AN28" s="40">
        <f t="shared" si="7"/>
        <v>88</v>
      </c>
      <c r="AO28" s="40" t="str">
        <f t="shared" si="7"/>
        <v xml:space="preserve"> </v>
      </c>
      <c r="AP28" s="40" t="str">
        <f t="shared" si="7"/>
        <v xml:space="preserve"> </v>
      </c>
      <c r="AQ28" s="40" t="str">
        <f t="shared" si="7"/>
        <v xml:space="preserve"> </v>
      </c>
      <c r="AR28" s="41">
        <f t="shared" si="8"/>
        <v>71.714285714285708</v>
      </c>
      <c r="AS28" s="38">
        <v>100</v>
      </c>
      <c r="AT28" s="164">
        <f t="shared" si="20"/>
        <v>100</v>
      </c>
      <c r="AU28" s="38"/>
      <c r="AV28" s="38"/>
      <c r="AW28" s="38"/>
      <c r="AX28" s="38"/>
      <c r="AY28" s="38"/>
      <c r="AZ28" s="38"/>
      <c r="BA28" s="38"/>
      <c r="BB28" s="38"/>
      <c r="BC28" s="42">
        <f t="shared" si="9"/>
        <v>100</v>
      </c>
      <c r="BD28" s="42">
        <f t="shared" si="9"/>
        <v>100</v>
      </c>
      <c r="BE28" s="42" t="str">
        <f t="shared" si="9"/>
        <v xml:space="preserve"> </v>
      </c>
      <c r="BF28" s="42" t="str">
        <f t="shared" si="9"/>
        <v xml:space="preserve"> </v>
      </c>
      <c r="BG28" s="42" t="str">
        <f t="shared" si="9"/>
        <v xml:space="preserve"> </v>
      </c>
      <c r="BH28" s="42" t="str">
        <f t="shared" si="9"/>
        <v xml:space="preserve"> </v>
      </c>
      <c r="BI28" s="42" t="str">
        <f t="shared" si="9"/>
        <v xml:space="preserve"> </v>
      </c>
      <c r="BJ28" s="42" t="str">
        <f t="shared" si="9"/>
        <v xml:space="preserve"> </v>
      </c>
      <c r="BK28" s="42" t="str">
        <f t="shared" si="9"/>
        <v xml:space="preserve"> </v>
      </c>
      <c r="BL28" s="42" t="str">
        <f t="shared" si="9"/>
        <v xml:space="preserve"> </v>
      </c>
      <c r="BM28" s="43">
        <f t="shared" si="10"/>
        <v>100</v>
      </c>
      <c r="BN28" s="38">
        <v>62</v>
      </c>
      <c r="BO28" s="44">
        <f t="shared" si="11"/>
        <v>77.2</v>
      </c>
      <c r="BP28" s="20"/>
      <c r="BQ28" s="39">
        <f t="shared" si="21"/>
        <v>80.388571428571439</v>
      </c>
      <c r="BR28" s="23" t="str">
        <f t="shared" si="22"/>
        <v>PASSED</v>
      </c>
      <c r="BS28" s="45"/>
      <c r="BT28" s="46"/>
      <c r="BU28" s="46"/>
      <c r="BV28" s="46"/>
      <c r="BW28" s="21">
        <f t="shared" si="26"/>
        <v>1</v>
      </c>
      <c r="BX28" s="22">
        <f t="shared" si="26"/>
        <v>1</v>
      </c>
      <c r="BY28" s="22">
        <f t="shared" si="26"/>
        <v>1</v>
      </c>
      <c r="BZ28" s="22">
        <f t="shared" si="26"/>
        <v>1</v>
      </c>
      <c r="CA28" s="22">
        <f t="shared" si="26"/>
        <v>1</v>
      </c>
      <c r="CB28" s="22">
        <f t="shared" si="26"/>
        <v>1</v>
      </c>
      <c r="CC28" s="22">
        <f t="shared" si="26"/>
        <v>1</v>
      </c>
      <c r="CD28" s="22">
        <f t="shared" si="26"/>
        <v>1</v>
      </c>
      <c r="CE28" s="22">
        <f t="shared" si="26"/>
        <v>1</v>
      </c>
      <c r="CF28" s="22">
        <f t="shared" si="26"/>
        <v>1</v>
      </c>
      <c r="CG28" s="22">
        <f t="shared" si="26"/>
        <v>1</v>
      </c>
      <c r="CH28" s="22" t="str">
        <f t="shared" si="26"/>
        <v/>
      </c>
      <c r="CI28" s="22" t="str">
        <f t="shared" si="26"/>
        <v/>
      </c>
      <c r="CJ28" s="22" t="str">
        <f t="shared" si="26"/>
        <v/>
      </c>
      <c r="CK28" s="22" t="str">
        <f t="shared" si="26"/>
        <v/>
      </c>
      <c r="CL28" s="22" t="str">
        <f t="shared" si="24"/>
        <v/>
      </c>
      <c r="CM28" s="22" t="str">
        <f t="shared" si="13"/>
        <v/>
      </c>
      <c r="CN28" s="22" t="str">
        <f t="shared" si="13"/>
        <v/>
      </c>
      <c r="CO28" s="22" t="str">
        <f t="shared" si="13"/>
        <v/>
      </c>
      <c r="CP28" s="22" t="str">
        <f t="shared" si="13"/>
        <v/>
      </c>
      <c r="CQ28" s="22">
        <f t="shared" si="23"/>
        <v>11</v>
      </c>
      <c r="CR28" s="22">
        <f t="shared" si="3"/>
        <v>11</v>
      </c>
      <c r="CS28" s="22" t="str">
        <f t="shared" si="27"/>
        <v/>
      </c>
      <c r="CT28" s="22" t="str">
        <f t="shared" si="27"/>
        <v/>
      </c>
      <c r="CU28" s="22" t="str">
        <f t="shared" si="27"/>
        <v/>
      </c>
      <c r="CV28" s="22" t="str">
        <f t="shared" si="27"/>
        <v/>
      </c>
      <c r="CW28" s="22" t="str">
        <f t="shared" si="27"/>
        <v/>
      </c>
      <c r="CX28" s="22" t="str">
        <f t="shared" si="27"/>
        <v/>
      </c>
      <c r="CY28" s="22" t="str">
        <f t="shared" si="27"/>
        <v/>
      </c>
      <c r="CZ28" s="22" t="str">
        <f t="shared" si="27"/>
        <v/>
      </c>
      <c r="DA28" s="22" t="str">
        <f t="shared" si="27"/>
        <v/>
      </c>
      <c r="DB28" s="22" t="str">
        <f t="shared" si="27"/>
        <v/>
      </c>
      <c r="DC28" s="22" t="str">
        <f t="shared" si="27"/>
        <v/>
      </c>
      <c r="DD28" s="22" t="str">
        <f t="shared" si="27"/>
        <v/>
      </c>
      <c r="DE28" s="22" t="str">
        <f t="shared" si="27"/>
        <v/>
      </c>
      <c r="DF28" s="22" t="str">
        <f t="shared" si="27"/>
        <v/>
      </c>
      <c r="DG28" s="22" t="str">
        <f t="shared" si="27"/>
        <v/>
      </c>
      <c r="DH28" s="22" t="str">
        <f t="shared" si="25"/>
        <v/>
      </c>
      <c r="DI28" s="22" t="str">
        <f t="shared" si="15"/>
        <v/>
      </c>
      <c r="DJ28" s="22" t="str">
        <f t="shared" si="15"/>
        <v/>
      </c>
      <c r="DK28" s="22" t="str">
        <f t="shared" si="15"/>
        <v/>
      </c>
      <c r="DL28" s="22" t="str">
        <f t="shared" si="15"/>
        <v/>
      </c>
      <c r="DM28" s="22">
        <f t="shared" si="16"/>
        <v>0</v>
      </c>
      <c r="DN28" s="36">
        <f t="shared" si="28"/>
        <v>10</v>
      </c>
      <c r="DO28" s="36">
        <f t="shared" si="28"/>
        <v>10</v>
      </c>
      <c r="DP28" s="36">
        <f t="shared" si="28"/>
        <v>10</v>
      </c>
      <c r="DQ28" s="36">
        <f t="shared" si="28"/>
        <v>10</v>
      </c>
      <c r="DR28" s="36">
        <f t="shared" si="28"/>
        <v>10</v>
      </c>
      <c r="DS28" s="36">
        <f t="shared" si="28"/>
        <v>10</v>
      </c>
      <c r="DT28" s="36">
        <f t="shared" si="28"/>
        <v>10</v>
      </c>
      <c r="DU28" s="36">
        <f t="shared" si="28"/>
        <v>0</v>
      </c>
      <c r="DV28" s="36">
        <f t="shared" si="28"/>
        <v>0</v>
      </c>
      <c r="DW28" s="36">
        <f t="shared" si="28"/>
        <v>0</v>
      </c>
      <c r="DX28" s="23">
        <f t="shared" si="28"/>
        <v>7</v>
      </c>
      <c r="DY28" s="23">
        <f t="shared" si="28"/>
        <v>100</v>
      </c>
      <c r="DZ28" s="23">
        <f t="shared" si="28"/>
        <v>100</v>
      </c>
      <c r="EA28" s="23">
        <f t="shared" si="28"/>
        <v>0</v>
      </c>
      <c r="EB28" s="23">
        <f t="shared" si="28"/>
        <v>0</v>
      </c>
      <c r="EC28" s="23">
        <f t="shared" si="28"/>
        <v>0</v>
      </c>
      <c r="ED28" s="23">
        <f t="shared" si="30"/>
        <v>0</v>
      </c>
      <c r="EE28" s="23">
        <f t="shared" si="30"/>
        <v>0</v>
      </c>
      <c r="EF28" s="23">
        <f t="shared" si="30"/>
        <v>0</v>
      </c>
      <c r="EG28" s="23">
        <f t="shared" si="30"/>
        <v>0</v>
      </c>
      <c r="EH28" s="23">
        <f t="shared" si="30"/>
        <v>0</v>
      </c>
      <c r="EI28" s="23">
        <f t="shared" si="30"/>
        <v>2</v>
      </c>
      <c r="EJ28" s="23">
        <f t="shared" si="30"/>
        <v>100</v>
      </c>
    </row>
    <row r="29" spans="1:140" ht="9.9" customHeight="1" x14ac:dyDescent="0.3">
      <c r="A29" s="23">
        <v>20</v>
      </c>
      <c r="B29" s="37" t="str">
        <f>IF(PRELIM!B29="","",PRELIM!B29)</f>
        <v>MAITIM, SALVE ANN RUTH E</v>
      </c>
      <c r="C29" s="69" t="s">
        <v>190</v>
      </c>
      <c r="D29" s="69" t="s">
        <v>190</v>
      </c>
      <c r="E29" s="69" t="s">
        <v>190</v>
      </c>
      <c r="F29" s="69" t="s">
        <v>190</v>
      </c>
      <c r="G29" s="69" t="s">
        <v>190</v>
      </c>
      <c r="H29" s="38" t="s">
        <v>190</v>
      </c>
      <c r="I29" s="38" t="s">
        <v>190</v>
      </c>
      <c r="J29" s="38" t="s">
        <v>190</v>
      </c>
      <c r="K29" s="38" t="s">
        <v>190</v>
      </c>
      <c r="L29" s="38" t="s">
        <v>190</v>
      </c>
      <c r="M29" s="38" t="s">
        <v>228</v>
      </c>
      <c r="N29" s="38"/>
      <c r="O29" s="38"/>
      <c r="P29" s="38"/>
      <c r="Q29" s="38"/>
      <c r="R29" s="38"/>
      <c r="S29" s="38"/>
      <c r="T29" s="38"/>
      <c r="U29" s="38"/>
      <c r="V29" s="38"/>
      <c r="W29" s="39">
        <f t="shared" si="6"/>
        <v>94.545454545454547</v>
      </c>
      <c r="X29" s="38">
        <v>10</v>
      </c>
      <c r="Y29" s="38">
        <v>5</v>
      </c>
      <c r="Z29" s="38">
        <v>7</v>
      </c>
      <c r="AA29" s="38">
        <v>8</v>
      </c>
      <c r="AB29" s="38">
        <v>9</v>
      </c>
      <c r="AC29" s="38">
        <v>9</v>
      </c>
      <c r="AD29" s="38"/>
      <c r="AE29" s="38"/>
      <c r="AF29" s="38"/>
      <c r="AG29" s="38"/>
      <c r="AH29" s="40">
        <f t="shared" si="7"/>
        <v>100</v>
      </c>
      <c r="AI29" s="40">
        <f t="shared" si="7"/>
        <v>70</v>
      </c>
      <c r="AJ29" s="40">
        <f t="shared" si="7"/>
        <v>82</v>
      </c>
      <c r="AK29" s="40">
        <f t="shared" si="7"/>
        <v>88</v>
      </c>
      <c r="AL29" s="40">
        <f t="shared" si="7"/>
        <v>94</v>
      </c>
      <c r="AM29" s="40">
        <f t="shared" si="7"/>
        <v>94</v>
      </c>
      <c r="AN29" s="40">
        <f t="shared" si="7"/>
        <v>40</v>
      </c>
      <c r="AO29" s="40" t="str">
        <f t="shared" si="7"/>
        <v xml:space="preserve"> </v>
      </c>
      <c r="AP29" s="40" t="str">
        <f t="shared" si="7"/>
        <v xml:space="preserve"> </v>
      </c>
      <c r="AQ29" s="40" t="str">
        <f t="shared" si="7"/>
        <v xml:space="preserve"> </v>
      </c>
      <c r="AR29" s="41">
        <f t="shared" si="8"/>
        <v>81.142857142857139</v>
      </c>
      <c r="AS29" s="38">
        <v>100</v>
      </c>
      <c r="AT29" s="164">
        <f t="shared" si="20"/>
        <v>95</v>
      </c>
      <c r="AU29" s="38"/>
      <c r="AV29" s="38"/>
      <c r="AW29" s="38"/>
      <c r="AX29" s="38"/>
      <c r="AY29" s="38"/>
      <c r="AZ29" s="38"/>
      <c r="BA29" s="38"/>
      <c r="BB29" s="38"/>
      <c r="BC29" s="42">
        <f t="shared" si="9"/>
        <v>100</v>
      </c>
      <c r="BD29" s="42">
        <f t="shared" si="9"/>
        <v>97</v>
      </c>
      <c r="BE29" s="42" t="str">
        <f t="shared" si="9"/>
        <v xml:space="preserve"> </v>
      </c>
      <c r="BF29" s="42" t="str">
        <f t="shared" si="9"/>
        <v xml:space="preserve"> </v>
      </c>
      <c r="BG29" s="42" t="str">
        <f t="shared" si="9"/>
        <v xml:space="preserve"> </v>
      </c>
      <c r="BH29" s="42" t="str">
        <f t="shared" si="9"/>
        <v xml:space="preserve"> </v>
      </c>
      <c r="BI29" s="42" t="str">
        <f t="shared" si="9"/>
        <v xml:space="preserve"> </v>
      </c>
      <c r="BJ29" s="42" t="str">
        <f t="shared" si="9"/>
        <v xml:space="preserve"> </v>
      </c>
      <c r="BK29" s="42" t="str">
        <f t="shared" si="9"/>
        <v xml:space="preserve"> </v>
      </c>
      <c r="BL29" s="42" t="str">
        <f t="shared" si="9"/>
        <v xml:space="preserve"> </v>
      </c>
      <c r="BM29" s="43">
        <f t="shared" si="10"/>
        <v>98.5</v>
      </c>
      <c r="BN29" s="38">
        <v>92</v>
      </c>
      <c r="BO29" s="44">
        <f t="shared" si="11"/>
        <v>95.2</v>
      </c>
      <c r="BP29" s="20"/>
      <c r="BQ29" s="39">
        <f t="shared" si="21"/>
        <v>92.147987012987016</v>
      </c>
      <c r="BR29" s="23" t="str">
        <f t="shared" si="22"/>
        <v>PASSED</v>
      </c>
      <c r="BS29" s="45"/>
      <c r="BT29" s="46"/>
      <c r="BU29" s="46"/>
      <c r="BV29" s="46"/>
      <c r="BW29" s="21">
        <f t="shared" si="26"/>
        <v>1</v>
      </c>
      <c r="BX29" s="22">
        <f t="shared" si="26"/>
        <v>1</v>
      </c>
      <c r="BY29" s="22">
        <f t="shared" si="26"/>
        <v>1</v>
      </c>
      <c r="BZ29" s="22">
        <f t="shared" si="26"/>
        <v>1</v>
      </c>
      <c r="CA29" s="22">
        <f t="shared" si="26"/>
        <v>1</v>
      </c>
      <c r="CB29" s="22">
        <f t="shared" si="26"/>
        <v>1</v>
      </c>
      <c r="CC29" s="22">
        <f t="shared" si="26"/>
        <v>1</v>
      </c>
      <c r="CD29" s="22">
        <f t="shared" si="26"/>
        <v>1</v>
      </c>
      <c r="CE29" s="22">
        <f t="shared" si="26"/>
        <v>1</v>
      </c>
      <c r="CF29" s="22">
        <f t="shared" si="26"/>
        <v>1</v>
      </c>
      <c r="CG29" s="22" t="str">
        <f t="shared" si="26"/>
        <v/>
      </c>
      <c r="CH29" s="22" t="str">
        <f t="shared" si="26"/>
        <v/>
      </c>
      <c r="CI29" s="22" t="str">
        <f t="shared" si="26"/>
        <v/>
      </c>
      <c r="CJ29" s="22" t="str">
        <f t="shared" si="26"/>
        <v/>
      </c>
      <c r="CK29" s="22" t="str">
        <f t="shared" si="26"/>
        <v/>
      </c>
      <c r="CL29" s="22" t="str">
        <f t="shared" si="24"/>
        <v/>
      </c>
      <c r="CM29" s="22" t="str">
        <f t="shared" si="13"/>
        <v/>
      </c>
      <c r="CN29" s="22" t="str">
        <f t="shared" si="13"/>
        <v/>
      </c>
      <c r="CO29" s="22" t="str">
        <f t="shared" si="13"/>
        <v/>
      </c>
      <c r="CP29" s="22" t="str">
        <f t="shared" si="13"/>
        <v/>
      </c>
      <c r="CQ29" s="22">
        <f t="shared" si="23"/>
        <v>10</v>
      </c>
      <c r="CR29" s="22">
        <f t="shared" si="3"/>
        <v>11</v>
      </c>
      <c r="CS29" s="22" t="str">
        <f t="shared" si="27"/>
        <v/>
      </c>
      <c r="CT29" s="22" t="str">
        <f t="shared" si="27"/>
        <v/>
      </c>
      <c r="CU29" s="22" t="str">
        <f t="shared" si="27"/>
        <v/>
      </c>
      <c r="CV29" s="22" t="str">
        <f t="shared" si="27"/>
        <v/>
      </c>
      <c r="CW29" s="22" t="str">
        <f t="shared" si="27"/>
        <v/>
      </c>
      <c r="CX29" s="22" t="str">
        <f t="shared" si="27"/>
        <v/>
      </c>
      <c r="CY29" s="22" t="str">
        <f t="shared" si="27"/>
        <v/>
      </c>
      <c r="CZ29" s="22" t="str">
        <f t="shared" si="27"/>
        <v/>
      </c>
      <c r="DA29" s="22" t="str">
        <f t="shared" si="27"/>
        <v/>
      </c>
      <c r="DB29" s="22" t="str">
        <f t="shared" si="27"/>
        <v/>
      </c>
      <c r="DC29" s="22" t="str">
        <f t="shared" si="27"/>
        <v/>
      </c>
      <c r="DD29" s="22" t="str">
        <f t="shared" si="27"/>
        <v/>
      </c>
      <c r="DE29" s="22" t="str">
        <f t="shared" si="27"/>
        <v/>
      </c>
      <c r="DF29" s="22" t="str">
        <f t="shared" si="27"/>
        <v/>
      </c>
      <c r="DG29" s="22" t="str">
        <f t="shared" si="27"/>
        <v/>
      </c>
      <c r="DH29" s="22" t="str">
        <f t="shared" si="25"/>
        <v/>
      </c>
      <c r="DI29" s="22" t="str">
        <f t="shared" si="15"/>
        <v/>
      </c>
      <c r="DJ29" s="22" t="str">
        <f t="shared" si="15"/>
        <v/>
      </c>
      <c r="DK29" s="22" t="str">
        <f t="shared" si="15"/>
        <v/>
      </c>
      <c r="DL29" s="22" t="str">
        <f t="shared" si="15"/>
        <v/>
      </c>
      <c r="DM29" s="22">
        <f t="shared" si="16"/>
        <v>0</v>
      </c>
      <c r="DN29" s="36">
        <f t="shared" si="28"/>
        <v>10</v>
      </c>
      <c r="DO29" s="36">
        <f t="shared" si="28"/>
        <v>10</v>
      </c>
      <c r="DP29" s="36">
        <f t="shared" si="28"/>
        <v>10</v>
      </c>
      <c r="DQ29" s="36">
        <f t="shared" si="28"/>
        <v>10</v>
      </c>
      <c r="DR29" s="36">
        <f t="shared" si="28"/>
        <v>10</v>
      </c>
      <c r="DS29" s="36">
        <f t="shared" si="28"/>
        <v>10</v>
      </c>
      <c r="DT29" s="36">
        <f t="shared" si="28"/>
        <v>10</v>
      </c>
      <c r="DU29" s="36">
        <f t="shared" si="28"/>
        <v>0</v>
      </c>
      <c r="DV29" s="36">
        <f t="shared" si="28"/>
        <v>0</v>
      </c>
      <c r="DW29" s="36">
        <f t="shared" si="28"/>
        <v>0</v>
      </c>
      <c r="DX29" s="23">
        <f t="shared" si="28"/>
        <v>7</v>
      </c>
      <c r="DY29" s="23">
        <f t="shared" si="28"/>
        <v>100</v>
      </c>
      <c r="DZ29" s="23">
        <f t="shared" si="28"/>
        <v>100</v>
      </c>
      <c r="EA29" s="23">
        <f t="shared" si="28"/>
        <v>0</v>
      </c>
      <c r="EB29" s="23">
        <f t="shared" si="28"/>
        <v>0</v>
      </c>
      <c r="EC29" s="23">
        <f t="shared" si="28"/>
        <v>0</v>
      </c>
      <c r="ED29" s="23">
        <f t="shared" si="30"/>
        <v>0</v>
      </c>
      <c r="EE29" s="23">
        <f t="shared" si="30"/>
        <v>0</v>
      </c>
      <c r="EF29" s="23">
        <f t="shared" si="30"/>
        <v>0</v>
      </c>
      <c r="EG29" s="23">
        <f t="shared" si="30"/>
        <v>0</v>
      </c>
      <c r="EH29" s="23">
        <f t="shared" si="30"/>
        <v>0</v>
      </c>
      <c r="EI29" s="23">
        <f t="shared" si="30"/>
        <v>2</v>
      </c>
      <c r="EJ29" s="23">
        <f t="shared" si="30"/>
        <v>100</v>
      </c>
    </row>
    <row r="30" spans="1:140" ht="9.9" customHeight="1" x14ac:dyDescent="0.3">
      <c r="A30" s="23">
        <v>21</v>
      </c>
      <c r="B30" s="37" t="str">
        <f>IF(PRELIM!B30="","",PRELIM!B30)</f>
        <v>MALILA, EMMA MAE B.</v>
      </c>
      <c r="C30" s="69" t="s">
        <v>190</v>
      </c>
      <c r="D30" s="69" t="s">
        <v>190</v>
      </c>
      <c r="E30" s="69" t="s">
        <v>190</v>
      </c>
      <c r="F30" s="69" t="s">
        <v>190</v>
      </c>
      <c r="G30" s="69" t="s">
        <v>190</v>
      </c>
      <c r="H30" s="38" t="s">
        <v>190</v>
      </c>
      <c r="I30" s="38" t="s">
        <v>190</v>
      </c>
      <c r="J30" s="38" t="s">
        <v>190</v>
      </c>
      <c r="K30" s="38" t="s">
        <v>190</v>
      </c>
      <c r="L30" s="38" t="s">
        <v>190</v>
      </c>
      <c r="M30" s="38" t="s">
        <v>190</v>
      </c>
      <c r="N30" s="38"/>
      <c r="O30" s="38"/>
      <c r="P30" s="38"/>
      <c r="Q30" s="38"/>
      <c r="R30" s="38"/>
      <c r="S30" s="38"/>
      <c r="T30" s="38"/>
      <c r="U30" s="38"/>
      <c r="V30" s="38"/>
      <c r="W30" s="39">
        <f t="shared" si="6"/>
        <v>100</v>
      </c>
      <c r="X30" s="38">
        <v>3</v>
      </c>
      <c r="Y30" s="38">
        <v>2</v>
      </c>
      <c r="Z30" s="38">
        <v>4</v>
      </c>
      <c r="AA30" s="38">
        <v>9</v>
      </c>
      <c r="AB30" s="38">
        <v>7</v>
      </c>
      <c r="AC30" s="38">
        <v>8</v>
      </c>
      <c r="AD30" s="38">
        <v>8</v>
      </c>
      <c r="AE30" s="38"/>
      <c r="AF30" s="38"/>
      <c r="AG30" s="38"/>
      <c r="AH30" s="40">
        <f t="shared" si="7"/>
        <v>58</v>
      </c>
      <c r="AI30" s="40">
        <f t="shared" si="7"/>
        <v>52</v>
      </c>
      <c r="AJ30" s="40">
        <f t="shared" si="7"/>
        <v>64</v>
      </c>
      <c r="AK30" s="40">
        <f t="shared" si="7"/>
        <v>94</v>
      </c>
      <c r="AL30" s="40">
        <f t="shared" si="7"/>
        <v>82</v>
      </c>
      <c r="AM30" s="40">
        <f t="shared" si="7"/>
        <v>88</v>
      </c>
      <c r="AN30" s="40">
        <f t="shared" si="7"/>
        <v>88</v>
      </c>
      <c r="AO30" s="40" t="str">
        <f t="shared" si="7"/>
        <v xml:space="preserve"> </v>
      </c>
      <c r="AP30" s="40" t="str">
        <f t="shared" si="7"/>
        <v xml:space="preserve"> </v>
      </c>
      <c r="AQ30" s="40" t="str">
        <f t="shared" si="7"/>
        <v xml:space="preserve"> </v>
      </c>
      <c r="AR30" s="41">
        <f t="shared" si="8"/>
        <v>75.142857142857139</v>
      </c>
      <c r="AS30" s="38">
        <v>100</v>
      </c>
      <c r="AT30" s="164">
        <f t="shared" si="20"/>
        <v>100</v>
      </c>
      <c r="AU30" s="38"/>
      <c r="AV30" s="38"/>
      <c r="AW30" s="38"/>
      <c r="AX30" s="38"/>
      <c r="AY30" s="38"/>
      <c r="AZ30" s="38"/>
      <c r="BA30" s="38"/>
      <c r="BB30" s="38"/>
      <c r="BC30" s="42">
        <f t="shared" si="9"/>
        <v>100</v>
      </c>
      <c r="BD30" s="42">
        <f t="shared" si="9"/>
        <v>100</v>
      </c>
      <c r="BE30" s="42" t="str">
        <f t="shared" si="9"/>
        <v xml:space="preserve"> </v>
      </c>
      <c r="BF30" s="42" t="str">
        <f t="shared" si="9"/>
        <v xml:space="preserve"> </v>
      </c>
      <c r="BG30" s="42" t="str">
        <f t="shared" si="9"/>
        <v xml:space="preserve"> </v>
      </c>
      <c r="BH30" s="42" t="str">
        <f t="shared" si="9"/>
        <v xml:space="preserve"> </v>
      </c>
      <c r="BI30" s="42" t="str">
        <f t="shared" si="9"/>
        <v xml:space="preserve"> </v>
      </c>
      <c r="BJ30" s="42" t="str">
        <f t="shared" si="9"/>
        <v xml:space="preserve"> </v>
      </c>
      <c r="BK30" s="42" t="str">
        <f t="shared" si="9"/>
        <v xml:space="preserve"> </v>
      </c>
      <c r="BL30" s="42" t="str">
        <f t="shared" si="9"/>
        <v xml:space="preserve"> </v>
      </c>
      <c r="BM30" s="43">
        <f t="shared" si="10"/>
        <v>100</v>
      </c>
      <c r="BN30" s="38">
        <v>80</v>
      </c>
      <c r="BO30" s="44">
        <f t="shared" si="11"/>
        <v>88</v>
      </c>
      <c r="BP30" s="20"/>
      <c r="BQ30" s="39">
        <f t="shared" si="21"/>
        <v>87.185714285714283</v>
      </c>
      <c r="BR30" s="23" t="str">
        <f t="shared" si="22"/>
        <v>PASSED</v>
      </c>
      <c r="BS30" s="45"/>
      <c r="BT30" s="46"/>
      <c r="BU30" s="46"/>
      <c r="BV30" s="46"/>
      <c r="BW30" s="21">
        <f t="shared" si="26"/>
        <v>1</v>
      </c>
      <c r="BX30" s="22">
        <f t="shared" si="26"/>
        <v>1</v>
      </c>
      <c r="BY30" s="22">
        <f t="shared" si="26"/>
        <v>1</v>
      </c>
      <c r="BZ30" s="22">
        <f t="shared" si="26"/>
        <v>1</v>
      </c>
      <c r="CA30" s="22">
        <f t="shared" si="26"/>
        <v>1</v>
      </c>
      <c r="CB30" s="22">
        <f t="shared" si="26"/>
        <v>1</v>
      </c>
      <c r="CC30" s="22">
        <f t="shared" si="26"/>
        <v>1</v>
      </c>
      <c r="CD30" s="22">
        <f t="shared" si="26"/>
        <v>1</v>
      </c>
      <c r="CE30" s="22">
        <f t="shared" si="26"/>
        <v>1</v>
      </c>
      <c r="CF30" s="22">
        <f t="shared" si="26"/>
        <v>1</v>
      </c>
      <c r="CG30" s="22">
        <f t="shared" si="26"/>
        <v>1</v>
      </c>
      <c r="CH30" s="22" t="str">
        <f t="shared" si="26"/>
        <v/>
      </c>
      <c r="CI30" s="22" t="str">
        <f t="shared" si="26"/>
        <v/>
      </c>
      <c r="CJ30" s="22" t="str">
        <f t="shared" si="26"/>
        <v/>
      </c>
      <c r="CK30" s="22" t="str">
        <f t="shared" si="26"/>
        <v/>
      </c>
      <c r="CL30" s="22" t="str">
        <f t="shared" si="24"/>
        <v/>
      </c>
      <c r="CM30" s="22" t="str">
        <f t="shared" si="13"/>
        <v/>
      </c>
      <c r="CN30" s="22" t="str">
        <f t="shared" si="13"/>
        <v/>
      </c>
      <c r="CO30" s="22" t="str">
        <f t="shared" si="13"/>
        <v/>
      </c>
      <c r="CP30" s="22" t="str">
        <f t="shared" si="13"/>
        <v/>
      </c>
      <c r="CQ30" s="22">
        <f t="shared" si="23"/>
        <v>11</v>
      </c>
      <c r="CR30" s="22">
        <f t="shared" si="3"/>
        <v>11</v>
      </c>
      <c r="CS30" s="22" t="str">
        <f t="shared" si="27"/>
        <v/>
      </c>
      <c r="CT30" s="22" t="str">
        <f t="shared" si="27"/>
        <v/>
      </c>
      <c r="CU30" s="22" t="str">
        <f t="shared" si="27"/>
        <v/>
      </c>
      <c r="CV30" s="22" t="str">
        <f t="shared" si="27"/>
        <v/>
      </c>
      <c r="CW30" s="22" t="str">
        <f t="shared" si="27"/>
        <v/>
      </c>
      <c r="CX30" s="22" t="str">
        <f t="shared" si="27"/>
        <v/>
      </c>
      <c r="CY30" s="22" t="str">
        <f t="shared" si="27"/>
        <v/>
      </c>
      <c r="CZ30" s="22" t="str">
        <f t="shared" si="27"/>
        <v/>
      </c>
      <c r="DA30" s="22" t="str">
        <f t="shared" si="27"/>
        <v/>
      </c>
      <c r="DB30" s="22" t="str">
        <f t="shared" si="27"/>
        <v/>
      </c>
      <c r="DC30" s="22" t="str">
        <f t="shared" si="27"/>
        <v/>
      </c>
      <c r="DD30" s="22" t="str">
        <f t="shared" si="27"/>
        <v/>
      </c>
      <c r="DE30" s="22" t="str">
        <f t="shared" si="27"/>
        <v/>
      </c>
      <c r="DF30" s="22" t="str">
        <f t="shared" si="27"/>
        <v/>
      </c>
      <c r="DG30" s="22" t="str">
        <f t="shared" si="27"/>
        <v/>
      </c>
      <c r="DH30" s="22" t="str">
        <f t="shared" si="25"/>
        <v/>
      </c>
      <c r="DI30" s="22" t="str">
        <f t="shared" si="15"/>
        <v/>
      </c>
      <c r="DJ30" s="22" t="str">
        <f t="shared" si="15"/>
        <v/>
      </c>
      <c r="DK30" s="22" t="str">
        <f t="shared" si="15"/>
        <v/>
      </c>
      <c r="DL30" s="22" t="str">
        <f t="shared" si="15"/>
        <v/>
      </c>
      <c r="DM30" s="22">
        <f t="shared" si="16"/>
        <v>0</v>
      </c>
      <c r="DN30" s="36">
        <f t="shared" si="28"/>
        <v>10</v>
      </c>
      <c r="DO30" s="36">
        <f t="shared" si="28"/>
        <v>10</v>
      </c>
      <c r="DP30" s="36">
        <f t="shared" si="28"/>
        <v>10</v>
      </c>
      <c r="DQ30" s="36">
        <f t="shared" si="28"/>
        <v>10</v>
      </c>
      <c r="DR30" s="36">
        <f t="shared" si="28"/>
        <v>10</v>
      </c>
      <c r="DS30" s="36">
        <f t="shared" si="28"/>
        <v>10</v>
      </c>
      <c r="DT30" s="36">
        <f t="shared" si="28"/>
        <v>10</v>
      </c>
      <c r="DU30" s="36">
        <f t="shared" si="28"/>
        <v>0</v>
      </c>
      <c r="DV30" s="36">
        <f t="shared" si="28"/>
        <v>0</v>
      </c>
      <c r="DW30" s="36">
        <f t="shared" si="28"/>
        <v>0</v>
      </c>
      <c r="DX30" s="23">
        <f t="shared" si="28"/>
        <v>7</v>
      </c>
      <c r="DY30" s="23">
        <f t="shared" si="28"/>
        <v>100</v>
      </c>
      <c r="DZ30" s="23">
        <f t="shared" si="28"/>
        <v>100</v>
      </c>
      <c r="EA30" s="23">
        <f t="shared" si="28"/>
        <v>0</v>
      </c>
      <c r="EB30" s="23">
        <f t="shared" si="28"/>
        <v>0</v>
      </c>
      <c r="EC30" s="23">
        <f t="shared" si="28"/>
        <v>0</v>
      </c>
      <c r="ED30" s="23">
        <f t="shared" si="30"/>
        <v>0</v>
      </c>
      <c r="EE30" s="23">
        <f t="shared" si="30"/>
        <v>0</v>
      </c>
      <c r="EF30" s="23">
        <f t="shared" si="30"/>
        <v>0</v>
      </c>
      <c r="EG30" s="23">
        <f t="shared" si="30"/>
        <v>0</v>
      </c>
      <c r="EH30" s="23">
        <f t="shared" si="30"/>
        <v>0</v>
      </c>
      <c r="EI30" s="23">
        <f t="shared" si="30"/>
        <v>2</v>
      </c>
      <c r="EJ30" s="23">
        <f t="shared" si="30"/>
        <v>100</v>
      </c>
    </row>
    <row r="31" spans="1:140" ht="9.9" customHeight="1" x14ac:dyDescent="0.3">
      <c r="A31" s="23">
        <v>22</v>
      </c>
      <c r="B31" s="37" t="str">
        <f>IF(PRELIM!B31="","",PRELIM!B31)</f>
        <v>MENDEZ, SHYZIEL C.</v>
      </c>
      <c r="C31" s="69" t="s">
        <v>190</v>
      </c>
      <c r="D31" s="69" t="s">
        <v>190</v>
      </c>
      <c r="E31" s="69" t="s">
        <v>190</v>
      </c>
      <c r="F31" s="69" t="s">
        <v>190</v>
      </c>
      <c r="G31" s="69" t="s">
        <v>190</v>
      </c>
      <c r="H31" s="38" t="s">
        <v>190</v>
      </c>
      <c r="I31" s="38" t="s">
        <v>190</v>
      </c>
      <c r="J31" s="38" t="s">
        <v>190</v>
      </c>
      <c r="K31" s="38" t="s">
        <v>190</v>
      </c>
      <c r="L31" s="38" t="s">
        <v>190</v>
      </c>
      <c r="M31" s="38" t="s">
        <v>228</v>
      </c>
      <c r="N31" s="38"/>
      <c r="O31" s="38"/>
      <c r="P31" s="38"/>
      <c r="Q31" s="38"/>
      <c r="R31" s="38"/>
      <c r="S31" s="38"/>
      <c r="T31" s="38"/>
      <c r="U31" s="38"/>
      <c r="V31" s="38"/>
      <c r="W31" s="39">
        <f t="shared" si="6"/>
        <v>94.545454545454547</v>
      </c>
      <c r="X31" s="38">
        <v>3</v>
      </c>
      <c r="Y31" s="38">
        <v>2</v>
      </c>
      <c r="Z31" s="38">
        <v>5</v>
      </c>
      <c r="AA31" s="38">
        <v>9</v>
      </c>
      <c r="AB31" s="38">
        <v>8</v>
      </c>
      <c r="AC31" s="38">
        <v>10</v>
      </c>
      <c r="AD31" s="38">
        <v>9</v>
      </c>
      <c r="AE31" s="38"/>
      <c r="AF31" s="38"/>
      <c r="AG31" s="38"/>
      <c r="AH31" s="40">
        <f t="shared" si="7"/>
        <v>58</v>
      </c>
      <c r="AI31" s="40">
        <f t="shared" si="7"/>
        <v>52</v>
      </c>
      <c r="AJ31" s="40">
        <f t="shared" si="7"/>
        <v>70</v>
      </c>
      <c r="AK31" s="40">
        <f t="shared" si="7"/>
        <v>94</v>
      </c>
      <c r="AL31" s="40">
        <f t="shared" si="7"/>
        <v>88</v>
      </c>
      <c r="AM31" s="40">
        <f t="shared" si="7"/>
        <v>100</v>
      </c>
      <c r="AN31" s="40">
        <f t="shared" si="7"/>
        <v>94</v>
      </c>
      <c r="AO31" s="40" t="str">
        <f t="shared" si="7"/>
        <v xml:space="preserve"> </v>
      </c>
      <c r="AP31" s="40" t="str">
        <f t="shared" si="7"/>
        <v xml:space="preserve"> </v>
      </c>
      <c r="AQ31" s="40" t="str">
        <f t="shared" si="7"/>
        <v xml:space="preserve"> </v>
      </c>
      <c r="AR31" s="41">
        <f t="shared" si="8"/>
        <v>79.428571428571431</v>
      </c>
      <c r="AS31" s="38">
        <v>100</v>
      </c>
      <c r="AT31" s="164">
        <f t="shared" si="20"/>
        <v>95</v>
      </c>
      <c r="AU31" s="38"/>
      <c r="AV31" s="38"/>
      <c r="AW31" s="38"/>
      <c r="AX31" s="38"/>
      <c r="AY31" s="38"/>
      <c r="AZ31" s="38"/>
      <c r="BA31" s="38"/>
      <c r="BB31" s="38"/>
      <c r="BC31" s="42">
        <f t="shared" si="9"/>
        <v>100</v>
      </c>
      <c r="BD31" s="42">
        <f t="shared" si="9"/>
        <v>97</v>
      </c>
      <c r="BE31" s="42" t="str">
        <f t="shared" si="9"/>
        <v xml:space="preserve"> </v>
      </c>
      <c r="BF31" s="42" t="str">
        <f t="shared" si="9"/>
        <v xml:space="preserve"> </v>
      </c>
      <c r="BG31" s="42" t="str">
        <f t="shared" si="9"/>
        <v xml:space="preserve"> </v>
      </c>
      <c r="BH31" s="42" t="str">
        <f t="shared" si="9"/>
        <v xml:space="preserve"> </v>
      </c>
      <c r="BI31" s="42" t="str">
        <f t="shared" si="9"/>
        <v xml:space="preserve"> </v>
      </c>
      <c r="BJ31" s="42" t="str">
        <f t="shared" si="9"/>
        <v xml:space="preserve"> </v>
      </c>
      <c r="BK31" s="42" t="str">
        <f t="shared" si="9"/>
        <v xml:space="preserve"> </v>
      </c>
      <c r="BL31" s="42" t="str">
        <f t="shared" si="9"/>
        <v xml:space="preserve"> </v>
      </c>
      <c r="BM31" s="43">
        <f t="shared" si="10"/>
        <v>98.5</v>
      </c>
      <c r="BN31" s="38">
        <v>74</v>
      </c>
      <c r="BO31" s="44">
        <f t="shared" si="11"/>
        <v>84.4</v>
      </c>
      <c r="BP31" s="20"/>
      <c r="BQ31" s="39">
        <f t="shared" si="21"/>
        <v>85.779415584415602</v>
      </c>
      <c r="BR31" s="23" t="str">
        <f t="shared" si="22"/>
        <v>PASSED</v>
      </c>
      <c r="BS31" s="45"/>
      <c r="BT31" s="46"/>
      <c r="BU31" s="46"/>
      <c r="BV31" s="46"/>
      <c r="BW31" s="21">
        <f t="shared" si="26"/>
        <v>1</v>
      </c>
      <c r="BX31" s="22">
        <f t="shared" si="26"/>
        <v>1</v>
      </c>
      <c r="BY31" s="22">
        <f t="shared" si="26"/>
        <v>1</v>
      </c>
      <c r="BZ31" s="22">
        <f t="shared" si="26"/>
        <v>1</v>
      </c>
      <c r="CA31" s="22">
        <f t="shared" si="26"/>
        <v>1</v>
      </c>
      <c r="CB31" s="22">
        <f t="shared" si="26"/>
        <v>1</v>
      </c>
      <c r="CC31" s="22">
        <f t="shared" si="26"/>
        <v>1</v>
      </c>
      <c r="CD31" s="22">
        <f t="shared" si="26"/>
        <v>1</v>
      </c>
      <c r="CE31" s="22">
        <f t="shared" si="26"/>
        <v>1</v>
      </c>
      <c r="CF31" s="22">
        <f t="shared" si="26"/>
        <v>1</v>
      </c>
      <c r="CG31" s="22" t="str">
        <f t="shared" si="26"/>
        <v/>
      </c>
      <c r="CH31" s="22" t="str">
        <f t="shared" si="26"/>
        <v/>
      </c>
      <c r="CI31" s="22" t="str">
        <f t="shared" si="26"/>
        <v/>
      </c>
      <c r="CJ31" s="22" t="str">
        <f t="shared" si="26"/>
        <v/>
      </c>
      <c r="CK31" s="22" t="str">
        <f t="shared" si="26"/>
        <v/>
      </c>
      <c r="CL31" s="22" t="str">
        <f t="shared" si="24"/>
        <v/>
      </c>
      <c r="CM31" s="22" t="str">
        <f t="shared" si="13"/>
        <v/>
      </c>
      <c r="CN31" s="22" t="str">
        <f t="shared" si="13"/>
        <v/>
      </c>
      <c r="CO31" s="22" t="str">
        <f t="shared" si="13"/>
        <v/>
      </c>
      <c r="CP31" s="22" t="str">
        <f t="shared" si="13"/>
        <v/>
      </c>
      <c r="CQ31" s="22">
        <f t="shared" si="23"/>
        <v>10</v>
      </c>
      <c r="CR31" s="22">
        <f t="shared" si="3"/>
        <v>11</v>
      </c>
      <c r="CS31" s="22" t="str">
        <f t="shared" si="27"/>
        <v/>
      </c>
      <c r="CT31" s="22" t="str">
        <f t="shared" si="27"/>
        <v/>
      </c>
      <c r="CU31" s="22" t="str">
        <f t="shared" si="27"/>
        <v/>
      </c>
      <c r="CV31" s="22" t="str">
        <f t="shared" si="27"/>
        <v/>
      </c>
      <c r="CW31" s="22" t="str">
        <f t="shared" si="27"/>
        <v/>
      </c>
      <c r="CX31" s="22" t="str">
        <f t="shared" si="27"/>
        <v/>
      </c>
      <c r="CY31" s="22" t="str">
        <f t="shared" si="27"/>
        <v/>
      </c>
      <c r="CZ31" s="22" t="str">
        <f t="shared" si="27"/>
        <v/>
      </c>
      <c r="DA31" s="22" t="str">
        <f t="shared" si="27"/>
        <v/>
      </c>
      <c r="DB31" s="22" t="str">
        <f t="shared" si="27"/>
        <v/>
      </c>
      <c r="DC31" s="22" t="str">
        <f t="shared" si="27"/>
        <v/>
      </c>
      <c r="DD31" s="22" t="str">
        <f t="shared" si="27"/>
        <v/>
      </c>
      <c r="DE31" s="22" t="str">
        <f t="shared" si="27"/>
        <v/>
      </c>
      <c r="DF31" s="22" t="str">
        <f t="shared" si="27"/>
        <v/>
      </c>
      <c r="DG31" s="22" t="str">
        <f t="shared" si="27"/>
        <v/>
      </c>
      <c r="DH31" s="22" t="str">
        <f t="shared" si="25"/>
        <v/>
      </c>
      <c r="DI31" s="22" t="str">
        <f t="shared" si="15"/>
        <v/>
      </c>
      <c r="DJ31" s="22" t="str">
        <f t="shared" si="15"/>
        <v/>
      </c>
      <c r="DK31" s="22" t="str">
        <f t="shared" si="15"/>
        <v/>
      </c>
      <c r="DL31" s="22" t="str">
        <f t="shared" si="15"/>
        <v/>
      </c>
      <c r="DM31" s="22">
        <f t="shared" si="16"/>
        <v>0</v>
      </c>
      <c r="DN31" s="36">
        <f t="shared" si="28"/>
        <v>10</v>
      </c>
      <c r="DO31" s="36">
        <f t="shared" si="28"/>
        <v>10</v>
      </c>
      <c r="DP31" s="36">
        <f t="shared" si="28"/>
        <v>10</v>
      </c>
      <c r="DQ31" s="36">
        <f t="shared" si="28"/>
        <v>10</v>
      </c>
      <c r="DR31" s="36">
        <f t="shared" si="28"/>
        <v>10</v>
      </c>
      <c r="DS31" s="36">
        <f t="shared" si="28"/>
        <v>10</v>
      </c>
      <c r="DT31" s="36">
        <f t="shared" si="28"/>
        <v>10</v>
      </c>
      <c r="DU31" s="36">
        <f t="shared" si="28"/>
        <v>0</v>
      </c>
      <c r="DV31" s="36">
        <f t="shared" si="28"/>
        <v>0</v>
      </c>
      <c r="DW31" s="36">
        <f t="shared" si="28"/>
        <v>0</v>
      </c>
      <c r="DX31" s="23">
        <f t="shared" si="28"/>
        <v>7</v>
      </c>
      <c r="DY31" s="23">
        <f t="shared" si="28"/>
        <v>100</v>
      </c>
      <c r="DZ31" s="23">
        <f t="shared" si="28"/>
        <v>100</v>
      </c>
      <c r="EA31" s="23">
        <f t="shared" si="28"/>
        <v>0</v>
      </c>
      <c r="EB31" s="23">
        <f t="shared" si="28"/>
        <v>0</v>
      </c>
      <c r="EC31" s="23">
        <f t="shared" si="28"/>
        <v>0</v>
      </c>
      <c r="ED31" s="23">
        <f t="shared" si="30"/>
        <v>0</v>
      </c>
      <c r="EE31" s="23">
        <f t="shared" si="30"/>
        <v>0</v>
      </c>
      <c r="EF31" s="23">
        <f t="shared" si="30"/>
        <v>0</v>
      </c>
      <c r="EG31" s="23">
        <f t="shared" si="30"/>
        <v>0</v>
      </c>
      <c r="EH31" s="23">
        <f t="shared" si="30"/>
        <v>0</v>
      </c>
      <c r="EI31" s="23">
        <f t="shared" si="30"/>
        <v>2</v>
      </c>
      <c r="EJ31" s="23">
        <f t="shared" si="30"/>
        <v>100</v>
      </c>
    </row>
    <row r="32" spans="1:140" ht="9.9" customHeight="1" x14ac:dyDescent="0.3">
      <c r="A32" s="23">
        <v>23</v>
      </c>
      <c r="B32" s="37" t="str">
        <f>IF(PRELIM!B32="","",PRELIM!B32)</f>
        <v>MORA, CLAURENCE  C.</v>
      </c>
      <c r="C32" s="69" t="s">
        <v>190</v>
      </c>
      <c r="D32" s="69" t="s">
        <v>190</v>
      </c>
      <c r="E32" s="69" t="s">
        <v>190</v>
      </c>
      <c r="F32" s="69" t="s">
        <v>190</v>
      </c>
      <c r="G32" s="69" t="s">
        <v>190</v>
      </c>
      <c r="H32" s="38" t="s">
        <v>190</v>
      </c>
      <c r="I32" s="38" t="s">
        <v>190</v>
      </c>
      <c r="J32" s="38" t="s">
        <v>190</v>
      </c>
      <c r="K32" s="38" t="s">
        <v>190</v>
      </c>
      <c r="L32" s="38" t="s">
        <v>190</v>
      </c>
      <c r="M32" s="38" t="s">
        <v>228</v>
      </c>
      <c r="N32" s="38"/>
      <c r="O32" s="38"/>
      <c r="P32" s="38"/>
      <c r="Q32" s="38"/>
      <c r="R32" s="38"/>
      <c r="S32" s="38"/>
      <c r="T32" s="38"/>
      <c r="U32" s="38"/>
      <c r="V32" s="38"/>
      <c r="W32" s="39">
        <f t="shared" si="6"/>
        <v>94.545454545454547</v>
      </c>
      <c r="X32" s="38">
        <v>6</v>
      </c>
      <c r="Y32" s="38">
        <v>1</v>
      </c>
      <c r="Z32" s="38">
        <v>3</v>
      </c>
      <c r="AA32" s="38">
        <v>6</v>
      </c>
      <c r="AB32" s="38">
        <v>6</v>
      </c>
      <c r="AC32" s="38">
        <v>7</v>
      </c>
      <c r="AD32" s="38"/>
      <c r="AE32" s="38"/>
      <c r="AF32" s="38"/>
      <c r="AG32" s="38"/>
      <c r="AH32" s="40">
        <f t="shared" si="7"/>
        <v>76</v>
      </c>
      <c r="AI32" s="40">
        <f t="shared" si="7"/>
        <v>46</v>
      </c>
      <c r="AJ32" s="40">
        <f t="shared" si="7"/>
        <v>58</v>
      </c>
      <c r="AK32" s="40">
        <f t="shared" si="7"/>
        <v>76</v>
      </c>
      <c r="AL32" s="40">
        <f t="shared" si="7"/>
        <v>76</v>
      </c>
      <c r="AM32" s="40">
        <f t="shared" si="7"/>
        <v>82</v>
      </c>
      <c r="AN32" s="40">
        <f t="shared" si="7"/>
        <v>40</v>
      </c>
      <c r="AO32" s="40" t="str">
        <f t="shared" si="7"/>
        <v xml:space="preserve"> </v>
      </c>
      <c r="AP32" s="40" t="str">
        <f t="shared" si="7"/>
        <v xml:space="preserve"> </v>
      </c>
      <c r="AQ32" s="40" t="str">
        <f t="shared" si="7"/>
        <v xml:space="preserve"> </v>
      </c>
      <c r="AR32" s="41">
        <f t="shared" si="8"/>
        <v>64.857142857142861</v>
      </c>
      <c r="AS32" s="38">
        <v>100</v>
      </c>
      <c r="AT32" s="164">
        <f t="shared" si="20"/>
        <v>95</v>
      </c>
      <c r="AU32" s="38"/>
      <c r="AV32" s="38"/>
      <c r="AW32" s="38"/>
      <c r="AX32" s="38"/>
      <c r="AY32" s="38"/>
      <c r="AZ32" s="38"/>
      <c r="BA32" s="38"/>
      <c r="BB32" s="38"/>
      <c r="BC32" s="42">
        <f t="shared" si="9"/>
        <v>100</v>
      </c>
      <c r="BD32" s="42">
        <f t="shared" si="9"/>
        <v>97</v>
      </c>
      <c r="BE32" s="42" t="str">
        <f t="shared" si="9"/>
        <v xml:space="preserve"> </v>
      </c>
      <c r="BF32" s="42" t="str">
        <f t="shared" si="9"/>
        <v xml:space="preserve"> </v>
      </c>
      <c r="BG32" s="42" t="str">
        <f t="shared" si="9"/>
        <v xml:space="preserve"> </v>
      </c>
      <c r="BH32" s="42" t="str">
        <f t="shared" si="9"/>
        <v xml:space="preserve"> </v>
      </c>
      <c r="BI32" s="42" t="str">
        <f t="shared" si="9"/>
        <v xml:space="preserve"> </v>
      </c>
      <c r="BJ32" s="42" t="str">
        <f t="shared" si="9"/>
        <v xml:space="preserve"> </v>
      </c>
      <c r="BK32" s="42" t="str">
        <f t="shared" si="9"/>
        <v xml:space="preserve"> </v>
      </c>
      <c r="BL32" s="42" t="str">
        <f t="shared" si="9"/>
        <v xml:space="preserve"> </v>
      </c>
      <c r="BM32" s="43">
        <f t="shared" si="10"/>
        <v>98.5</v>
      </c>
      <c r="BN32" s="38">
        <v>61</v>
      </c>
      <c r="BO32" s="44">
        <f t="shared" si="11"/>
        <v>76.599999999999994</v>
      </c>
      <c r="BP32" s="20"/>
      <c r="BQ32" s="39">
        <f t="shared" si="21"/>
        <v>77.846558441558443</v>
      </c>
      <c r="BR32" s="23" t="str">
        <f t="shared" si="22"/>
        <v>PASSED</v>
      </c>
      <c r="BS32" s="45"/>
      <c r="BT32" s="46"/>
      <c r="BU32" s="46"/>
      <c r="BV32" s="46"/>
      <c r="BW32" s="21">
        <f t="shared" si="26"/>
        <v>1</v>
      </c>
      <c r="BX32" s="22">
        <f t="shared" si="26"/>
        <v>1</v>
      </c>
      <c r="BY32" s="22">
        <f t="shared" si="26"/>
        <v>1</v>
      </c>
      <c r="BZ32" s="22">
        <f t="shared" si="26"/>
        <v>1</v>
      </c>
      <c r="CA32" s="22">
        <f t="shared" si="26"/>
        <v>1</v>
      </c>
      <c r="CB32" s="22">
        <f t="shared" si="26"/>
        <v>1</v>
      </c>
      <c r="CC32" s="22">
        <f t="shared" si="26"/>
        <v>1</v>
      </c>
      <c r="CD32" s="22">
        <f t="shared" si="26"/>
        <v>1</v>
      </c>
      <c r="CE32" s="22">
        <f t="shared" si="26"/>
        <v>1</v>
      </c>
      <c r="CF32" s="22">
        <f t="shared" si="26"/>
        <v>1</v>
      </c>
      <c r="CG32" s="22" t="str">
        <f t="shared" si="26"/>
        <v/>
      </c>
      <c r="CH32" s="22" t="str">
        <f t="shared" si="26"/>
        <v/>
      </c>
      <c r="CI32" s="22" t="str">
        <f t="shared" si="26"/>
        <v/>
      </c>
      <c r="CJ32" s="22" t="str">
        <f t="shared" si="26"/>
        <v/>
      </c>
      <c r="CK32" s="22" t="str">
        <f t="shared" si="26"/>
        <v/>
      </c>
      <c r="CL32" s="22" t="str">
        <f t="shared" si="24"/>
        <v/>
      </c>
      <c r="CM32" s="22" t="str">
        <f t="shared" si="13"/>
        <v/>
      </c>
      <c r="CN32" s="22" t="str">
        <f t="shared" si="13"/>
        <v/>
      </c>
      <c r="CO32" s="22" t="str">
        <f t="shared" si="13"/>
        <v/>
      </c>
      <c r="CP32" s="22" t="str">
        <f t="shared" si="13"/>
        <v/>
      </c>
      <c r="CQ32" s="22">
        <f t="shared" si="23"/>
        <v>10</v>
      </c>
      <c r="CR32" s="22">
        <f t="shared" si="3"/>
        <v>11</v>
      </c>
      <c r="CS32" s="22" t="str">
        <f t="shared" si="27"/>
        <v/>
      </c>
      <c r="CT32" s="22" t="str">
        <f t="shared" si="27"/>
        <v/>
      </c>
      <c r="CU32" s="22" t="str">
        <f t="shared" si="27"/>
        <v/>
      </c>
      <c r="CV32" s="22" t="str">
        <f t="shared" si="27"/>
        <v/>
      </c>
      <c r="CW32" s="22" t="str">
        <f t="shared" si="27"/>
        <v/>
      </c>
      <c r="CX32" s="22" t="str">
        <f t="shared" si="27"/>
        <v/>
      </c>
      <c r="CY32" s="22" t="str">
        <f t="shared" si="27"/>
        <v/>
      </c>
      <c r="CZ32" s="22" t="str">
        <f t="shared" si="27"/>
        <v/>
      </c>
      <c r="DA32" s="22" t="str">
        <f t="shared" si="27"/>
        <v/>
      </c>
      <c r="DB32" s="22" t="str">
        <f t="shared" si="27"/>
        <v/>
      </c>
      <c r="DC32" s="22" t="str">
        <f t="shared" si="27"/>
        <v/>
      </c>
      <c r="DD32" s="22" t="str">
        <f t="shared" si="27"/>
        <v/>
      </c>
      <c r="DE32" s="22" t="str">
        <f t="shared" si="27"/>
        <v/>
      </c>
      <c r="DF32" s="22" t="str">
        <f t="shared" si="27"/>
        <v/>
      </c>
      <c r="DG32" s="22" t="str">
        <f t="shared" si="27"/>
        <v/>
      </c>
      <c r="DH32" s="22" t="str">
        <f t="shared" si="25"/>
        <v/>
      </c>
      <c r="DI32" s="22" t="str">
        <f t="shared" si="15"/>
        <v/>
      </c>
      <c r="DJ32" s="22" t="str">
        <f t="shared" si="15"/>
        <v/>
      </c>
      <c r="DK32" s="22" t="str">
        <f t="shared" si="15"/>
        <v/>
      </c>
      <c r="DL32" s="22" t="str">
        <f t="shared" si="15"/>
        <v/>
      </c>
      <c r="DM32" s="22">
        <f t="shared" si="16"/>
        <v>0</v>
      </c>
      <c r="DN32" s="36">
        <f t="shared" si="28"/>
        <v>10</v>
      </c>
      <c r="DO32" s="36">
        <f t="shared" si="28"/>
        <v>10</v>
      </c>
      <c r="DP32" s="36">
        <f t="shared" si="28"/>
        <v>10</v>
      </c>
      <c r="DQ32" s="36">
        <f t="shared" si="28"/>
        <v>10</v>
      </c>
      <c r="DR32" s="36">
        <f t="shared" si="28"/>
        <v>10</v>
      </c>
      <c r="DS32" s="36">
        <f t="shared" si="28"/>
        <v>10</v>
      </c>
      <c r="DT32" s="36">
        <f t="shared" si="28"/>
        <v>10</v>
      </c>
      <c r="DU32" s="36">
        <f t="shared" si="28"/>
        <v>0</v>
      </c>
      <c r="DV32" s="36">
        <f t="shared" si="28"/>
        <v>0</v>
      </c>
      <c r="DW32" s="36">
        <f t="shared" si="28"/>
        <v>0</v>
      </c>
      <c r="DX32" s="23">
        <f t="shared" si="28"/>
        <v>7</v>
      </c>
      <c r="DY32" s="23">
        <f t="shared" si="28"/>
        <v>100</v>
      </c>
      <c r="DZ32" s="23">
        <f t="shared" si="28"/>
        <v>100</v>
      </c>
      <c r="EA32" s="23">
        <f t="shared" si="28"/>
        <v>0</v>
      </c>
      <c r="EB32" s="23">
        <f t="shared" si="28"/>
        <v>0</v>
      </c>
      <c r="EC32" s="23">
        <f t="shared" si="28"/>
        <v>0</v>
      </c>
      <c r="ED32" s="23">
        <f t="shared" si="30"/>
        <v>0</v>
      </c>
      <c r="EE32" s="23">
        <f t="shared" si="30"/>
        <v>0</v>
      </c>
      <c r="EF32" s="23">
        <f t="shared" si="30"/>
        <v>0</v>
      </c>
      <c r="EG32" s="23">
        <f t="shared" si="30"/>
        <v>0</v>
      </c>
      <c r="EH32" s="23">
        <f t="shared" si="30"/>
        <v>0</v>
      </c>
      <c r="EI32" s="23">
        <f t="shared" si="30"/>
        <v>2</v>
      </c>
      <c r="EJ32" s="23">
        <f t="shared" si="30"/>
        <v>100</v>
      </c>
    </row>
    <row r="33" spans="1:140" ht="9.9" customHeight="1" x14ac:dyDescent="0.3">
      <c r="A33" s="23">
        <v>24</v>
      </c>
      <c r="B33" s="37" t="str">
        <f>IF(PRELIM!B33="","",PRELIM!B33)</f>
        <v>MORALES, JANE MANELYN C.</v>
      </c>
      <c r="C33" s="69" t="s">
        <v>190</v>
      </c>
      <c r="D33" s="69" t="s">
        <v>190</v>
      </c>
      <c r="E33" s="69" t="s">
        <v>190</v>
      </c>
      <c r="F33" s="69" t="s">
        <v>190</v>
      </c>
      <c r="G33" s="69" t="s">
        <v>190</v>
      </c>
      <c r="H33" s="38" t="s">
        <v>228</v>
      </c>
      <c r="I33" s="38" t="s">
        <v>190</v>
      </c>
      <c r="J33" s="38" t="s">
        <v>228</v>
      </c>
      <c r="K33" s="38" t="s">
        <v>190</v>
      </c>
      <c r="L33" s="38" t="s">
        <v>190</v>
      </c>
      <c r="M33" s="38" t="s">
        <v>190</v>
      </c>
      <c r="N33" s="38"/>
      <c r="O33" s="38"/>
      <c r="P33" s="38"/>
      <c r="Q33" s="38"/>
      <c r="R33" s="38"/>
      <c r="S33" s="38"/>
      <c r="T33" s="38"/>
      <c r="U33" s="38"/>
      <c r="V33" s="38"/>
      <c r="W33" s="39">
        <f t="shared" si="6"/>
        <v>89.090909090909093</v>
      </c>
      <c r="X33" s="38">
        <v>5</v>
      </c>
      <c r="Y33" s="38">
        <v>3</v>
      </c>
      <c r="Z33" s="38">
        <v>6</v>
      </c>
      <c r="AA33" s="38">
        <v>9</v>
      </c>
      <c r="AB33" s="38">
        <v>9</v>
      </c>
      <c r="AC33" s="38">
        <v>7</v>
      </c>
      <c r="AD33" s="38">
        <v>9</v>
      </c>
      <c r="AE33" s="38"/>
      <c r="AF33" s="38"/>
      <c r="AG33" s="38"/>
      <c r="AH33" s="40">
        <f t="shared" si="7"/>
        <v>70</v>
      </c>
      <c r="AI33" s="40">
        <f t="shared" si="7"/>
        <v>58</v>
      </c>
      <c r="AJ33" s="40">
        <f t="shared" si="7"/>
        <v>76</v>
      </c>
      <c r="AK33" s="40">
        <f t="shared" si="7"/>
        <v>94</v>
      </c>
      <c r="AL33" s="40">
        <f t="shared" si="7"/>
        <v>94</v>
      </c>
      <c r="AM33" s="40">
        <f t="shared" si="7"/>
        <v>82</v>
      </c>
      <c r="AN33" s="40">
        <f t="shared" si="7"/>
        <v>94</v>
      </c>
      <c r="AO33" s="40" t="str">
        <f t="shared" si="7"/>
        <v xml:space="preserve"> </v>
      </c>
      <c r="AP33" s="40" t="str">
        <f t="shared" si="7"/>
        <v xml:space="preserve"> </v>
      </c>
      <c r="AQ33" s="40" t="str">
        <f t="shared" si="7"/>
        <v xml:space="preserve"> </v>
      </c>
      <c r="AR33" s="41">
        <f t="shared" si="8"/>
        <v>81.142857142857139</v>
      </c>
      <c r="AS33" s="38">
        <v>100</v>
      </c>
      <c r="AT33" s="164">
        <f t="shared" si="20"/>
        <v>89</v>
      </c>
      <c r="AU33" s="38"/>
      <c r="AV33" s="38"/>
      <c r="AW33" s="38"/>
      <c r="AX33" s="38"/>
      <c r="AY33" s="38"/>
      <c r="AZ33" s="38"/>
      <c r="BA33" s="38"/>
      <c r="BB33" s="38"/>
      <c r="BC33" s="42">
        <f t="shared" si="9"/>
        <v>100</v>
      </c>
      <c r="BD33" s="42">
        <f t="shared" si="9"/>
        <v>93.4</v>
      </c>
      <c r="BE33" s="42" t="str">
        <f t="shared" si="9"/>
        <v xml:space="preserve"> </v>
      </c>
      <c r="BF33" s="42" t="str">
        <f t="shared" si="9"/>
        <v xml:space="preserve"> </v>
      </c>
      <c r="BG33" s="42" t="str">
        <f t="shared" si="9"/>
        <v xml:space="preserve"> </v>
      </c>
      <c r="BH33" s="42" t="str">
        <f t="shared" si="9"/>
        <v xml:space="preserve"> </v>
      </c>
      <c r="BI33" s="42" t="str">
        <f t="shared" si="9"/>
        <v xml:space="preserve"> </v>
      </c>
      <c r="BJ33" s="42" t="str">
        <f t="shared" si="9"/>
        <v xml:space="preserve"> </v>
      </c>
      <c r="BK33" s="42" t="str">
        <f t="shared" si="9"/>
        <v xml:space="preserve"> </v>
      </c>
      <c r="BL33" s="42" t="str">
        <f t="shared" si="9"/>
        <v xml:space="preserve"> </v>
      </c>
      <c r="BM33" s="43">
        <f t="shared" si="10"/>
        <v>96.7</v>
      </c>
      <c r="BN33" s="38">
        <v>66</v>
      </c>
      <c r="BO33" s="44">
        <f t="shared" si="11"/>
        <v>79.599999999999994</v>
      </c>
      <c r="BP33" s="20"/>
      <c r="BQ33" s="39">
        <f t="shared" si="21"/>
        <v>83.025259740259742</v>
      </c>
      <c r="BR33" s="23" t="str">
        <f t="shared" si="22"/>
        <v>PASSED</v>
      </c>
      <c r="BS33" s="45"/>
      <c r="BT33" s="46"/>
      <c r="BU33" s="46"/>
      <c r="BV33" s="46"/>
      <c r="BW33" s="21">
        <f t="shared" si="26"/>
        <v>1</v>
      </c>
      <c r="BX33" s="22">
        <f t="shared" si="26"/>
        <v>1</v>
      </c>
      <c r="BY33" s="22">
        <f t="shared" si="26"/>
        <v>1</v>
      </c>
      <c r="BZ33" s="22">
        <f t="shared" si="26"/>
        <v>1</v>
      </c>
      <c r="CA33" s="22">
        <f t="shared" si="26"/>
        <v>1</v>
      </c>
      <c r="CB33" s="22" t="str">
        <f t="shared" si="26"/>
        <v/>
      </c>
      <c r="CC33" s="22">
        <f t="shared" si="26"/>
        <v>1</v>
      </c>
      <c r="CD33" s="22" t="str">
        <f t="shared" si="26"/>
        <v/>
      </c>
      <c r="CE33" s="22">
        <f t="shared" si="26"/>
        <v>1</v>
      </c>
      <c r="CF33" s="22">
        <f t="shared" si="26"/>
        <v>1</v>
      </c>
      <c r="CG33" s="22">
        <f t="shared" si="26"/>
        <v>1</v>
      </c>
      <c r="CH33" s="22" t="str">
        <f t="shared" si="26"/>
        <v/>
      </c>
      <c r="CI33" s="22" t="str">
        <f t="shared" si="26"/>
        <v/>
      </c>
      <c r="CJ33" s="22" t="str">
        <f t="shared" si="26"/>
        <v/>
      </c>
      <c r="CK33" s="22" t="str">
        <f t="shared" si="26"/>
        <v/>
      </c>
      <c r="CL33" s="22" t="str">
        <f t="shared" si="24"/>
        <v/>
      </c>
      <c r="CM33" s="22" t="str">
        <f t="shared" si="13"/>
        <v/>
      </c>
      <c r="CN33" s="22" t="str">
        <f t="shared" si="13"/>
        <v/>
      </c>
      <c r="CO33" s="22" t="str">
        <f t="shared" si="13"/>
        <v/>
      </c>
      <c r="CP33" s="22" t="str">
        <f t="shared" si="13"/>
        <v/>
      </c>
      <c r="CQ33" s="22">
        <f t="shared" si="23"/>
        <v>9</v>
      </c>
      <c r="CR33" s="22">
        <f t="shared" si="3"/>
        <v>11</v>
      </c>
      <c r="CS33" s="22" t="str">
        <f t="shared" si="27"/>
        <v/>
      </c>
      <c r="CT33" s="22" t="str">
        <f t="shared" si="27"/>
        <v/>
      </c>
      <c r="CU33" s="22" t="str">
        <f t="shared" si="27"/>
        <v/>
      </c>
      <c r="CV33" s="22" t="str">
        <f t="shared" si="27"/>
        <v/>
      </c>
      <c r="CW33" s="22" t="str">
        <f t="shared" si="27"/>
        <v/>
      </c>
      <c r="CX33" s="22" t="str">
        <f t="shared" si="27"/>
        <v/>
      </c>
      <c r="CY33" s="22" t="str">
        <f t="shared" si="27"/>
        <v/>
      </c>
      <c r="CZ33" s="22" t="str">
        <f t="shared" si="27"/>
        <v/>
      </c>
      <c r="DA33" s="22" t="str">
        <f t="shared" si="27"/>
        <v/>
      </c>
      <c r="DB33" s="22" t="str">
        <f t="shared" si="27"/>
        <v/>
      </c>
      <c r="DC33" s="22" t="str">
        <f t="shared" si="27"/>
        <v/>
      </c>
      <c r="DD33" s="22" t="str">
        <f t="shared" si="27"/>
        <v/>
      </c>
      <c r="DE33" s="22" t="str">
        <f t="shared" si="27"/>
        <v/>
      </c>
      <c r="DF33" s="22" t="str">
        <f t="shared" si="27"/>
        <v/>
      </c>
      <c r="DG33" s="22" t="str">
        <f t="shared" si="27"/>
        <v/>
      </c>
      <c r="DH33" s="22" t="str">
        <f t="shared" si="25"/>
        <v/>
      </c>
      <c r="DI33" s="22" t="str">
        <f t="shared" si="15"/>
        <v/>
      </c>
      <c r="DJ33" s="22" t="str">
        <f t="shared" si="15"/>
        <v/>
      </c>
      <c r="DK33" s="22" t="str">
        <f t="shared" si="15"/>
        <v/>
      </c>
      <c r="DL33" s="22" t="str">
        <f t="shared" si="15"/>
        <v/>
      </c>
      <c r="DM33" s="22">
        <f t="shared" si="16"/>
        <v>0</v>
      </c>
      <c r="DN33" s="36">
        <f t="shared" si="28"/>
        <v>10</v>
      </c>
      <c r="DO33" s="36">
        <f t="shared" si="28"/>
        <v>10</v>
      </c>
      <c r="DP33" s="36">
        <f t="shared" si="28"/>
        <v>10</v>
      </c>
      <c r="DQ33" s="36">
        <f t="shared" si="28"/>
        <v>10</v>
      </c>
      <c r="DR33" s="36">
        <f t="shared" si="28"/>
        <v>10</v>
      </c>
      <c r="DS33" s="36">
        <f t="shared" si="28"/>
        <v>10</v>
      </c>
      <c r="DT33" s="36">
        <f t="shared" si="28"/>
        <v>10</v>
      </c>
      <c r="DU33" s="36">
        <f t="shared" si="28"/>
        <v>0</v>
      </c>
      <c r="DV33" s="36">
        <f t="shared" si="28"/>
        <v>0</v>
      </c>
      <c r="DW33" s="36">
        <f t="shared" si="28"/>
        <v>0</v>
      </c>
      <c r="DX33" s="23">
        <f t="shared" si="28"/>
        <v>7</v>
      </c>
      <c r="DY33" s="23">
        <f t="shared" si="28"/>
        <v>100</v>
      </c>
      <c r="DZ33" s="23">
        <f t="shared" si="28"/>
        <v>100</v>
      </c>
      <c r="EA33" s="23">
        <f t="shared" si="28"/>
        <v>0</v>
      </c>
      <c r="EB33" s="23">
        <f t="shared" si="28"/>
        <v>0</v>
      </c>
      <c r="EC33" s="23">
        <f t="shared" si="28"/>
        <v>0</v>
      </c>
      <c r="ED33" s="23">
        <f t="shared" si="30"/>
        <v>0</v>
      </c>
      <c r="EE33" s="23">
        <f t="shared" si="30"/>
        <v>0</v>
      </c>
      <c r="EF33" s="23">
        <f t="shared" si="30"/>
        <v>0</v>
      </c>
      <c r="EG33" s="23">
        <f t="shared" si="30"/>
        <v>0</v>
      </c>
      <c r="EH33" s="23">
        <f t="shared" si="30"/>
        <v>0</v>
      </c>
      <c r="EI33" s="23">
        <f t="shared" si="30"/>
        <v>2</v>
      </c>
      <c r="EJ33" s="23">
        <f t="shared" si="30"/>
        <v>100</v>
      </c>
    </row>
    <row r="34" spans="1:140" ht="9.9" customHeight="1" x14ac:dyDescent="0.3">
      <c r="A34" s="23">
        <v>25</v>
      </c>
      <c r="B34" s="37" t="str">
        <f>IF(PRELIM!B34="","",PRELIM!B34)</f>
        <v>NARAGA,  JHAMAICA R.</v>
      </c>
      <c r="C34" s="69" t="s">
        <v>190</v>
      </c>
      <c r="D34" s="69" t="s">
        <v>190</v>
      </c>
      <c r="E34" s="69" t="s">
        <v>190</v>
      </c>
      <c r="F34" s="69" t="s">
        <v>190</v>
      </c>
      <c r="G34" s="69" t="s">
        <v>190</v>
      </c>
      <c r="H34" s="38" t="s">
        <v>190</v>
      </c>
      <c r="I34" s="38" t="s">
        <v>190</v>
      </c>
      <c r="J34" s="38" t="s">
        <v>190</v>
      </c>
      <c r="K34" s="38" t="s">
        <v>190</v>
      </c>
      <c r="L34" s="38" t="s">
        <v>190</v>
      </c>
      <c r="M34" s="38" t="s">
        <v>190</v>
      </c>
      <c r="N34" s="38"/>
      <c r="O34" s="38"/>
      <c r="P34" s="38"/>
      <c r="Q34" s="38"/>
      <c r="R34" s="38"/>
      <c r="S34" s="38"/>
      <c r="T34" s="38"/>
      <c r="U34" s="38"/>
      <c r="V34" s="38"/>
      <c r="W34" s="39">
        <f t="shared" si="6"/>
        <v>100</v>
      </c>
      <c r="X34" s="38">
        <v>8</v>
      </c>
      <c r="Y34" s="38">
        <v>2</v>
      </c>
      <c r="Z34" s="38">
        <v>7</v>
      </c>
      <c r="AA34" s="38">
        <v>5</v>
      </c>
      <c r="AB34" s="38">
        <v>6</v>
      </c>
      <c r="AC34" s="38">
        <v>8</v>
      </c>
      <c r="AD34" s="38">
        <v>8</v>
      </c>
      <c r="AE34" s="38"/>
      <c r="AF34" s="38"/>
      <c r="AG34" s="38"/>
      <c r="AH34" s="40">
        <f t="shared" si="7"/>
        <v>88</v>
      </c>
      <c r="AI34" s="40">
        <f t="shared" si="7"/>
        <v>52</v>
      </c>
      <c r="AJ34" s="40">
        <f t="shared" si="7"/>
        <v>82</v>
      </c>
      <c r="AK34" s="40">
        <f t="shared" si="7"/>
        <v>70</v>
      </c>
      <c r="AL34" s="40">
        <f t="shared" si="7"/>
        <v>76</v>
      </c>
      <c r="AM34" s="40">
        <f t="shared" si="7"/>
        <v>88</v>
      </c>
      <c r="AN34" s="40">
        <f t="shared" si="7"/>
        <v>88</v>
      </c>
      <c r="AO34" s="40" t="str">
        <f t="shared" si="7"/>
        <v xml:space="preserve"> </v>
      </c>
      <c r="AP34" s="40" t="str">
        <f t="shared" si="7"/>
        <v xml:space="preserve"> </v>
      </c>
      <c r="AQ34" s="40" t="str">
        <f t="shared" si="7"/>
        <v xml:space="preserve"> </v>
      </c>
      <c r="AR34" s="41">
        <f t="shared" si="8"/>
        <v>77.714285714285708</v>
      </c>
      <c r="AS34" s="38">
        <v>100</v>
      </c>
      <c r="AT34" s="164">
        <f t="shared" si="20"/>
        <v>100</v>
      </c>
      <c r="AU34" s="38"/>
      <c r="AV34" s="38"/>
      <c r="AW34" s="38"/>
      <c r="AX34" s="38"/>
      <c r="AY34" s="38"/>
      <c r="AZ34" s="38"/>
      <c r="BA34" s="38"/>
      <c r="BB34" s="38"/>
      <c r="BC34" s="42">
        <f t="shared" si="9"/>
        <v>100</v>
      </c>
      <c r="BD34" s="42">
        <f t="shared" si="9"/>
        <v>100</v>
      </c>
      <c r="BE34" s="42" t="str">
        <f t="shared" si="9"/>
        <v xml:space="preserve"> </v>
      </c>
      <c r="BF34" s="42" t="str">
        <f t="shared" si="9"/>
        <v xml:space="preserve"> </v>
      </c>
      <c r="BG34" s="42" t="str">
        <f t="shared" si="9"/>
        <v xml:space="preserve"> </v>
      </c>
      <c r="BH34" s="42" t="str">
        <f t="shared" si="9"/>
        <v xml:space="preserve"> </v>
      </c>
      <c r="BI34" s="42" t="str">
        <f t="shared" si="9"/>
        <v xml:space="preserve"> </v>
      </c>
      <c r="BJ34" s="42" t="str">
        <f t="shared" si="9"/>
        <v xml:space="preserve"> </v>
      </c>
      <c r="BK34" s="42" t="str">
        <f t="shared" si="9"/>
        <v xml:space="preserve"> </v>
      </c>
      <c r="BL34" s="42" t="str">
        <f t="shared" si="9"/>
        <v xml:space="preserve"> </v>
      </c>
      <c r="BM34" s="43">
        <f t="shared" si="10"/>
        <v>100</v>
      </c>
      <c r="BN34" s="38">
        <v>66</v>
      </c>
      <c r="BO34" s="44">
        <f t="shared" si="11"/>
        <v>79.599999999999994</v>
      </c>
      <c r="BP34" s="20"/>
      <c r="BQ34" s="39">
        <f t="shared" si="21"/>
        <v>83.208571428571432</v>
      </c>
      <c r="BR34" s="23" t="str">
        <f t="shared" si="22"/>
        <v>PASSED</v>
      </c>
      <c r="BS34" s="45"/>
      <c r="BT34" s="46"/>
      <c r="BU34" s="46"/>
      <c r="BV34" s="46"/>
      <c r="BW34" s="21">
        <f t="shared" si="26"/>
        <v>1</v>
      </c>
      <c r="BX34" s="22">
        <f t="shared" si="26"/>
        <v>1</v>
      </c>
      <c r="BY34" s="22">
        <f t="shared" si="26"/>
        <v>1</v>
      </c>
      <c r="BZ34" s="22">
        <f t="shared" si="26"/>
        <v>1</v>
      </c>
      <c r="CA34" s="22">
        <f t="shared" si="26"/>
        <v>1</v>
      </c>
      <c r="CB34" s="22">
        <f t="shared" si="26"/>
        <v>1</v>
      </c>
      <c r="CC34" s="22">
        <f t="shared" si="26"/>
        <v>1</v>
      </c>
      <c r="CD34" s="22">
        <f t="shared" si="26"/>
        <v>1</v>
      </c>
      <c r="CE34" s="22">
        <f t="shared" si="26"/>
        <v>1</v>
      </c>
      <c r="CF34" s="22">
        <f t="shared" si="26"/>
        <v>1</v>
      </c>
      <c r="CG34" s="22">
        <f t="shared" si="26"/>
        <v>1</v>
      </c>
      <c r="CH34" s="22" t="str">
        <f t="shared" si="26"/>
        <v/>
      </c>
      <c r="CI34" s="22" t="str">
        <f t="shared" si="26"/>
        <v/>
      </c>
      <c r="CJ34" s="22" t="str">
        <f t="shared" si="26"/>
        <v/>
      </c>
      <c r="CK34" s="22" t="str">
        <f t="shared" si="26"/>
        <v/>
      </c>
      <c r="CL34" s="22" t="str">
        <f t="shared" si="24"/>
        <v/>
      </c>
      <c r="CM34" s="22" t="str">
        <f t="shared" si="13"/>
        <v/>
      </c>
      <c r="CN34" s="22" t="str">
        <f t="shared" si="13"/>
        <v/>
      </c>
      <c r="CO34" s="22" t="str">
        <f t="shared" si="13"/>
        <v/>
      </c>
      <c r="CP34" s="22" t="str">
        <f t="shared" si="13"/>
        <v/>
      </c>
      <c r="CQ34" s="22">
        <f t="shared" si="23"/>
        <v>11</v>
      </c>
      <c r="CR34" s="22">
        <f t="shared" si="3"/>
        <v>11</v>
      </c>
      <c r="CS34" s="22" t="str">
        <f t="shared" si="27"/>
        <v/>
      </c>
      <c r="CT34" s="22" t="str">
        <f t="shared" si="27"/>
        <v/>
      </c>
      <c r="CU34" s="22" t="str">
        <f t="shared" si="27"/>
        <v/>
      </c>
      <c r="CV34" s="22" t="str">
        <f t="shared" si="27"/>
        <v/>
      </c>
      <c r="CW34" s="22" t="str">
        <f t="shared" si="27"/>
        <v/>
      </c>
      <c r="CX34" s="22" t="str">
        <f t="shared" si="27"/>
        <v/>
      </c>
      <c r="CY34" s="22" t="str">
        <f t="shared" si="27"/>
        <v/>
      </c>
      <c r="CZ34" s="22" t="str">
        <f t="shared" si="27"/>
        <v/>
      </c>
      <c r="DA34" s="22" t="str">
        <f t="shared" si="27"/>
        <v/>
      </c>
      <c r="DB34" s="22" t="str">
        <f t="shared" si="27"/>
        <v/>
      </c>
      <c r="DC34" s="22" t="str">
        <f t="shared" si="27"/>
        <v/>
      </c>
      <c r="DD34" s="22" t="str">
        <f t="shared" si="27"/>
        <v/>
      </c>
      <c r="DE34" s="22" t="str">
        <f t="shared" si="27"/>
        <v/>
      </c>
      <c r="DF34" s="22" t="str">
        <f t="shared" si="27"/>
        <v/>
      </c>
      <c r="DG34" s="22" t="str">
        <f t="shared" si="27"/>
        <v/>
      </c>
      <c r="DH34" s="22" t="str">
        <f t="shared" si="25"/>
        <v/>
      </c>
      <c r="DI34" s="22" t="str">
        <f t="shared" si="15"/>
        <v/>
      </c>
      <c r="DJ34" s="22" t="str">
        <f t="shared" si="15"/>
        <v/>
      </c>
      <c r="DK34" s="22" t="str">
        <f t="shared" si="15"/>
        <v/>
      </c>
      <c r="DL34" s="22" t="str">
        <f t="shared" si="15"/>
        <v/>
      </c>
      <c r="DM34" s="22">
        <f t="shared" si="16"/>
        <v>0</v>
      </c>
      <c r="DN34" s="36">
        <f t="shared" si="28"/>
        <v>10</v>
      </c>
      <c r="DO34" s="36">
        <f t="shared" si="28"/>
        <v>10</v>
      </c>
      <c r="DP34" s="36">
        <f t="shared" si="28"/>
        <v>10</v>
      </c>
      <c r="DQ34" s="36">
        <f t="shared" si="28"/>
        <v>10</v>
      </c>
      <c r="DR34" s="36">
        <f t="shared" si="28"/>
        <v>10</v>
      </c>
      <c r="DS34" s="36">
        <f t="shared" si="28"/>
        <v>10</v>
      </c>
      <c r="DT34" s="36">
        <f t="shared" si="28"/>
        <v>10</v>
      </c>
      <c r="DU34" s="36">
        <f t="shared" si="28"/>
        <v>0</v>
      </c>
      <c r="DV34" s="36">
        <f t="shared" si="28"/>
        <v>0</v>
      </c>
      <c r="DW34" s="36">
        <f t="shared" si="28"/>
        <v>0</v>
      </c>
      <c r="DX34" s="23">
        <f t="shared" si="28"/>
        <v>7</v>
      </c>
      <c r="DY34" s="23">
        <f t="shared" si="28"/>
        <v>100</v>
      </c>
      <c r="DZ34" s="23">
        <f t="shared" si="28"/>
        <v>100</v>
      </c>
      <c r="EA34" s="23">
        <f t="shared" si="28"/>
        <v>0</v>
      </c>
      <c r="EB34" s="23">
        <f t="shared" si="28"/>
        <v>0</v>
      </c>
      <c r="EC34" s="23">
        <f t="shared" si="28"/>
        <v>0</v>
      </c>
      <c r="ED34" s="23">
        <f t="shared" si="30"/>
        <v>0</v>
      </c>
      <c r="EE34" s="23">
        <f t="shared" si="30"/>
        <v>0</v>
      </c>
      <c r="EF34" s="23">
        <f t="shared" si="30"/>
        <v>0</v>
      </c>
      <c r="EG34" s="23">
        <f t="shared" si="30"/>
        <v>0</v>
      </c>
      <c r="EH34" s="23">
        <f t="shared" si="30"/>
        <v>0</v>
      </c>
      <c r="EI34" s="23">
        <f t="shared" si="30"/>
        <v>2</v>
      </c>
      <c r="EJ34" s="23">
        <f t="shared" si="30"/>
        <v>100</v>
      </c>
    </row>
    <row r="35" spans="1:140" ht="9.9" customHeight="1" x14ac:dyDescent="0.3">
      <c r="A35" s="23">
        <v>26</v>
      </c>
      <c r="B35" s="37" t="str">
        <f>IF(PRELIM!B35="","",PRELIM!B35)</f>
        <v>ONGQUE, CHERRY A.</v>
      </c>
      <c r="C35" s="69" t="s">
        <v>190</v>
      </c>
      <c r="D35" s="69" t="s">
        <v>190</v>
      </c>
      <c r="E35" s="69" t="s">
        <v>190</v>
      </c>
      <c r="F35" s="69" t="s">
        <v>190</v>
      </c>
      <c r="G35" s="69" t="s">
        <v>190</v>
      </c>
      <c r="H35" s="38" t="s">
        <v>190</v>
      </c>
      <c r="I35" s="38" t="s">
        <v>190</v>
      </c>
      <c r="J35" s="38" t="s">
        <v>190</v>
      </c>
      <c r="K35" s="38" t="s">
        <v>190</v>
      </c>
      <c r="L35" s="38" t="s">
        <v>190</v>
      </c>
      <c r="M35" s="38" t="s">
        <v>228</v>
      </c>
      <c r="N35" s="38"/>
      <c r="O35" s="38"/>
      <c r="P35" s="38"/>
      <c r="Q35" s="38"/>
      <c r="R35" s="38"/>
      <c r="S35" s="38"/>
      <c r="T35" s="38"/>
      <c r="U35" s="38"/>
      <c r="V35" s="38"/>
      <c r="W35" s="39">
        <f t="shared" si="6"/>
        <v>94.545454545454547</v>
      </c>
      <c r="X35" s="38">
        <v>5</v>
      </c>
      <c r="Y35" s="38">
        <v>1</v>
      </c>
      <c r="Z35" s="38">
        <v>3</v>
      </c>
      <c r="AA35" s="38">
        <v>8</v>
      </c>
      <c r="AB35" s="38">
        <v>7</v>
      </c>
      <c r="AC35" s="38">
        <v>8</v>
      </c>
      <c r="AD35" s="38"/>
      <c r="AE35" s="38"/>
      <c r="AF35" s="38"/>
      <c r="AG35" s="38"/>
      <c r="AH35" s="40">
        <f t="shared" si="7"/>
        <v>70</v>
      </c>
      <c r="AI35" s="40">
        <f t="shared" si="7"/>
        <v>46</v>
      </c>
      <c r="AJ35" s="40">
        <f t="shared" si="7"/>
        <v>58</v>
      </c>
      <c r="AK35" s="40">
        <f t="shared" si="7"/>
        <v>88</v>
      </c>
      <c r="AL35" s="40">
        <f t="shared" si="7"/>
        <v>82</v>
      </c>
      <c r="AM35" s="40">
        <f t="shared" ref="AM35:AQ59" si="31">IF(DS35&gt;=1,(((AC35/DS35)*60)+40)," ")</f>
        <v>88</v>
      </c>
      <c r="AN35" s="40">
        <f t="shared" si="31"/>
        <v>40</v>
      </c>
      <c r="AO35" s="40" t="str">
        <f t="shared" si="31"/>
        <v xml:space="preserve"> </v>
      </c>
      <c r="AP35" s="40" t="str">
        <f t="shared" si="31"/>
        <v xml:space="preserve"> </v>
      </c>
      <c r="AQ35" s="40" t="str">
        <f t="shared" si="31"/>
        <v xml:space="preserve"> </v>
      </c>
      <c r="AR35" s="41">
        <f t="shared" si="8"/>
        <v>67.428571428571431</v>
      </c>
      <c r="AS35" s="38">
        <v>100</v>
      </c>
      <c r="AT35" s="164">
        <f t="shared" si="20"/>
        <v>95</v>
      </c>
      <c r="AU35" s="38"/>
      <c r="AV35" s="38"/>
      <c r="AW35" s="38"/>
      <c r="AX35" s="38"/>
      <c r="AY35" s="38"/>
      <c r="AZ35" s="38"/>
      <c r="BA35" s="38"/>
      <c r="BB35" s="38"/>
      <c r="BC35" s="42">
        <f t="shared" si="9"/>
        <v>100</v>
      </c>
      <c r="BD35" s="42">
        <f t="shared" si="9"/>
        <v>97</v>
      </c>
      <c r="BE35" s="42" t="str">
        <f t="shared" si="9"/>
        <v xml:space="preserve"> </v>
      </c>
      <c r="BF35" s="42" t="str">
        <f t="shared" si="9"/>
        <v xml:space="preserve"> </v>
      </c>
      <c r="BG35" s="42" t="str">
        <f t="shared" si="9"/>
        <v xml:space="preserve"> </v>
      </c>
      <c r="BH35" s="42" t="str">
        <f t="shared" ref="BH35:BL59" si="32">IF(ED35&gt;=1,(((AX35/ED35)*60)+40)," ")</f>
        <v xml:space="preserve"> </v>
      </c>
      <c r="BI35" s="42" t="str">
        <f t="shared" si="32"/>
        <v xml:space="preserve"> </v>
      </c>
      <c r="BJ35" s="42" t="str">
        <f t="shared" si="32"/>
        <v xml:space="preserve"> </v>
      </c>
      <c r="BK35" s="42" t="str">
        <f t="shared" si="32"/>
        <v xml:space="preserve"> </v>
      </c>
      <c r="BL35" s="42" t="str">
        <f t="shared" si="32"/>
        <v xml:space="preserve"> </v>
      </c>
      <c r="BM35" s="43">
        <f t="shared" si="10"/>
        <v>98.5</v>
      </c>
      <c r="BN35" s="38">
        <v>76</v>
      </c>
      <c r="BO35" s="44">
        <f t="shared" si="11"/>
        <v>85.6</v>
      </c>
      <c r="BP35" s="20"/>
      <c r="BQ35" s="39">
        <f t="shared" si="21"/>
        <v>83.439415584415585</v>
      </c>
      <c r="BR35" s="23" t="str">
        <f t="shared" si="22"/>
        <v>PASSED</v>
      </c>
      <c r="BS35" s="45"/>
      <c r="BT35" s="46"/>
      <c r="BU35" s="46"/>
      <c r="BV35" s="46"/>
      <c r="BW35" s="21">
        <f t="shared" si="26"/>
        <v>1</v>
      </c>
      <c r="BX35" s="22">
        <f t="shared" si="26"/>
        <v>1</v>
      </c>
      <c r="BY35" s="22">
        <f t="shared" si="26"/>
        <v>1</v>
      </c>
      <c r="BZ35" s="22">
        <f t="shared" si="26"/>
        <v>1</v>
      </c>
      <c r="CA35" s="22">
        <f t="shared" si="26"/>
        <v>1</v>
      </c>
      <c r="CB35" s="22">
        <f t="shared" si="26"/>
        <v>1</v>
      </c>
      <c r="CC35" s="22">
        <f t="shared" si="26"/>
        <v>1</v>
      </c>
      <c r="CD35" s="22">
        <f t="shared" si="26"/>
        <v>1</v>
      </c>
      <c r="CE35" s="22">
        <f t="shared" si="26"/>
        <v>1</v>
      </c>
      <c r="CF35" s="22">
        <f t="shared" si="26"/>
        <v>1</v>
      </c>
      <c r="CG35" s="22" t="str">
        <f t="shared" si="26"/>
        <v/>
      </c>
      <c r="CH35" s="22" t="str">
        <f t="shared" si="26"/>
        <v/>
      </c>
      <c r="CI35" s="22" t="str">
        <f t="shared" si="26"/>
        <v/>
      </c>
      <c r="CJ35" s="22" t="str">
        <f t="shared" si="26"/>
        <v/>
      </c>
      <c r="CK35" s="22" t="str">
        <f t="shared" si="26"/>
        <v/>
      </c>
      <c r="CL35" s="22" t="str">
        <f t="shared" si="24"/>
        <v/>
      </c>
      <c r="CM35" s="22" t="str">
        <f t="shared" si="13"/>
        <v/>
      </c>
      <c r="CN35" s="22" t="str">
        <f t="shared" si="13"/>
        <v/>
      </c>
      <c r="CO35" s="22" t="str">
        <f t="shared" si="13"/>
        <v/>
      </c>
      <c r="CP35" s="22" t="str">
        <f t="shared" si="13"/>
        <v/>
      </c>
      <c r="CQ35" s="22">
        <f t="shared" si="23"/>
        <v>10</v>
      </c>
      <c r="CR35" s="22">
        <f t="shared" si="3"/>
        <v>11</v>
      </c>
      <c r="CS35" s="22" t="str">
        <f t="shared" si="27"/>
        <v/>
      </c>
      <c r="CT35" s="22" t="str">
        <f t="shared" si="27"/>
        <v/>
      </c>
      <c r="CU35" s="22" t="str">
        <f t="shared" si="27"/>
        <v/>
      </c>
      <c r="CV35" s="22" t="str">
        <f t="shared" si="27"/>
        <v/>
      </c>
      <c r="CW35" s="22" t="str">
        <f t="shared" si="27"/>
        <v/>
      </c>
      <c r="CX35" s="22" t="str">
        <f t="shared" si="27"/>
        <v/>
      </c>
      <c r="CY35" s="22" t="str">
        <f t="shared" si="27"/>
        <v/>
      </c>
      <c r="CZ35" s="22" t="str">
        <f t="shared" si="27"/>
        <v/>
      </c>
      <c r="DA35" s="22" t="str">
        <f t="shared" si="27"/>
        <v/>
      </c>
      <c r="DB35" s="22" t="str">
        <f t="shared" si="27"/>
        <v/>
      </c>
      <c r="DC35" s="22" t="str">
        <f t="shared" si="27"/>
        <v/>
      </c>
      <c r="DD35" s="22" t="str">
        <f t="shared" si="27"/>
        <v/>
      </c>
      <c r="DE35" s="22" t="str">
        <f t="shared" si="27"/>
        <v/>
      </c>
      <c r="DF35" s="22" t="str">
        <f t="shared" si="27"/>
        <v/>
      </c>
      <c r="DG35" s="22" t="str">
        <f t="shared" si="27"/>
        <v/>
      </c>
      <c r="DH35" s="22" t="str">
        <f t="shared" si="25"/>
        <v/>
      </c>
      <c r="DI35" s="22" t="str">
        <f t="shared" si="15"/>
        <v/>
      </c>
      <c r="DJ35" s="22" t="str">
        <f t="shared" si="15"/>
        <v/>
      </c>
      <c r="DK35" s="22" t="str">
        <f t="shared" si="15"/>
        <v/>
      </c>
      <c r="DL35" s="22" t="str">
        <f t="shared" si="15"/>
        <v/>
      </c>
      <c r="DM35" s="22">
        <f t="shared" si="16"/>
        <v>0</v>
      </c>
      <c r="DN35" s="36">
        <f t="shared" si="28"/>
        <v>10</v>
      </c>
      <c r="DO35" s="36">
        <f t="shared" si="28"/>
        <v>10</v>
      </c>
      <c r="DP35" s="36">
        <f t="shared" si="28"/>
        <v>10</v>
      </c>
      <c r="DQ35" s="36">
        <f t="shared" si="28"/>
        <v>10</v>
      </c>
      <c r="DR35" s="36">
        <f t="shared" si="28"/>
        <v>10</v>
      </c>
      <c r="DS35" s="36">
        <f t="shared" si="28"/>
        <v>10</v>
      </c>
      <c r="DT35" s="36">
        <f t="shared" si="28"/>
        <v>10</v>
      </c>
      <c r="DU35" s="36">
        <f t="shared" si="28"/>
        <v>0</v>
      </c>
      <c r="DV35" s="36">
        <f t="shared" si="28"/>
        <v>0</v>
      </c>
      <c r="DW35" s="36">
        <f t="shared" si="28"/>
        <v>0</v>
      </c>
      <c r="DX35" s="23">
        <f t="shared" si="28"/>
        <v>7</v>
      </c>
      <c r="DY35" s="23">
        <f t="shared" si="28"/>
        <v>100</v>
      </c>
      <c r="DZ35" s="23">
        <f t="shared" si="28"/>
        <v>100</v>
      </c>
      <c r="EA35" s="23">
        <f t="shared" si="28"/>
        <v>0</v>
      </c>
      <c r="EB35" s="23">
        <f t="shared" si="28"/>
        <v>0</v>
      </c>
      <c r="EC35" s="23">
        <f t="shared" si="28"/>
        <v>0</v>
      </c>
      <c r="ED35" s="23">
        <f t="shared" si="30"/>
        <v>0</v>
      </c>
      <c r="EE35" s="23">
        <f t="shared" si="30"/>
        <v>0</v>
      </c>
      <c r="EF35" s="23">
        <f t="shared" si="30"/>
        <v>0</v>
      </c>
      <c r="EG35" s="23">
        <f t="shared" si="30"/>
        <v>0</v>
      </c>
      <c r="EH35" s="23">
        <f t="shared" si="30"/>
        <v>0</v>
      </c>
      <c r="EI35" s="23">
        <f t="shared" si="30"/>
        <v>2</v>
      </c>
      <c r="EJ35" s="23">
        <f t="shared" si="30"/>
        <v>100</v>
      </c>
    </row>
    <row r="36" spans="1:140" ht="9.9" customHeight="1" x14ac:dyDescent="0.3">
      <c r="A36" s="23">
        <v>27</v>
      </c>
      <c r="B36" s="37" t="str">
        <f>IF(PRELIM!B36="","",PRELIM!B36)</f>
        <v>PAT, APRIL JANE L.</v>
      </c>
      <c r="C36" s="69" t="s">
        <v>190</v>
      </c>
      <c r="D36" s="69" t="s">
        <v>190</v>
      </c>
      <c r="E36" s="69" t="s">
        <v>190</v>
      </c>
      <c r="F36" s="69" t="s">
        <v>190</v>
      </c>
      <c r="G36" s="69" t="s">
        <v>190</v>
      </c>
      <c r="H36" s="38" t="s">
        <v>190</v>
      </c>
      <c r="I36" s="38" t="s">
        <v>190</v>
      </c>
      <c r="J36" s="38" t="s">
        <v>190</v>
      </c>
      <c r="K36" s="38" t="s">
        <v>190</v>
      </c>
      <c r="L36" s="38" t="s">
        <v>228</v>
      </c>
      <c r="M36" s="38" t="s">
        <v>190</v>
      </c>
      <c r="N36" s="38"/>
      <c r="O36" s="38"/>
      <c r="P36" s="38"/>
      <c r="Q36" s="38"/>
      <c r="R36" s="38"/>
      <c r="S36" s="38"/>
      <c r="T36" s="38"/>
      <c r="U36" s="38"/>
      <c r="V36" s="38"/>
      <c r="W36" s="39">
        <f t="shared" si="6"/>
        <v>94.545454545454547</v>
      </c>
      <c r="X36" s="38">
        <v>3</v>
      </c>
      <c r="Y36" s="38">
        <v>0</v>
      </c>
      <c r="Z36" s="38">
        <v>4</v>
      </c>
      <c r="AA36" s="38">
        <v>8</v>
      </c>
      <c r="AB36" s="38"/>
      <c r="AC36" s="38"/>
      <c r="AD36" s="38">
        <v>7</v>
      </c>
      <c r="AE36" s="38"/>
      <c r="AF36" s="38"/>
      <c r="AG36" s="38"/>
      <c r="AH36" s="40">
        <f t="shared" ref="AH36:AL59" si="33">IF(DN36&gt;=1,(((X36/DN36)*60)+40)," ")</f>
        <v>58</v>
      </c>
      <c r="AI36" s="40">
        <f t="shared" si="33"/>
        <v>40</v>
      </c>
      <c r="AJ36" s="40">
        <f t="shared" si="33"/>
        <v>64</v>
      </c>
      <c r="AK36" s="40">
        <f t="shared" si="33"/>
        <v>88</v>
      </c>
      <c r="AL36" s="40">
        <f t="shared" si="33"/>
        <v>40</v>
      </c>
      <c r="AM36" s="40">
        <f t="shared" si="31"/>
        <v>40</v>
      </c>
      <c r="AN36" s="40">
        <f t="shared" si="31"/>
        <v>82</v>
      </c>
      <c r="AO36" s="40" t="str">
        <f t="shared" si="31"/>
        <v xml:space="preserve"> </v>
      </c>
      <c r="AP36" s="40" t="str">
        <f t="shared" si="31"/>
        <v xml:space="preserve"> </v>
      </c>
      <c r="AQ36" s="40" t="str">
        <f t="shared" si="31"/>
        <v xml:space="preserve"> </v>
      </c>
      <c r="AR36" s="41">
        <f t="shared" si="8"/>
        <v>58.857142857142854</v>
      </c>
      <c r="AS36" s="38">
        <v>100</v>
      </c>
      <c r="AT36" s="164">
        <f t="shared" si="20"/>
        <v>95</v>
      </c>
      <c r="AU36" s="38"/>
      <c r="AV36" s="38"/>
      <c r="AW36" s="38"/>
      <c r="AX36" s="38"/>
      <c r="AY36" s="38"/>
      <c r="AZ36" s="38"/>
      <c r="BA36" s="38"/>
      <c r="BB36" s="38"/>
      <c r="BC36" s="42">
        <f t="shared" ref="BC36:BG59" si="34">IF(DY36&gt;=1,(((AS36/DY36)*60)+40)," ")</f>
        <v>100</v>
      </c>
      <c r="BD36" s="42">
        <f t="shared" si="34"/>
        <v>97</v>
      </c>
      <c r="BE36" s="42" t="str">
        <f t="shared" si="34"/>
        <v xml:space="preserve"> </v>
      </c>
      <c r="BF36" s="42" t="str">
        <f t="shared" si="34"/>
        <v xml:space="preserve"> </v>
      </c>
      <c r="BG36" s="42" t="str">
        <f t="shared" si="34"/>
        <v xml:space="preserve"> </v>
      </c>
      <c r="BH36" s="42" t="str">
        <f t="shared" si="32"/>
        <v xml:space="preserve"> </v>
      </c>
      <c r="BI36" s="42" t="str">
        <f t="shared" si="32"/>
        <v xml:space="preserve"> </v>
      </c>
      <c r="BJ36" s="42" t="str">
        <f t="shared" si="32"/>
        <v xml:space="preserve"> </v>
      </c>
      <c r="BK36" s="42" t="str">
        <f t="shared" si="32"/>
        <v xml:space="preserve"> </v>
      </c>
      <c r="BL36" s="42" t="str">
        <f t="shared" si="32"/>
        <v xml:space="preserve"> </v>
      </c>
      <c r="BM36" s="43">
        <f t="shared" si="10"/>
        <v>98.5</v>
      </c>
      <c r="BN36" s="38">
        <v>67</v>
      </c>
      <c r="BO36" s="44">
        <f t="shared" si="11"/>
        <v>80.2</v>
      </c>
      <c r="BP36" s="20"/>
      <c r="BQ36" s="39">
        <f t="shared" si="21"/>
        <v>78.326558441558447</v>
      </c>
      <c r="BR36" s="23" t="str">
        <f t="shared" si="22"/>
        <v>PASSED</v>
      </c>
      <c r="BS36" s="45"/>
      <c r="BT36" s="46"/>
      <c r="BU36" s="46"/>
      <c r="BV36" s="46"/>
      <c r="BW36" s="21">
        <f t="shared" si="26"/>
        <v>1</v>
      </c>
      <c r="BX36" s="22">
        <f t="shared" si="26"/>
        <v>1</v>
      </c>
      <c r="BY36" s="22">
        <f t="shared" si="26"/>
        <v>1</v>
      </c>
      <c r="BZ36" s="22">
        <f t="shared" si="26"/>
        <v>1</v>
      </c>
      <c r="CA36" s="22">
        <f t="shared" si="26"/>
        <v>1</v>
      </c>
      <c r="CB36" s="22">
        <f t="shared" si="26"/>
        <v>1</v>
      </c>
      <c r="CC36" s="22">
        <f t="shared" si="26"/>
        <v>1</v>
      </c>
      <c r="CD36" s="22">
        <f t="shared" si="26"/>
        <v>1</v>
      </c>
      <c r="CE36" s="22">
        <f t="shared" si="26"/>
        <v>1</v>
      </c>
      <c r="CF36" s="22" t="str">
        <f t="shared" si="26"/>
        <v/>
      </c>
      <c r="CG36" s="22">
        <f t="shared" si="26"/>
        <v>1</v>
      </c>
      <c r="CH36" s="22" t="str">
        <f t="shared" si="26"/>
        <v/>
      </c>
      <c r="CI36" s="22" t="str">
        <f t="shared" si="26"/>
        <v/>
      </c>
      <c r="CJ36" s="22" t="str">
        <f t="shared" si="26"/>
        <v/>
      </c>
      <c r="CK36" s="22" t="str">
        <f t="shared" si="26"/>
        <v/>
      </c>
      <c r="CL36" s="22" t="str">
        <f t="shared" si="24"/>
        <v/>
      </c>
      <c r="CM36" s="22" t="str">
        <f t="shared" si="13"/>
        <v/>
      </c>
      <c r="CN36" s="22" t="str">
        <f t="shared" si="13"/>
        <v/>
      </c>
      <c r="CO36" s="22" t="str">
        <f t="shared" si="13"/>
        <v/>
      </c>
      <c r="CP36" s="22" t="str">
        <f t="shared" si="13"/>
        <v/>
      </c>
      <c r="CQ36" s="22">
        <f t="shared" si="23"/>
        <v>10</v>
      </c>
      <c r="CR36" s="22">
        <f t="shared" si="3"/>
        <v>11</v>
      </c>
      <c r="CS36" s="22" t="str">
        <f t="shared" si="27"/>
        <v/>
      </c>
      <c r="CT36" s="22" t="str">
        <f t="shared" si="27"/>
        <v/>
      </c>
      <c r="CU36" s="22" t="str">
        <f t="shared" si="27"/>
        <v/>
      </c>
      <c r="CV36" s="22" t="str">
        <f t="shared" si="27"/>
        <v/>
      </c>
      <c r="CW36" s="22" t="str">
        <f t="shared" si="27"/>
        <v/>
      </c>
      <c r="CX36" s="22" t="str">
        <f t="shared" si="27"/>
        <v/>
      </c>
      <c r="CY36" s="22" t="str">
        <f t="shared" si="27"/>
        <v/>
      </c>
      <c r="CZ36" s="22" t="str">
        <f t="shared" si="27"/>
        <v/>
      </c>
      <c r="DA36" s="22" t="str">
        <f t="shared" si="27"/>
        <v/>
      </c>
      <c r="DB36" s="22" t="str">
        <f t="shared" si="27"/>
        <v/>
      </c>
      <c r="DC36" s="22" t="str">
        <f t="shared" si="27"/>
        <v/>
      </c>
      <c r="DD36" s="22" t="str">
        <f t="shared" si="27"/>
        <v/>
      </c>
      <c r="DE36" s="22" t="str">
        <f t="shared" si="27"/>
        <v/>
      </c>
      <c r="DF36" s="22" t="str">
        <f t="shared" si="27"/>
        <v/>
      </c>
      <c r="DG36" s="22" t="str">
        <f t="shared" si="27"/>
        <v/>
      </c>
      <c r="DH36" s="22" t="str">
        <f t="shared" si="25"/>
        <v/>
      </c>
      <c r="DI36" s="22" t="str">
        <f t="shared" si="15"/>
        <v/>
      </c>
      <c r="DJ36" s="22" t="str">
        <f t="shared" si="15"/>
        <v/>
      </c>
      <c r="DK36" s="22" t="str">
        <f t="shared" si="15"/>
        <v/>
      </c>
      <c r="DL36" s="22" t="str">
        <f t="shared" si="15"/>
        <v/>
      </c>
      <c r="DM36" s="22">
        <f t="shared" si="16"/>
        <v>0</v>
      </c>
      <c r="DN36" s="36">
        <f t="shared" si="28"/>
        <v>10</v>
      </c>
      <c r="DO36" s="36">
        <f t="shared" si="28"/>
        <v>10</v>
      </c>
      <c r="DP36" s="36">
        <f t="shared" si="28"/>
        <v>10</v>
      </c>
      <c r="DQ36" s="36">
        <f t="shared" si="28"/>
        <v>10</v>
      </c>
      <c r="DR36" s="36">
        <f t="shared" si="28"/>
        <v>10</v>
      </c>
      <c r="DS36" s="36">
        <f t="shared" si="28"/>
        <v>10</v>
      </c>
      <c r="DT36" s="36">
        <f t="shared" si="28"/>
        <v>10</v>
      </c>
      <c r="DU36" s="36">
        <f t="shared" si="28"/>
        <v>0</v>
      </c>
      <c r="DV36" s="36">
        <f t="shared" si="28"/>
        <v>0</v>
      </c>
      <c r="DW36" s="36">
        <f t="shared" si="28"/>
        <v>0</v>
      </c>
      <c r="DX36" s="23">
        <f t="shared" si="28"/>
        <v>7</v>
      </c>
      <c r="DY36" s="23">
        <f t="shared" si="28"/>
        <v>100</v>
      </c>
      <c r="DZ36" s="23">
        <f t="shared" si="28"/>
        <v>100</v>
      </c>
      <c r="EA36" s="23">
        <f t="shared" si="28"/>
        <v>0</v>
      </c>
      <c r="EB36" s="23">
        <f t="shared" si="28"/>
        <v>0</v>
      </c>
      <c r="EC36" s="23">
        <f t="shared" si="28"/>
        <v>0</v>
      </c>
      <c r="ED36" s="23">
        <f t="shared" si="30"/>
        <v>0</v>
      </c>
      <c r="EE36" s="23">
        <f t="shared" si="30"/>
        <v>0</v>
      </c>
      <c r="EF36" s="23">
        <f t="shared" si="30"/>
        <v>0</v>
      </c>
      <c r="EG36" s="23">
        <f t="shared" si="30"/>
        <v>0</v>
      </c>
      <c r="EH36" s="23">
        <f t="shared" si="30"/>
        <v>0</v>
      </c>
      <c r="EI36" s="23">
        <f t="shared" si="30"/>
        <v>2</v>
      </c>
      <c r="EJ36" s="23">
        <f t="shared" si="30"/>
        <v>100</v>
      </c>
    </row>
    <row r="37" spans="1:140" ht="9.9" customHeight="1" x14ac:dyDescent="0.3">
      <c r="A37" s="23">
        <v>28</v>
      </c>
      <c r="B37" s="37" t="str">
        <f>IF(PRELIM!B37="","",PRELIM!B37)</f>
        <v>RICALDE, HARVEY C.</v>
      </c>
      <c r="C37" s="69" t="s">
        <v>190</v>
      </c>
      <c r="D37" s="69" t="s">
        <v>190</v>
      </c>
      <c r="E37" s="69" t="s">
        <v>190</v>
      </c>
      <c r="F37" s="69" t="s">
        <v>190</v>
      </c>
      <c r="G37" s="69" t="s">
        <v>190</v>
      </c>
      <c r="H37" s="38" t="s">
        <v>190</v>
      </c>
      <c r="I37" s="38" t="s">
        <v>190</v>
      </c>
      <c r="J37" s="38" t="s">
        <v>190</v>
      </c>
      <c r="K37" s="38" t="s">
        <v>190</v>
      </c>
      <c r="L37" s="38" t="s">
        <v>190</v>
      </c>
      <c r="M37" s="38" t="s">
        <v>228</v>
      </c>
      <c r="N37" s="38"/>
      <c r="O37" s="38"/>
      <c r="P37" s="38"/>
      <c r="Q37" s="38"/>
      <c r="R37" s="38"/>
      <c r="S37" s="38"/>
      <c r="T37" s="38"/>
      <c r="U37" s="38"/>
      <c r="V37" s="38"/>
      <c r="W37" s="39">
        <f t="shared" si="6"/>
        <v>94.545454545454547</v>
      </c>
      <c r="X37" s="38">
        <v>2</v>
      </c>
      <c r="Y37" s="38">
        <v>3</v>
      </c>
      <c r="Z37" s="38">
        <v>7</v>
      </c>
      <c r="AA37" s="38">
        <v>8</v>
      </c>
      <c r="AB37" s="38">
        <v>9</v>
      </c>
      <c r="AC37" s="38">
        <v>9</v>
      </c>
      <c r="AD37" s="38">
        <v>9</v>
      </c>
      <c r="AE37" s="38"/>
      <c r="AF37" s="38"/>
      <c r="AG37" s="38"/>
      <c r="AH37" s="40">
        <f t="shared" si="33"/>
        <v>52</v>
      </c>
      <c r="AI37" s="40">
        <f t="shared" si="33"/>
        <v>58</v>
      </c>
      <c r="AJ37" s="40">
        <f t="shared" si="33"/>
        <v>82</v>
      </c>
      <c r="AK37" s="40">
        <f t="shared" si="33"/>
        <v>88</v>
      </c>
      <c r="AL37" s="40">
        <f t="shared" si="33"/>
        <v>94</v>
      </c>
      <c r="AM37" s="40">
        <f t="shared" si="31"/>
        <v>94</v>
      </c>
      <c r="AN37" s="40">
        <f t="shared" si="31"/>
        <v>94</v>
      </c>
      <c r="AO37" s="40" t="str">
        <f t="shared" si="31"/>
        <v xml:space="preserve"> </v>
      </c>
      <c r="AP37" s="40" t="str">
        <f t="shared" si="31"/>
        <v xml:space="preserve"> </v>
      </c>
      <c r="AQ37" s="40" t="str">
        <f t="shared" si="31"/>
        <v xml:space="preserve"> </v>
      </c>
      <c r="AR37" s="41">
        <f t="shared" si="8"/>
        <v>80.285714285714292</v>
      </c>
      <c r="AS37" s="38">
        <v>100</v>
      </c>
      <c r="AT37" s="164">
        <f t="shared" si="20"/>
        <v>95</v>
      </c>
      <c r="AU37" s="38"/>
      <c r="AV37" s="38"/>
      <c r="AW37" s="38"/>
      <c r="AX37" s="38"/>
      <c r="AY37" s="38"/>
      <c r="AZ37" s="38"/>
      <c r="BA37" s="38"/>
      <c r="BB37" s="38"/>
      <c r="BC37" s="42">
        <f t="shared" si="34"/>
        <v>100</v>
      </c>
      <c r="BD37" s="42">
        <f t="shared" si="34"/>
        <v>97</v>
      </c>
      <c r="BE37" s="42" t="str">
        <f t="shared" si="34"/>
        <v xml:space="preserve"> </v>
      </c>
      <c r="BF37" s="42" t="str">
        <f t="shared" si="34"/>
        <v xml:space="preserve"> </v>
      </c>
      <c r="BG37" s="42" t="str">
        <f t="shared" si="34"/>
        <v xml:space="preserve"> </v>
      </c>
      <c r="BH37" s="42" t="str">
        <f t="shared" si="32"/>
        <v xml:space="preserve"> </v>
      </c>
      <c r="BI37" s="42" t="str">
        <f t="shared" si="32"/>
        <v xml:space="preserve"> </v>
      </c>
      <c r="BJ37" s="42" t="str">
        <f t="shared" si="32"/>
        <v xml:space="preserve"> </v>
      </c>
      <c r="BK37" s="42" t="str">
        <f t="shared" si="32"/>
        <v xml:space="preserve"> </v>
      </c>
      <c r="BL37" s="42" t="str">
        <f t="shared" si="32"/>
        <v xml:space="preserve"> </v>
      </c>
      <c r="BM37" s="43">
        <f t="shared" si="10"/>
        <v>98.5</v>
      </c>
      <c r="BN37" s="38">
        <v>57</v>
      </c>
      <c r="BO37" s="44">
        <f t="shared" si="11"/>
        <v>74.199999999999989</v>
      </c>
      <c r="BP37" s="20"/>
      <c r="BQ37" s="39">
        <f t="shared" si="21"/>
        <v>80.383701298701283</v>
      </c>
      <c r="BR37" s="23" t="str">
        <f t="shared" si="22"/>
        <v>PASSED</v>
      </c>
      <c r="BS37" s="45"/>
      <c r="BT37" s="46"/>
      <c r="BU37" s="46"/>
      <c r="BV37" s="46"/>
      <c r="BW37" s="21">
        <f t="shared" si="26"/>
        <v>1</v>
      </c>
      <c r="BX37" s="22">
        <f t="shared" si="26"/>
        <v>1</v>
      </c>
      <c r="BY37" s="22">
        <f t="shared" si="26"/>
        <v>1</v>
      </c>
      <c r="BZ37" s="22">
        <f t="shared" si="26"/>
        <v>1</v>
      </c>
      <c r="CA37" s="22">
        <f t="shared" si="26"/>
        <v>1</v>
      </c>
      <c r="CB37" s="22">
        <f t="shared" si="26"/>
        <v>1</v>
      </c>
      <c r="CC37" s="22">
        <f t="shared" si="26"/>
        <v>1</v>
      </c>
      <c r="CD37" s="22">
        <f t="shared" si="26"/>
        <v>1</v>
      </c>
      <c r="CE37" s="22">
        <f t="shared" si="26"/>
        <v>1</v>
      </c>
      <c r="CF37" s="22">
        <f t="shared" si="26"/>
        <v>1</v>
      </c>
      <c r="CG37" s="22" t="str">
        <f t="shared" si="26"/>
        <v/>
      </c>
      <c r="CH37" s="22" t="str">
        <f t="shared" si="26"/>
        <v/>
      </c>
      <c r="CI37" s="22" t="str">
        <f t="shared" si="26"/>
        <v/>
      </c>
      <c r="CJ37" s="22" t="str">
        <f t="shared" si="26"/>
        <v/>
      </c>
      <c r="CK37" s="22" t="str">
        <f t="shared" si="26"/>
        <v/>
      </c>
      <c r="CL37" s="22" t="str">
        <f t="shared" si="24"/>
        <v/>
      </c>
      <c r="CM37" s="22" t="str">
        <f t="shared" si="13"/>
        <v/>
      </c>
      <c r="CN37" s="22" t="str">
        <f t="shared" si="13"/>
        <v/>
      </c>
      <c r="CO37" s="22" t="str">
        <f t="shared" si="13"/>
        <v/>
      </c>
      <c r="CP37" s="22" t="str">
        <f t="shared" si="13"/>
        <v/>
      </c>
      <c r="CQ37" s="22">
        <f t="shared" si="23"/>
        <v>10</v>
      </c>
      <c r="CR37" s="22">
        <f t="shared" si="3"/>
        <v>11</v>
      </c>
      <c r="CS37" s="22" t="str">
        <f t="shared" si="27"/>
        <v/>
      </c>
      <c r="CT37" s="22" t="str">
        <f t="shared" si="27"/>
        <v/>
      </c>
      <c r="CU37" s="22" t="str">
        <f t="shared" si="27"/>
        <v/>
      </c>
      <c r="CV37" s="22" t="str">
        <f t="shared" si="27"/>
        <v/>
      </c>
      <c r="CW37" s="22" t="str">
        <f t="shared" si="27"/>
        <v/>
      </c>
      <c r="CX37" s="22" t="str">
        <f t="shared" si="27"/>
        <v/>
      </c>
      <c r="CY37" s="22" t="str">
        <f t="shared" si="27"/>
        <v/>
      </c>
      <c r="CZ37" s="22" t="str">
        <f t="shared" si="27"/>
        <v/>
      </c>
      <c r="DA37" s="22" t="str">
        <f t="shared" si="27"/>
        <v/>
      </c>
      <c r="DB37" s="22" t="str">
        <f t="shared" si="27"/>
        <v/>
      </c>
      <c r="DC37" s="22" t="str">
        <f t="shared" si="27"/>
        <v/>
      </c>
      <c r="DD37" s="22" t="str">
        <f t="shared" si="27"/>
        <v/>
      </c>
      <c r="DE37" s="22" t="str">
        <f t="shared" si="27"/>
        <v/>
      </c>
      <c r="DF37" s="22" t="str">
        <f t="shared" si="27"/>
        <v/>
      </c>
      <c r="DG37" s="22" t="str">
        <f t="shared" si="27"/>
        <v/>
      </c>
      <c r="DH37" s="22" t="str">
        <f t="shared" si="25"/>
        <v/>
      </c>
      <c r="DI37" s="22" t="str">
        <f t="shared" si="15"/>
        <v/>
      </c>
      <c r="DJ37" s="22" t="str">
        <f t="shared" si="15"/>
        <v/>
      </c>
      <c r="DK37" s="22" t="str">
        <f t="shared" si="15"/>
        <v/>
      </c>
      <c r="DL37" s="22" t="str">
        <f t="shared" si="15"/>
        <v/>
      </c>
      <c r="DM37" s="22">
        <f t="shared" si="16"/>
        <v>0</v>
      </c>
      <c r="DN37" s="36">
        <f t="shared" si="28"/>
        <v>10</v>
      </c>
      <c r="DO37" s="36">
        <f t="shared" si="28"/>
        <v>10</v>
      </c>
      <c r="DP37" s="36">
        <f t="shared" si="28"/>
        <v>10</v>
      </c>
      <c r="DQ37" s="36">
        <f t="shared" si="28"/>
        <v>10</v>
      </c>
      <c r="DR37" s="36">
        <f t="shared" si="28"/>
        <v>10</v>
      </c>
      <c r="DS37" s="36">
        <f t="shared" si="28"/>
        <v>10</v>
      </c>
      <c r="DT37" s="36">
        <f t="shared" si="28"/>
        <v>10</v>
      </c>
      <c r="DU37" s="36">
        <f t="shared" si="28"/>
        <v>0</v>
      </c>
      <c r="DV37" s="36">
        <f t="shared" si="28"/>
        <v>0</v>
      </c>
      <c r="DW37" s="36">
        <f t="shared" si="28"/>
        <v>0</v>
      </c>
      <c r="DX37" s="23">
        <f t="shared" si="28"/>
        <v>7</v>
      </c>
      <c r="DY37" s="23">
        <f t="shared" si="28"/>
        <v>100</v>
      </c>
      <c r="DZ37" s="23">
        <f t="shared" si="28"/>
        <v>100</v>
      </c>
      <c r="EA37" s="23">
        <f t="shared" si="28"/>
        <v>0</v>
      </c>
      <c r="EB37" s="23">
        <f t="shared" si="28"/>
        <v>0</v>
      </c>
      <c r="EC37" s="23">
        <f t="shared" si="28"/>
        <v>0</v>
      </c>
      <c r="ED37" s="23">
        <f t="shared" si="30"/>
        <v>0</v>
      </c>
      <c r="EE37" s="23">
        <f t="shared" si="30"/>
        <v>0</v>
      </c>
      <c r="EF37" s="23">
        <f t="shared" si="30"/>
        <v>0</v>
      </c>
      <c r="EG37" s="23">
        <f t="shared" si="30"/>
        <v>0</v>
      </c>
      <c r="EH37" s="23">
        <f t="shared" si="30"/>
        <v>0</v>
      </c>
      <c r="EI37" s="23">
        <f t="shared" si="30"/>
        <v>2</v>
      </c>
      <c r="EJ37" s="23">
        <f t="shared" si="30"/>
        <v>100</v>
      </c>
    </row>
    <row r="38" spans="1:140" ht="9.9" customHeight="1" x14ac:dyDescent="0.3">
      <c r="A38" s="23">
        <v>29</v>
      </c>
      <c r="B38" s="37" t="str">
        <f>IF(PRELIM!B38="","",PRELIM!B38)</f>
        <v>ROJAS, CYREL KEN L.</v>
      </c>
      <c r="C38" s="69" t="s">
        <v>190</v>
      </c>
      <c r="D38" s="69" t="s">
        <v>190</v>
      </c>
      <c r="E38" s="69" t="s">
        <v>190</v>
      </c>
      <c r="F38" s="69" t="s">
        <v>190</v>
      </c>
      <c r="G38" s="69" t="s">
        <v>190</v>
      </c>
      <c r="H38" s="38" t="s">
        <v>190</v>
      </c>
      <c r="I38" s="38" t="s">
        <v>190</v>
      </c>
      <c r="J38" s="38" t="s">
        <v>190</v>
      </c>
      <c r="K38" s="38" t="s">
        <v>190</v>
      </c>
      <c r="L38" s="38" t="s">
        <v>190</v>
      </c>
      <c r="M38" s="38" t="s">
        <v>190</v>
      </c>
      <c r="N38" s="38"/>
      <c r="O38" s="38"/>
      <c r="P38" s="38"/>
      <c r="Q38" s="38"/>
      <c r="R38" s="38"/>
      <c r="S38" s="38"/>
      <c r="T38" s="38"/>
      <c r="U38" s="38"/>
      <c r="V38" s="38"/>
      <c r="W38" s="39">
        <f t="shared" si="6"/>
        <v>100</v>
      </c>
      <c r="X38" s="38">
        <v>4</v>
      </c>
      <c r="Y38" s="38">
        <v>1</v>
      </c>
      <c r="Z38" s="38">
        <v>7</v>
      </c>
      <c r="AA38" s="38">
        <v>9</v>
      </c>
      <c r="AB38" s="38">
        <v>6</v>
      </c>
      <c r="AC38" s="38">
        <v>9</v>
      </c>
      <c r="AD38" s="38">
        <v>9</v>
      </c>
      <c r="AE38" s="38"/>
      <c r="AF38" s="38"/>
      <c r="AG38" s="38"/>
      <c r="AH38" s="40">
        <f t="shared" si="33"/>
        <v>64</v>
      </c>
      <c r="AI38" s="40">
        <f t="shared" si="33"/>
        <v>46</v>
      </c>
      <c r="AJ38" s="40">
        <f t="shared" si="33"/>
        <v>82</v>
      </c>
      <c r="AK38" s="40">
        <f t="shared" si="33"/>
        <v>94</v>
      </c>
      <c r="AL38" s="40">
        <f t="shared" si="33"/>
        <v>76</v>
      </c>
      <c r="AM38" s="40">
        <f t="shared" si="31"/>
        <v>94</v>
      </c>
      <c r="AN38" s="40">
        <f t="shared" si="31"/>
        <v>94</v>
      </c>
      <c r="AO38" s="40" t="str">
        <f t="shared" si="31"/>
        <v xml:space="preserve"> </v>
      </c>
      <c r="AP38" s="40" t="str">
        <f t="shared" si="31"/>
        <v xml:space="preserve"> </v>
      </c>
      <c r="AQ38" s="40" t="str">
        <f t="shared" si="31"/>
        <v xml:space="preserve"> </v>
      </c>
      <c r="AR38" s="41">
        <f t="shared" si="8"/>
        <v>78.571428571428569</v>
      </c>
      <c r="AS38" s="38">
        <v>100</v>
      </c>
      <c r="AT38" s="164">
        <f t="shared" si="20"/>
        <v>100</v>
      </c>
      <c r="AU38" s="38"/>
      <c r="AV38" s="38"/>
      <c r="AW38" s="38"/>
      <c r="AX38" s="38"/>
      <c r="AY38" s="38"/>
      <c r="AZ38" s="38"/>
      <c r="BA38" s="38"/>
      <c r="BB38" s="38"/>
      <c r="BC38" s="42">
        <f t="shared" si="34"/>
        <v>100</v>
      </c>
      <c r="BD38" s="42">
        <f t="shared" si="34"/>
        <v>100</v>
      </c>
      <c r="BE38" s="42" t="str">
        <f t="shared" si="34"/>
        <v xml:space="preserve"> </v>
      </c>
      <c r="BF38" s="42" t="str">
        <f t="shared" si="34"/>
        <v xml:space="preserve"> </v>
      </c>
      <c r="BG38" s="42" t="str">
        <f t="shared" si="34"/>
        <v xml:space="preserve"> </v>
      </c>
      <c r="BH38" s="42" t="str">
        <f t="shared" si="32"/>
        <v xml:space="preserve"> </v>
      </c>
      <c r="BI38" s="42" t="str">
        <f t="shared" si="32"/>
        <v xml:space="preserve"> </v>
      </c>
      <c r="BJ38" s="42" t="str">
        <f t="shared" si="32"/>
        <v xml:space="preserve"> </v>
      </c>
      <c r="BK38" s="42" t="str">
        <f t="shared" si="32"/>
        <v xml:space="preserve"> </v>
      </c>
      <c r="BL38" s="42" t="str">
        <f t="shared" si="32"/>
        <v xml:space="preserve"> </v>
      </c>
      <c r="BM38" s="43">
        <f t="shared" si="10"/>
        <v>100</v>
      </c>
      <c r="BN38" s="38">
        <v>70</v>
      </c>
      <c r="BO38" s="44">
        <f t="shared" si="11"/>
        <v>82</v>
      </c>
      <c r="BP38" s="20"/>
      <c r="BQ38" s="39">
        <f t="shared" si="21"/>
        <v>84.742857142857133</v>
      </c>
      <c r="BR38" s="23" t="str">
        <f t="shared" si="22"/>
        <v>PASSED</v>
      </c>
      <c r="BS38" s="45"/>
      <c r="BT38" s="46"/>
      <c r="BU38" s="46"/>
      <c r="BV38" s="46"/>
      <c r="BW38" s="21">
        <f t="shared" si="26"/>
        <v>1</v>
      </c>
      <c r="BX38" s="22">
        <f t="shared" si="26"/>
        <v>1</v>
      </c>
      <c r="BY38" s="22">
        <f t="shared" si="26"/>
        <v>1</v>
      </c>
      <c r="BZ38" s="22">
        <f t="shared" si="26"/>
        <v>1</v>
      </c>
      <c r="CA38" s="22">
        <f t="shared" si="26"/>
        <v>1</v>
      </c>
      <c r="CB38" s="22">
        <f t="shared" si="26"/>
        <v>1</v>
      </c>
      <c r="CC38" s="22">
        <f t="shared" si="26"/>
        <v>1</v>
      </c>
      <c r="CD38" s="22">
        <f t="shared" si="26"/>
        <v>1</v>
      </c>
      <c r="CE38" s="22">
        <f t="shared" si="26"/>
        <v>1</v>
      </c>
      <c r="CF38" s="22">
        <f t="shared" si="26"/>
        <v>1</v>
      </c>
      <c r="CG38" s="22">
        <f t="shared" si="26"/>
        <v>1</v>
      </c>
      <c r="CH38" s="22" t="str">
        <f t="shared" si="26"/>
        <v/>
      </c>
      <c r="CI38" s="22" t="str">
        <f t="shared" si="26"/>
        <v/>
      </c>
      <c r="CJ38" s="22" t="str">
        <f t="shared" si="26"/>
        <v/>
      </c>
      <c r="CK38" s="22" t="str">
        <f t="shared" si="26"/>
        <v/>
      </c>
      <c r="CL38" s="22" t="str">
        <f t="shared" si="24"/>
        <v/>
      </c>
      <c r="CM38" s="22" t="str">
        <f t="shared" si="13"/>
        <v/>
      </c>
      <c r="CN38" s="22" t="str">
        <f t="shared" si="13"/>
        <v/>
      </c>
      <c r="CO38" s="22" t="str">
        <f t="shared" si="13"/>
        <v/>
      </c>
      <c r="CP38" s="22" t="str">
        <f t="shared" si="13"/>
        <v/>
      </c>
      <c r="CQ38" s="22">
        <f t="shared" si="23"/>
        <v>11</v>
      </c>
      <c r="CR38" s="22">
        <f t="shared" si="3"/>
        <v>11</v>
      </c>
      <c r="CS38" s="22" t="str">
        <f t="shared" si="27"/>
        <v/>
      </c>
      <c r="CT38" s="22" t="str">
        <f t="shared" si="27"/>
        <v/>
      </c>
      <c r="CU38" s="22" t="str">
        <f t="shared" si="27"/>
        <v/>
      </c>
      <c r="CV38" s="22" t="str">
        <f t="shared" si="27"/>
        <v/>
      </c>
      <c r="CW38" s="22" t="str">
        <f t="shared" si="27"/>
        <v/>
      </c>
      <c r="CX38" s="22" t="str">
        <f t="shared" si="27"/>
        <v/>
      </c>
      <c r="CY38" s="22" t="str">
        <f t="shared" si="27"/>
        <v/>
      </c>
      <c r="CZ38" s="22" t="str">
        <f t="shared" si="27"/>
        <v/>
      </c>
      <c r="DA38" s="22" t="str">
        <f t="shared" si="27"/>
        <v/>
      </c>
      <c r="DB38" s="22" t="str">
        <f t="shared" si="27"/>
        <v/>
      </c>
      <c r="DC38" s="22" t="str">
        <f t="shared" si="27"/>
        <v/>
      </c>
      <c r="DD38" s="22" t="str">
        <f t="shared" si="27"/>
        <v/>
      </c>
      <c r="DE38" s="22" t="str">
        <f t="shared" si="27"/>
        <v/>
      </c>
      <c r="DF38" s="22" t="str">
        <f t="shared" si="27"/>
        <v/>
      </c>
      <c r="DG38" s="22" t="str">
        <f t="shared" si="27"/>
        <v/>
      </c>
      <c r="DH38" s="22" t="str">
        <f t="shared" si="25"/>
        <v/>
      </c>
      <c r="DI38" s="22" t="str">
        <f t="shared" si="15"/>
        <v/>
      </c>
      <c r="DJ38" s="22" t="str">
        <f t="shared" si="15"/>
        <v/>
      </c>
      <c r="DK38" s="22" t="str">
        <f t="shared" si="15"/>
        <v/>
      </c>
      <c r="DL38" s="22" t="str">
        <f t="shared" si="15"/>
        <v/>
      </c>
      <c r="DM38" s="22">
        <f t="shared" si="16"/>
        <v>0</v>
      </c>
      <c r="DN38" s="36">
        <f t="shared" si="28"/>
        <v>10</v>
      </c>
      <c r="DO38" s="36">
        <f t="shared" si="28"/>
        <v>10</v>
      </c>
      <c r="DP38" s="36">
        <f t="shared" si="28"/>
        <v>10</v>
      </c>
      <c r="DQ38" s="36">
        <f t="shared" si="28"/>
        <v>10</v>
      </c>
      <c r="DR38" s="36">
        <f t="shared" si="28"/>
        <v>10</v>
      </c>
      <c r="DS38" s="36">
        <f t="shared" si="28"/>
        <v>10</v>
      </c>
      <c r="DT38" s="36">
        <f t="shared" si="28"/>
        <v>10</v>
      </c>
      <c r="DU38" s="36">
        <f t="shared" si="28"/>
        <v>0</v>
      </c>
      <c r="DV38" s="36">
        <f t="shared" si="28"/>
        <v>0</v>
      </c>
      <c r="DW38" s="36">
        <f t="shared" si="28"/>
        <v>0</v>
      </c>
      <c r="DX38" s="23">
        <f t="shared" si="28"/>
        <v>7</v>
      </c>
      <c r="DY38" s="23">
        <f t="shared" si="28"/>
        <v>100</v>
      </c>
      <c r="DZ38" s="23">
        <f t="shared" si="28"/>
        <v>100</v>
      </c>
      <c r="EA38" s="23">
        <f t="shared" si="28"/>
        <v>0</v>
      </c>
      <c r="EB38" s="23">
        <f t="shared" si="28"/>
        <v>0</v>
      </c>
      <c r="EC38" s="23">
        <f t="shared" si="28"/>
        <v>0</v>
      </c>
      <c r="ED38" s="23">
        <f t="shared" si="30"/>
        <v>0</v>
      </c>
      <c r="EE38" s="23">
        <f t="shared" si="30"/>
        <v>0</v>
      </c>
      <c r="EF38" s="23">
        <f t="shared" si="30"/>
        <v>0</v>
      </c>
      <c r="EG38" s="23">
        <f t="shared" si="30"/>
        <v>0</v>
      </c>
      <c r="EH38" s="23">
        <f t="shared" si="30"/>
        <v>0</v>
      </c>
      <c r="EI38" s="23">
        <f t="shared" si="30"/>
        <v>2</v>
      </c>
      <c r="EJ38" s="23">
        <f t="shared" si="30"/>
        <v>100</v>
      </c>
    </row>
    <row r="39" spans="1:140" ht="9.9" customHeight="1" x14ac:dyDescent="0.3">
      <c r="A39" s="23">
        <v>30</v>
      </c>
      <c r="B39" s="37" t="str">
        <f>IF(PRELIM!B39="","",PRELIM!B39)</f>
        <v>SAMLING, GHEZERIE C.</v>
      </c>
      <c r="C39" s="69" t="s">
        <v>190</v>
      </c>
      <c r="D39" s="69" t="s">
        <v>190</v>
      </c>
      <c r="E39" s="69" t="s">
        <v>190</v>
      </c>
      <c r="F39" s="69" t="s">
        <v>190</v>
      </c>
      <c r="G39" s="69" t="s">
        <v>190</v>
      </c>
      <c r="H39" s="38" t="s">
        <v>190</v>
      </c>
      <c r="I39" s="38" t="s">
        <v>190</v>
      </c>
      <c r="J39" s="38" t="s">
        <v>190</v>
      </c>
      <c r="K39" s="38" t="s">
        <v>190</v>
      </c>
      <c r="L39" s="38" t="s">
        <v>190</v>
      </c>
      <c r="M39" s="38" t="s">
        <v>190</v>
      </c>
      <c r="N39" s="38"/>
      <c r="O39" s="38"/>
      <c r="P39" s="38"/>
      <c r="Q39" s="38"/>
      <c r="R39" s="38"/>
      <c r="S39" s="38"/>
      <c r="T39" s="38"/>
      <c r="U39" s="38"/>
      <c r="V39" s="38"/>
      <c r="W39" s="39">
        <f t="shared" si="6"/>
        <v>100</v>
      </c>
      <c r="X39" s="38">
        <v>3</v>
      </c>
      <c r="Y39" s="38">
        <v>0</v>
      </c>
      <c r="Z39" s="38">
        <v>6</v>
      </c>
      <c r="AA39" s="38">
        <v>2</v>
      </c>
      <c r="AB39" s="38">
        <v>6</v>
      </c>
      <c r="AC39" s="38">
        <v>7</v>
      </c>
      <c r="AD39" s="38">
        <v>7</v>
      </c>
      <c r="AE39" s="38"/>
      <c r="AF39" s="38"/>
      <c r="AG39" s="38"/>
      <c r="AH39" s="40">
        <f t="shared" si="33"/>
        <v>58</v>
      </c>
      <c r="AI39" s="40">
        <f t="shared" si="33"/>
        <v>40</v>
      </c>
      <c r="AJ39" s="40">
        <f t="shared" si="33"/>
        <v>76</v>
      </c>
      <c r="AK39" s="40">
        <f t="shared" si="33"/>
        <v>52</v>
      </c>
      <c r="AL39" s="40">
        <f t="shared" si="33"/>
        <v>76</v>
      </c>
      <c r="AM39" s="40">
        <f t="shared" si="31"/>
        <v>82</v>
      </c>
      <c r="AN39" s="40">
        <f t="shared" si="31"/>
        <v>82</v>
      </c>
      <c r="AO39" s="40" t="str">
        <f t="shared" si="31"/>
        <v xml:space="preserve"> </v>
      </c>
      <c r="AP39" s="40" t="str">
        <f t="shared" si="31"/>
        <v xml:space="preserve"> </v>
      </c>
      <c r="AQ39" s="40" t="str">
        <f t="shared" si="31"/>
        <v xml:space="preserve"> </v>
      </c>
      <c r="AR39" s="41">
        <f t="shared" si="8"/>
        <v>66.571428571428569</v>
      </c>
      <c r="AS39" s="38">
        <v>100</v>
      </c>
      <c r="AT39" s="164">
        <f t="shared" si="20"/>
        <v>100</v>
      </c>
      <c r="AU39" s="38"/>
      <c r="AV39" s="38"/>
      <c r="AW39" s="38"/>
      <c r="AX39" s="38"/>
      <c r="AY39" s="38"/>
      <c r="AZ39" s="38"/>
      <c r="BA39" s="38"/>
      <c r="BB39" s="38"/>
      <c r="BC39" s="42">
        <f t="shared" si="34"/>
        <v>100</v>
      </c>
      <c r="BD39" s="42">
        <f t="shared" si="34"/>
        <v>100</v>
      </c>
      <c r="BE39" s="42" t="str">
        <f t="shared" si="34"/>
        <v xml:space="preserve"> </v>
      </c>
      <c r="BF39" s="42" t="str">
        <f t="shared" si="34"/>
        <v xml:space="preserve"> </v>
      </c>
      <c r="BG39" s="42" t="str">
        <f t="shared" si="34"/>
        <v xml:space="preserve"> </v>
      </c>
      <c r="BH39" s="42" t="str">
        <f t="shared" si="32"/>
        <v xml:space="preserve"> </v>
      </c>
      <c r="BI39" s="42" t="str">
        <f t="shared" si="32"/>
        <v xml:space="preserve"> </v>
      </c>
      <c r="BJ39" s="42" t="str">
        <f t="shared" si="32"/>
        <v xml:space="preserve"> </v>
      </c>
      <c r="BK39" s="42" t="str">
        <f t="shared" si="32"/>
        <v xml:space="preserve"> </v>
      </c>
      <c r="BL39" s="42" t="str">
        <f t="shared" si="32"/>
        <v xml:space="preserve"> </v>
      </c>
      <c r="BM39" s="43">
        <f t="shared" si="10"/>
        <v>100</v>
      </c>
      <c r="BN39" s="38">
        <v>49</v>
      </c>
      <c r="BO39" s="44">
        <f t="shared" si="11"/>
        <v>69.400000000000006</v>
      </c>
      <c r="BP39" s="20"/>
      <c r="BQ39" s="39">
        <f t="shared" si="21"/>
        <v>74.812857142857155</v>
      </c>
      <c r="BR39" s="23" t="str">
        <f t="shared" si="22"/>
        <v>PASSED</v>
      </c>
      <c r="BS39" s="45"/>
      <c r="BT39" s="46"/>
      <c r="BU39" s="46"/>
      <c r="BV39" s="46"/>
      <c r="BW39" s="21">
        <f t="shared" si="26"/>
        <v>1</v>
      </c>
      <c r="BX39" s="22">
        <f t="shared" si="26"/>
        <v>1</v>
      </c>
      <c r="BY39" s="22">
        <f t="shared" si="26"/>
        <v>1</v>
      </c>
      <c r="BZ39" s="22">
        <f t="shared" si="26"/>
        <v>1</v>
      </c>
      <c r="CA39" s="22">
        <f t="shared" si="26"/>
        <v>1</v>
      </c>
      <c r="CB39" s="22">
        <f t="shared" si="26"/>
        <v>1</v>
      </c>
      <c r="CC39" s="22">
        <f t="shared" si="26"/>
        <v>1</v>
      </c>
      <c r="CD39" s="22">
        <f t="shared" si="26"/>
        <v>1</v>
      </c>
      <c r="CE39" s="22">
        <f t="shared" si="26"/>
        <v>1</v>
      </c>
      <c r="CF39" s="22">
        <f t="shared" si="26"/>
        <v>1</v>
      </c>
      <c r="CG39" s="22">
        <f t="shared" si="26"/>
        <v>1</v>
      </c>
      <c r="CH39" s="22" t="str">
        <f t="shared" si="26"/>
        <v/>
      </c>
      <c r="CI39" s="22" t="str">
        <f t="shared" si="26"/>
        <v/>
      </c>
      <c r="CJ39" s="22" t="str">
        <f t="shared" si="26"/>
        <v/>
      </c>
      <c r="CK39" s="22" t="str">
        <f t="shared" si="26"/>
        <v/>
      </c>
      <c r="CL39" s="22" t="str">
        <f t="shared" si="24"/>
        <v/>
      </c>
      <c r="CM39" s="22" t="str">
        <f t="shared" si="13"/>
        <v/>
      </c>
      <c r="CN39" s="22" t="str">
        <f t="shared" si="13"/>
        <v/>
      </c>
      <c r="CO39" s="22" t="str">
        <f t="shared" si="13"/>
        <v/>
      </c>
      <c r="CP39" s="22" t="str">
        <f t="shared" si="13"/>
        <v/>
      </c>
      <c r="CQ39" s="22">
        <f t="shared" si="23"/>
        <v>11</v>
      </c>
      <c r="CR39" s="22">
        <f t="shared" si="3"/>
        <v>11</v>
      </c>
      <c r="CS39" s="22" t="str">
        <f t="shared" si="27"/>
        <v/>
      </c>
      <c r="CT39" s="22" t="str">
        <f t="shared" si="27"/>
        <v/>
      </c>
      <c r="CU39" s="22" t="str">
        <f t="shared" si="27"/>
        <v/>
      </c>
      <c r="CV39" s="22" t="str">
        <f t="shared" si="27"/>
        <v/>
      </c>
      <c r="CW39" s="22" t="str">
        <f t="shared" si="27"/>
        <v/>
      </c>
      <c r="CX39" s="22" t="str">
        <f t="shared" si="27"/>
        <v/>
      </c>
      <c r="CY39" s="22" t="str">
        <f t="shared" si="27"/>
        <v/>
      </c>
      <c r="CZ39" s="22" t="str">
        <f t="shared" si="27"/>
        <v/>
      </c>
      <c r="DA39" s="22" t="str">
        <f t="shared" si="27"/>
        <v/>
      </c>
      <c r="DB39" s="22" t="str">
        <f t="shared" si="27"/>
        <v/>
      </c>
      <c r="DC39" s="22" t="str">
        <f t="shared" si="27"/>
        <v/>
      </c>
      <c r="DD39" s="22" t="str">
        <f t="shared" si="27"/>
        <v/>
      </c>
      <c r="DE39" s="22" t="str">
        <f t="shared" si="27"/>
        <v/>
      </c>
      <c r="DF39" s="22" t="str">
        <f t="shared" si="27"/>
        <v/>
      </c>
      <c r="DG39" s="22" t="str">
        <f t="shared" si="27"/>
        <v/>
      </c>
      <c r="DH39" s="22" t="str">
        <f t="shared" si="25"/>
        <v/>
      </c>
      <c r="DI39" s="22" t="str">
        <f t="shared" si="15"/>
        <v/>
      </c>
      <c r="DJ39" s="22" t="str">
        <f t="shared" si="15"/>
        <v/>
      </c>
      <c r="DK39" s="22" t="str">
        <f t="shared" si="15"/>
        <v/>
      </c>
      <c r="DL39" s="22" t="str">
        <f t="shared" si="15"/>
        <v/>
      </c>
      <c r="DM39" s="22">
        <f t="shared" si="16"/>
        <v>0</v>
      </c>
      <c r="DN39" s="36">
        <f t="shared" si="28"/>
        <v>10</v>
      </c>
      <c r="DO39" s="36">
        <f t="shared" si="28"/>
        <v>10</v>
      </c>
      <c r="DP39" s="36">
        <f t="shared" si="28"/>
        <v>10</v>
      </c>
      <c r="DQ39" s="36">
        <f t="shared" si="28"/>
        <v>10</v>
      </c>
      <c r="DR39" s="36">
        <f t="shared" si="28"/>
        <v>10</v>
      </c>
      <c r="DS39" s="36">
        <f t="shared" si="28"/>
        <v>10</v>
      </c>
      <c r="DT39" s="36">
        <f t="shared" si="28"/>
        <v>10</v>
      </c>
      <c r="DU39" s="36">
        <f t="shared" si="28"/>
        <v>0</v>
      </c>
      <c r="DV39" s="36">
        <f t="shared" si="28"/>
        <v>0</v>
      </c>
      <c r="DW39" s="36">
        <f t="shared" si="28"/>
        <v>0</v>
      </c>
      <c r="DX39" s="23">
        <f t="shared" si="28"/>
        <v>7</v>
      </c>
      <c r="DY39" s="23">
        <f t="shared" si="28"/>
        <v>100</v>
      </c>
      <c r="DZ39" s="23">
        <f t="shared" si="28"/>
        <v>100</v>
      </c>
      <c r="EA39" s="23">
        <f t="shared" si="28"/>
        <v>0</v>
      </c>
      <c r="EB39" s="23">
        <f t="shared" si="28"/>
        <v>0</v>
      </c>
      <c r="EC39" s="23">
        <f t="shared" si="28"/>
        <v>0</v>
      </c>
      <c r="ED39" s="23">
        <f t="shared" si="30"/>
        <v>0</v>
      </c>
      <c r="EE39" s="23">
        <f t="shared" si="30"/>
        <v>0</v>
      </c>
      <c r="EF39" s="23">
        <f t="shared" si="30"/>
        <v>0</v>
      </c>
      <c r="EG39" s="23">
        <f t="shared" si="30"/>
        <v>0</v>
      </c>
      <c r="EH39" s="23">
        <f t="shared" si="30"/>
        <v>0</v>
      </c>
      <c r="EI39" s="23">
        <f t="shared" si="30"/>
        <v>2</v>
      </c>
      <c r="EJ39" s="23">
        <f t="shared" si="30"/>
        <v>100</v>
      </c>
    </row>
    <row r="40" spans="1:140" ht="9.9" customHeight="1" x14ac:dyDescent="0.3">
      <c r="A40" s="23">
        <v>31</v>
      </c>
      <c r="B40" s="37" t="str">
        <f>IF(PRELIM!B40="","",PRELIM!B40)</f>
        <v>SAPIO, DIETHER E.</v>
      </c>
      <c r="C40" s="69" t="s">
        <v>190</v>
      </c>
      <c r="D40" s="69" t="s">
        <v>190</v>
      </c>
      <c r="E40" s="69" t="s">
        <v>190</v>
      </c>
      <c r="F40" s="69" t="s">
        <v>190</v>
      </c>
      <c r="G40" s="69" t="s">
        <v>190</v>
      </c>
      <c r="H40" s="38" t="s">
        <v>190</v>
      </c>
      <c r="I40" s="38" t="s">
        <v>190</v>
      </c>
      <c r="J40" s="38" t="s">
        <v>190</v>
      </c>
      <c r="K40" s="38" t="s">
        <v>190</v>
      </c>
      <c r="L40" s="38" t="s">
        <v>190</v>
      </c>
      <c r="M40" s="38" t="s">
        <v>190</v>
      </c>
      <c r="N40" s="38"/>
      <c r="O40" s="38"/>
      <c r="P40" s="38"/>
      <c r="Q40" s="38"/>
      <c r="R40" s="38"/>
      <c r="S40" s="38"/>
      <c r="T40" s="38"/>
      <c r="U40" s="38"/>
      <c r="V40" s="38"/>
      <c r="W40" s="39">
        <f t="shared" si="6"/>
        <v>100</v>
      </c>
      <c r="X40" s="38">
        <v>3</v>
      </c>
      <c r="Y40" s="38">
        <v>2</v>
      </c>
      <c r="Z40" s="38">
        <v>5</v>
      </c>
      <c r="AA40" s="38">
        <v>8</v>
      </c>
      <c r="AB40" s="38">
        <v>8</v>
      </c>
      <c r="AC40" s="38">
        <v>8</v>
      </c>
      <c r="AD40" s="38">
        <v>9</v>
      </c>
      <c r="AE40" s="38"/>
      <c r="AF40" s="38"/>
      <c r="AG40" s="38"/>
      <c r="AH40" s="40">
        <f t="shared" si="33"/>
        <v>58</v>
      </c>
      <c r="AI40" s="40">
        <f t="shared" si="33"/>
        <v>52</v>
      </c>
      <c r="AJ40" s="40">
        <f t="shared" si="33"/>
        <v>70</v>
      </c>
      <c r="AK40" s="40">
        <f t="shared" si="33"/>
        <v>88</v>
      </c>
      <c r="AL40" s="40">
        <f t="shared" si="33"/>
        <v>88</v>
      </c>
      <c r="AM40" s="40">
        <f t="shared" si="31"/>
        <v>88</v>
      </c>
      <c r="AN40" s="40">
        <f t="shared" si="31"/>
        <v>94</v>
      </c>
      <c r="AO40" s="40" t="str">
        <f t="shared" si="31"/>
        <v xml:space="preserve"> </v>
      </c>
      <c r="AP40" s="40" t="str">
        <f t="shared" si="31"/>
        <v xml:space="preserve"> </v>
      </c>
      <c r="AQ40" s="40" t="str">
        <f t="shared" si="31"/>
        <v xml:space="preserve"> </v>
      </c>
      <c r="AR40" s="41">
        <f t="shared" si="8"/>
        <v>76.857142857142861</v>
      </c>
      <c r="AS40" s="38">
        <v>100</v>
      </c>
      <c r="AT40" s="164">
        <f t="shared" si="20"/>
        <v>100</v>
      </c>
      <c r="AU40" s="38"/>
      <c r="AV40" s="38"/>
      <c r="AW40" s="38"/>
      <c r="AX40" s="38"/>
      <c r="AY40" s="38"/>
      <c r="AZ40" s="38"/>
      <c r="BA40" s="38"/>
      <c r="BB40" s="38"/>
      <c r="BC40" s="42">
        <f t="shared" si="34"/>
        <v>100</v>
      </c>
      <c r="BD40" s="42">
        <f t="shared" si="34"/>
        <v>100</v>
      </c>
      <c r="BE40" s="42" t="str">
        <f t="shared" si="34"/>
        <v xml:space="preserve"> </v>
      </c>
      <c r="BF40" s="42" t="str">
        <f t="shared" si="34"/>
        <v xml:space="preserve"> </v>
      </c>
      <c r="BG40" s="42" t="str">
        <f t="shared" si="34"/>
        <v xml:space="preserve"> </v>
      </c>
      <c r="BH40" s="42" t="str">
        <f t="shared" si="32"/>
        <v xml:space="preserve"> </v>
      </c>
      <c r="BI40" s="42" t="str">
        <f t="shared" si="32"/>
        <v xml:space="preserve"> </v>
      </c>
      <c r="BJ40" s="42" t="str">
        <f t="shared" si="32"/>
        <v xml:space="preserve"> </v>
      </c>
      <c r="BK40" s="42" t="str">
        <f t="shared" si="32"/>
        <v xml:space="preserve"> </v>
      </c>
      <c r="BL40" s="42" t="str">
        <f t="shared" si="32"/>
        <v xml:space="preserve"> </v>
      </c>
      <c r="BM40" s="43">
        <f t="shared" si="10"/>
        <v>100</v>
      </c>
      <c r="BN40" s="38">
        <v>63</v>
      </c>
      <c r="BO40" s="44">
        <f t="shared" si="11"/>
        <v>77.8</v>
      </c>
      <c r="BP40" s="20"/>
      <c r="BQ40" s="39">
        <f t="shared" si="21"/>
        <v>82.004285714285714</v>
      </c>
      <c r="BR40" s="23" t="str">
        <f t="shared" si="22"/>
        <v>PASSED</v>
      </c>
      <c r="BS40" s="45"/>
      <c r="BT40" s="46"/>
      <c r="BU40" s="46"/>
      <c r="BV40" s="46"/>
      <c r="BW40" s="21">
        <f t="shared" si="26"/>
        <v>1</v>
      </c>
      <c r="BX40" s="22">
        <f t="shared" si="26"/>
        <v>1</v>
      </c>
      <c r="BY40" s="22">
        <f t="shared" si="26"/>
        <v>1</v>
      </c>
      <c r="BZ40" s="22">
        <f t="shared" si="26"/>
        <v>1</v>
      </c>
      <c r="CA40" s="22">
        <f t="shared" si="26"/>
        <v>1</v>
      </c>
      <c r="CB40" s="22">
        <f t="shared" si="26"/>
        <v>1</v>
      </c>
      <c r="CC40" s="22">
        <f t="shared" si="26"/>
        <v>1</v>
      </c>
      <c r="CD40" s="22">
        <f t="shared" si="26"/>
        <v>1</v>
      </c>
      <c r="CE40" s="22">
        <f t="shared" si="26"/>
        <v>1</v>
      </c>
      <c r="CF40" s="22">
        <f t="shared" si="26"/>
        <v>1</v>
      </c>
      <c r="CG40" s="22">
        <f t="shared" si="26"/>
        <v>1</v>
      </c>
      <c r="CH40" s="22" t="str">
        <f t="shared" si="26"/>
        <v/>
      </c>
      <c r="CI40" s="22" t="str">
        <f t="shared" si="26"/>
        <v/>
      </c>
      <c r="CJ40" s="22" t="str">
        <f t="shared" si="26"/>
        <v/>
      </c>
      <c r="CK40" s="22" t="str">
        <f t="shared" si="26"/>
        <v/>
      </c>
      <c r="CL40" s="22" t="str">
        <f t="shared" si="24"/>
        <v/>
      </c>
      <c r="CM40" s="22" t="str">
        <f t="shared" si="13"/>
        <v/>
      </c>
      <c r="CN40" s="22" t="str">
        <f t="shared" si="13"/>
        <v/>
      </c>
      <c r="CO40" s="22" t="str">
        <f t="shared" si="13"/>
        <v/>
      </c>
      <c r="CP40" s="22" t="str">
        <f t="shared" si="13"/>
        <v/>
      </c>
      <c r="CQ40" s="22">
        <f t="shared" si="23"/>
        <v>11</v>
      </c>
      <c r="CR40" s="22">
        <f t="shared" si="3"/>
        <v>11</v>
      </c>
      <c r="CS40" s="22" t="str">
        <f t="shared" si="27"/>
        <v/>
      </c>
      <c r="CT40" s="22" t="str">
        <f t="shared" si="27"/>
        <v/>
      </c>
      <c r="CU40" s="22" t="str">
        <f t="shared" si="27"/>
        <v/>
      </c>
      <c r="CV40" s="22" t="str">
        <f t="shared" si="27"/>
        <v/>
      </c>
      <c r="CW40" s="22" t="str">
        <f t="shared" si="27"/>
        <v/>
      </c>
      <c r="CX40" s="22" t="str">
        <f t="shared" si="27"/>
        <v/>
      </c>
      <c r="CY40" s="22" t="str">
        <f t="shared" si="27"/>
        <v/>
      </c>
      <c r="CZ40" s="22" t="str">
        <f t="shared" si="27"/>
        <v/>
      </c>
      <c r="DA40" s="22" t="str">
        <f t="shared" si="27"/>
        <v/>
      </c>
      <c r="DB40" s="22" t="str">
        <f t="shared" si="27"/>
        <v/>
      </c>
      <c r="DC40" s="22" t="str">
        <f t="shared" si="27"/>
        <v/>
      </c>
      <c r="DD40" s="22" t="str">
        <f t="shared" si="27"/>
        <v/>
      </c>
      <c r="DE40" s="22" t="str">
        <f t="shared" si="27"/>
        <v/>
      </c>
      <c r="DF40" s="22" t="str">
        <f t="shared" si="27"/>
        <v/>
      </c>
      <c r="DG40" s="22" t="str">
        <f t="shared" si="27"/>
        <v/>
      </c>
      <c r="DH40" s="22" t="str">
        <f t="shared" si="25"/>
        <v/>
      </c>
      <c r="DI40" s="22" t="str">
        <f t="shared" si="15"/>
        <v/>
      </c>
      <c r="DJ40" s="22" t="str">
        <f t="shared" si="15"/>
        <v/>
      </c>
      <c r="DK40" s="22" t="str">
        <f t="shared" si="15"/>
        <v/>
      </c>
      <c r="DL40" s="22" t="str">
        <f t="shared" si="15"/>
        <v/>
      </c>
      <c r="DM40" s="22">
        <f t="shared" si="16"/>
        <v>0</v>
      </c>
      <c r="DN40" s="36">
        <f t="shared" si="28"/>
        <v>10</v>
      </c>
      <c r="DO40" s="36">
        <f t="shared" si="28"/>
        <v>10</v>
      </c>
      <c r="DP40" s="36">
        <f t="shared" si="28"/>
        <v>10</v>
      </c>
      <c r="DQ40" s="36">
        <f t="shared" si="28"/>
        <v>10</v>
      </c>
      <c r="DR40" s="36">
        <f t="shared" si="28"/>
        <v>10</v>
      </c>
      <c r="DS40" s="36">
        <f t="shared" si="28"/>
        <v>10</v>
      </c>
      <c r="DT40" s="36">
        <f t="shared" si="28"/>
        <v>10</v>
      </c>
      <c r="DU40" s="36">
        <f t="shared" si="28"/>
        <v>0</v>
      </c>
      <c r="DV40" s="36">
        <f t="shared" si="28"/>
        <v>0</v>
      </c>
      <c r="DW40" s="36">
        <f t="shared" si="28"/>
        <v>0</v>
      </c>
      <c r="DX40" s="23">
        <f t="shared" si="28"/>
        <v>7</v>
      </c>
      <c r="DY40" s="23">
        <f t="shared" si="28"/>
        <v>100</v>
      </c>
      <c r="DZ40" s="23">
        <f t="shared" si="28"/>
        <v>100</v>
      </c>
      <c r="EA40" s="23">
        <f t="shared" si="28"/>
        <v>0</v>
      </c>
      <c r="EB40" s="23">
        <f t="shared" si="28"/>
        <v>0</v>
      </c>
      <c r="EC40" s="23">
        <f t="shared" si="28"/>
        <v>0</v>
      </c>
      <c r="ED40" s="23">
        <f t="shared" si="30"/>
        <v>0</v>
      </c>
      <c r="EE40" s="23">
        <f t="shared" si="30"/>
        <v>0</v>
      </c>
      <c r="EF40" s="23">
        <f t="shared" si="30"/>
        <v>0</v>
      </c>
      <c r="EG40" s="23">
        <f t="shared" si="30"/>
        <v>0</v>
      </c>
      <c r="EH40" s="23">
        <f t="shared" si="30"/>
        <v>0</v>
      </c>
      <c r="EI40" s="23">
        <f t="shared" si="30"/>
        <v>2</v>
      </c>
      <c r="EJ40" s="23">
        <f t="shared" si="30"/>
        <v>100</v>
      </c>
    </row>
    <row r="41" spans="1:140" ht="9.9" customHeight="1" x14ac:dyDescent="0.3">
      <c r="A41" s="23">
        <v>32</v>
      </c>
      <c r="B41" s="37" t="str">
        <f>IF(PRELIM!B41="","",PRELIM!B41)</f>
        <v>SILPAO, JHON CHRISTIAN G.</v>
      </c>
      <c r="C41" s="69" t="s">
        <v>190</v>
      </c>
      <c r="D41" s="69" t="s">
        <v>190</v>
      </c>
      <c r="E41" s="69" t="s">
        <v>190</v>
      </c>
      <c r="F41" s="69" t="s">
        <v>190</v>
      </c>
      <c r="G41" s="69" t="s">
        <v>190</v>
      </c>
      <c r="H41" s="38" t="s">
        <v>228</v>
      </c>
      <c r="I41" s="38" t="s">
        <v>190</v>
      </c>
      <c r="J41" s="38" t="s">
        <v>190</v>
      </c>
      <c r="K41" s="38" t="s">
        <v>190</v>
      </c>
      <c r="L41" s="38" t="s">
        <v>190</v>
      </c>
      <c r="M41" s="38" t="s">
        <v>228</v>
      </c>
      <c r="N41" s="38"/>
      <c r="O41" s="38"/>
      <c r="P41" s="38"/>
      <c r="Q41" s="38"/>
      <c r="R41" s="38"/>
      <c r="S41" s="38"/>
      <c r="T41" s="38"/>
      <c r="U41" s="38"/>
      <c r="V41" s="38"/>
      <c r="W41" s="39">
        <f t="shared" si="6"/>
        <v>89.090909090909093</v>
      </c>
      <c r="X41" s="38">
        <v>5</v>
      </c>
      <c r="Y41" s="38">
        <v>2</v>
      </c>
      <c r="Z41" s="38">
        <v>4</v>
      </c>
      <c r="AA41" s="38">
        <v>9</v>
      </c>
      <c r="AB41" s="38">
        <v>8</v>
      </c>
      <c r="AC41" s="38">
        <v>8</v>
      </c>
      <c r="AD41" s="38">
        <v>9</v>
      </c>
      <c r="AE41" s="38"/>
      <c r="AF41" s="38"/>
      <c r="AG41" s="38"/>
      <c r="AH41" s="40">
        <f t="shared" si="33"/>
        <v>70</v>
      </c>
      <c r="AI41" s="40">
        <f t="shared" si="33"/>
        <v>52</v>
      </c>
      <c r="AJ41" s="40">
        <f t="shared" si="33"/>
        <v>64</v>
      </c>
      <c r="AK41" s="40">
        <f t="shared" si="33"/>
        <v>94</v>
      </c>
      <c r="AL41" s="40">
        <f t="shared" si="33"/>
        <v>88</v>
      </c>
      <c r="AM41" s="40">
        <f t="shared" si="31"/>
        <v>88</v>
      </c>
      <c r="AN41" s="40">
        <f t="shared" si="31"/>
        <v>94</v>
      </c>
      <c r="AO41" s="40" t="str">
        <f t="shared" si="31"/>
        <v xml:space="preserve"> </v>
      </c>
      <c r="AP41" s="40" t="str">
        <f t="shared" si="31"/>
        <v xml:space="preserve"> </v>
      </c>
      <c r="AQ41" s="40" t="str">
        <f t="shared" si="31"/>
        <v xml:space="preserve"> </v>
      </c>
      <c r="AR41" s="41">
        <f t="shared" si="8"/>
        <v>78.571428571428569</v>
      </c>
      <c r="AS41" s="38">
        <v>100</v>
      </c>
      <c r="AT41" s="164">
        <f t="shared" si="20"/>
        <v>89</v>
      </c>
      <c r="AU41" s="38"/>
      <c r="AV41" s="38"/>
      <c r="AW41" s="38"/>
      <c r="AX41" s="38"/>
      <c r="AY41" s="38"/>
      <c r="AZ41" s="38"/>
      <c r="BA41" s="38"/>
      <c r="BB41" s="38"/>
      <c r="BC41" s="42">
        <f t="shared" si="34"/>
        <v>100</v>
      </c>
      <c r="BD41" s="42">
        <f t="shared" si="34"/>
        <v>93.4</v>
      </c>
      <c r="BE41" s="42" t="str">
        <f t="shared" si="34"/>
        <v xml:space="preserve"> </v>
      </c>
      <c r="BF41" s="42" t="str">
        <f t="shared" si="34"/>
        <v xml:space="preserve"> </v>
      </c>
      <c r="BG41" s="42" t="str">
        <f t="shared" si="34"/>
        <v xml:space="preserve"> </v>
      </c>
      <c r="BH41" s="42" t="str">
        <f t="shared" si="32"/>
        <v xml:space="preserve"> </v>
      </c>
      <c r="BI41" s="42" t="str">
        <f t="shared" si="32"/>
        <v xml:space="preserve"> </v>
      </c>
      <c r="BJ41" s="42" t="str">
        <f t="shared" si="32"/>
        <v xml:space="preserve"> </v>
      </c>
      <c r="BK41" s="42" t="str">
        <f t="shared" si="32"/>
        <v xml:space="preserve"> </v>
      </c>
      <c r="BL41" s="42" t="str">
        <f t="shared" si="32"/>
        <v xml:space="preserve"> </v>
      </c>
      <c r="BM41" s="43">
        <f t="shared" si="10"/>
        <v>96.7</v>
      </c>
      <c r="BN41" s="38">
        <v>73</v>
      </c>
      <c r="BO41" s="44">
        <f t="shared" si="11"/>
        <v>83.8</v>
      </c>
      <c r="BP41" s="20"/>
      <c r="BQ41" s="39">
        <f t="shared" si="21"/>
        <v>84.692402597402605</v>
      </c>
      <c r="BR41" s="23" t="str">
        <f t="shared" si="22"/>
        <v>PASSED</v>
      </c>
      <c r="BS41" s="45"/>
      <c r="BT41" s="46"/>
      <c r="BU41" s="46"/>
      <c r="BV41" s="46"/>
      <c r="BW41" s="21">
        <f t="shared" si="26"/>
        <v>1</v>
      </c>
      <c r="BX41" s="22">
        <f t="shared" si="26"/>
        <v>1</v>
      </c>
      <c r="BY41" s="22">
        <f t="shared" si="26"/>
        <v>1</v>
      </c>
      <c r="BZ41" s="22">
        <f t="shared" si="26"/>
        <v>1</v>
      </c>
      <c r="CA41" s="22">
        <f t="shared" si="26"/>
        <v>1</v>
      </c>
      <c r="CB41" s="22" t="str">
        <f t="shared" si="26"/>
        <v/>
      </c>
      <c r="CC41" s="22">
        <f t="shared" si="26"/>
        <v>1</v>
      </c>
      <c r="CD41" s="22">
        <f t="shared" si="26"/>
        <v>1</v>
      </c>
      <c r="CE41" s="22">
        <f t="shared" si="26"/>
        <v>1</v>
      </c>
      <c r="CF41" s="22">
        <f t="shared" si="26"/>
        <v>1</v>
      </c>
      <c r="CG41" s="22" t="str">
        <f t="shared" si="26"/>
        <v/>
      </c>
      <c r="CH41" s="22" t="str">
        <f t="shared" si="26"/>
        <v/>
      </c>
      <c r="CI41" s="22" t="str">
        <f t="shared" si="26"/>
        <v/>
      </c>
      <c r="CJ41" s="22" t="str">
        <f t="shared" si="26"/>
        <v/>
      </c>
      <c r="CK41" s="22" t="str">
        <f t="shared" si="26"/>
        <v/>
      </c>
      <c r="CL41" s="22" t="str">
        <f t="shared" si="24"/>
        <v/>
      </c>
      <c r="CM41" s="22" t="str">
        <f t="shared" si="13"/>
        <v/>
      </c>
      <c r="CN41" s="22" t="str">
        <f t="shared" si="13"/>
        <v/>
      </c>
      <c r="CO41" s="22" t="str">
        <f t="shared" si="13"/>
        <v/>
      </c>
      <c r="CP41" s="22" t="str">
        <f t="shared" si="13"/>
        <v/>
      </c>
      <c r="CQ41" s="22">
        <f t="shared" si="23"/>
        <v>9</v>
      </c>
      <c r="CR41" s="22">
        <f t="shared" si="3"/>
        <v>11</v>
      </c>
      <c r="CS41" s="22" t="str">
        <f t="shared" si="27"/>
        <v/>
      </c>
      <c r="CT41" s="22" t="str">
        <f t="shared" si="27"/>
        <v/>
      </c>
      <c r="CU41" s="22" t="str">
        <f t="shared" si="27"/>
        <v/>
      </c>
      <c r="CV41" s="22" t="str">
        <f t="shared" si="27"/>
        <v/>
      </c>
      <c r="CW41" s="22" t="str">
        <f t="shared" si="27"/>
        <v/>
      </c>
      <c r="CX41" s="22" t="str">
        <f t="shared" si="27"/>
        <v/>
      </c>
      <c r="CY41" s="22" t="str">
        <f t="shared" si="27"/>
        <v/>
      </c>
      <c r="CZ41" s="22" t="str">
        <f t="shared" si="27"/>
        <v/>
      </c>
      <c r="DA41" s="22" t="str">
        <f t="shared" si="27"/>
        <v/>
      </c>
      <c r="DB41" s="22" t="str">
        <f t="shared" si="27"/>
        <v/>
      </c>
      <c r="DC41" s="22" t="str">
        <f t="shared" si="27"/>
        <v/>
      </c>
      <c r="DD41" s="22" t="str">
        <f t="shared" si="27"/>
        <v/>
      </c>
      <c r="DE41" s="22" t="str">
        <f t="shared" si="27"/>
        <v/>
      </c>
      <c r="DF41" s="22" t="str">
        <f t="shared" si="27"/>
        <v/>
      </c>
      <c r="DG41" s="22" t="str">
        <f t="shared" si="27"/>
        <v/>
      </c>
      <c r="DH41" s="22" t="str">
        <f t="shared" si="25"/>
        <v/>
      </c>
      <c r="DI41" s="22" t="str">
        <f t="shared" si="15"/>
        <v/>
      </c>
      <c r="DJ41" s="22" t="str">
        <f t="shared" si="15"/>
        <v/>
      </c>
      <c r="DK41" s="22" t="str">
        <f t="shared" si="15"/>
        <v/>
      </c>
      <c r="DL41" s="22" t="str">
        <f t="shared" si="15"/>
        <v/>
      </c>
      <c r="DM41" s="22">
        <f t="shared" si="16"/>
        <v>0</v>
      </c>
      <c r="DN41" s="36">
        <f t="shared" si="28"/>
        <v>10</v>
      </c>
      <c r="DO41" s="36">
        <f t="shared" si="28"/>
        <v>10</v>
      </c>
      <c r="DP41" s="36">
        <f t="shared" si="28"/>
        <v>10</v>
      </c>
      <c r="DQ41" s="36">
        <f t="shared" si="28"/>
        <v>10</v>
      </c>
      <c r="DR41" s="36">
        <f t="shared" si="28"/>
        <v>10</v>
      </c>
      <c r="DS41" s="36">
        <f t="shared" si="28"/>
        <v>10</v>
      </c>
      <c r="DT41" s="36">
        <f t="shared" si="28"/>
        <v>10</v>
      </c>
      <c r="DU41" s="36">
        <f t="shared" si="28"/>
        <v>0</v>
      </c>
      <c r="DV41" s="36">
        <f t="shared" si="28"/>
        <v>0</v>
      </c>
      <c r="DW41" s="36">
        <f t="shared" si="28"/>
        <v>0</v>
      </c>
      <c r="DX41" s="23">
        <f t="shared" si="28"/>
        <v>7</v>
      </c>
      <c r="DY41" s="23">
        <f t="shared" si="28"/>
        <v>100</v>
      </c>
      <c r="DZ41" s="23">
        <f t="shared" si="28"/>
        <v>100</v>
      </c>
      <c r="EA41" s="23">
        <f t="shared" si="28"/>
        <v>0</v>
      </c>
      <c r="EB41" s="23">
        <f t="shared" si="28"/>
        <v>0</v>
      </c>
      <c r="EC41" s="23">
        <f t="shared" si="28"/>
        <v>0</v>
      </c>
      <c r="ED41" s="23">
        <f t="shared" si="30"/>
        <v>0</v>
      </c>
      <c r="EE41" s="23">
        <f t="shared" si="30"/>
        <v>0</v>
      </c>
      <c r="EF41" s="23">
        <f t="shared" si="30"/>
        <v>0</v>
      </c>
      <c r="EG41" s="23">
        <f t="shared" si="30"/>
        <v>0</v>
      </c>
      <c r="EH41" s="23">
        <f t="shared" si="30"/>
        <v>0</v>
      </c>
      <c r="EI41" s="23">
        <f t="shared" si="30"/>
        <v>2</v>
      </c>
      <c r="EJ41" s="23">
        <f t="shared" si="30"/>
        <v>100</v>
      </c>
    </row>
    <row r="42" spans="1:140" ht="9.9" customHeight="1" x14ac:dyDescent="0.3">
      <c r="A42" s="23">
        <v>33</v>
      </c>
      <c r="B42" s="37" t="str">
        <f>IF(PRELIM!B42="","",PRELIM!B42)</f>
        <v>TIMUAY, JUVY MAE T</v>
      </c>
      <c r="C42" s="69" t="s">
        <v>190</v>
      </c>
      <c r="D42" s="69" t="s">
        <v>190</v>
      </c>
      <c r="E42" s="69" t="s">
        <v>190</v>
      </c>
      <c r="F42" s="69" t="s">
        <v>190</v>
      </c>
      <c r="G42" s="69" t="s">
        <v>190</v>
      </c>
      <c r="H42" s="38" t="s">
        <v>190</v>
      </c>
      <c r="I42" s="38" t="s">
        <v>190</v>
      </c>
      <c r="J42" s="38" t="s">
        <v>190</v>
      </c>
      <c r="K42" s="38" t="s">
        <v>190</v>
      </c>
      <c r="L42" s="38" t="s">
        <v>190</v>
      </c>
      <c r="M42" s="38" t="s">
        <v>190</v>
      </c>
      <c r="N42" s="38"/>
      <c r="O42" s="38"/>
      <c r="P42" s="38"/>
      <c r="Q42" s="38"/>
      <c r="R42" s="38"/>
      <c r="S42" s="38"/>
      <c r="T42" s="38"/>
      <c r="U42" s="38"/>
      <c r="V42" s="38"/>
      <c r="W42" s="39">
        <f t="shared" si="6"/>
        <v>100</v>
      </c>
      <c r="X42" s="38">
        <v>5</v>
      </c>
      <c r="Y42" s="38">
        <v>4</v>
      </c>
      <c r="Z42" s="38">
        <v>5</v>
      </c>
      <c r="AA42" s="38">
        <v>10</v>
      </c>
      <c r="AB42" s="38">
        <v>6</v>
      </c>
      <c r="AC42" s="38">
        <v>10</v>
      </c>
      <c r="AD42" s="38">
        <v>10</v>
      </c>
      <c r="AE42" s="38"/>
      <c r="AF42" s="38"/>
      <c r="AG42" s="38"/>
      <c r="AH42" s="40">
        <f t="shared" si="33"/>
        <v>70</v>
      </c>
      <c r="AI42" s="40">
        <f t="shared" si="33"/>
        <v>64</v>
      </c>
      <c r="AJ42" s="40">
        <f t="shared" si="33"/>
        <v>70</v>
      </c>
      <c r="AK42" s="40">
        <f t="shared" si="33"/>
        <v>100</v>
      </c>
      <c r="AL42" s="40">
        <f t="shared" si="33"/>
        <v>76</v>
      </c>
      <c r="AM42" s="40">
        <f t="shared" si="31"/>
        <v>100</v>
      </c>
      <c r="AN42" s="40">
        <f t="shared" si="31"/>
        <v>100</v>
      </c>
      <c r="AO42" s="40" t="str">
        <f t="shared" si="31"/>
        <v xml:space="preserve"> </v>
      </c>
      <c r="AP42" s="40" t="str">
        <f t="shared" si="31"/>
        <v xml:space="preserve"> </v>
      </c>
      <c r="AQ42" s="40" t="str">
        <f t="shared" si="31"/>
        <v xml:space="preserve"> </v>
      </c>
      <c r="AR42" s="41">
        <f t="shared" si="8"/>
        <v>82.857142857142861</v>
      </c>
      <c r="AS42" s="38">
        <v>100</v>
      </c>
      <c r="AT42" s="164">
        <f t="shared" si="20"/>
        <v>100</v>
      </c>
      <c r="AU42" s="38"/>
      <c r="AV42" s="38"/>
      <c r="AW42" s="38"/>
      <c r="AX42" s="38"/>
      <c r="AY42" s="38"/>
      <c r="AZ42" s="38"/>
      <c r="BA42" s="38"/>
      <c r="BB42" s="38"/>
      <c r="BC42" s="42">
        <f t="shared" si="34"/>
        <v>100</v>
      </c>
      <c r="BD42" s="42">
        <f t="shared" si="34"/>
        <v>100</v>
      </c>
      <c r="BE42" s="42" t="str">
        <f t="shared" si="34"/>
        <v xml:space="preserve"> </v>
      </c>
      <c r="BF42" s="42" t="str">
        <f t="shared" si="34"/>
        <v xml:space="preserve"> </v>
      </c>
      <c r="BG42" s="42" t="str">
        <f t="shared" si="34"/>
        <v xml:space="preserve"> </v>
      </c>
      <c r="BH42" s="42" t="str">
        <f t="shared" si="32"/>
        <v xml:space="preserve"> </v>
      </c>
      <c r="BI42" s="42" t="str">
        <f t="shared" si="32"/>
        <v xml:space="preserve"> </v>
      </c>
      <c r="BJ42" s="42" t="str">
        <f t="shared" si="32"/>
        <v xml:space="preserve"> </v>
      </c>
      <c r="BK42" s="42" t="str">
        <f t="shared" si="32"/>
        <v xml:space="preserve"> </v>
      </c>
      <c r="BL42" s="42" t="str">
        <f t="shared" si="32"/>
        <v xml:space="preserve"> </v>
      </c>
      <c r="BM42" s="43">
        <f t="shared" si="10"/>
        <v>100</v>
      </c>
      <c r="BN42" s="38">
        <v>74</v>
      </c>
      <c r="BO42" s="44">
        <f t="shared" si="11"/>
        <v>84.4</v>
      </c>
      <c r="BP42" s="20"/>
      <c r="BQ42" s="39">
        <f t="shared" si="21"/>
        <v>87.134285714285724</v>
      </c>
      <c r="BR42" s="23" t="str">
        <f t="shared" si="22"/>
        <v>PASSED</v>
      </c>
      <c r="BS42" s="45"/>
      <c r="BT42" s="46"/>
      <c r="BU42" s="46"/>
      <c r="BV42" s="46"/>
      <c r="BW42" s="21">
        <f t="shared" si="26"/>
        <v>1</v>
      </c>
      <c r="BX42" s="22">
        <f t="shared" si="26"/>
        <v>1</v>
      </c>
      <c r="BY42" s="22">
        <f t="shared" si="26"/>
        <v>1</v>
      </c>
      <c r="BZ42" s="22">
        <f t="shared" si="26"/>
        <v>1</v>
      </c>
      <c r="CA42" s="22">
        <f t="shared" si="26"/>
        <v>1</v>
      </c>
      <c r="CB42" s="22">
        <f t="shared" si="26"/>
        <v>1</v>
      </c>
      <c r="CC42" s="22">
        <f t="shared" si="26"/>
        <v>1</v>
      </c>
      <c r="CD42" s="22">
        <f t="shared" si="26"/>
        <v>1</v>
      </c>
      <c r="CE42" s="22">
        <f t="shared" si="26"/>
        <v>1</v>
      </c>
      <c r="CF42" s="22">
        <f t="shared" si="26"/>
        <v>1</v>
      </c>
      <c r="CG42" s="22">
        <f t="shared" si="26"/>
        <v>1</v>
      </c>
      <c r="CH42" s="22" t="str">
        <f t="shared" si="26"/>
        <v/>
      </c>
      <c r="CI42" s="22" t="str">
        <f t="shared" si="26"/>
        <v/>
      </c>
      <c r="CJ42" s="22" t="str">
        <f t="shared" si="26"/>
        <v/>
      </c>
      <c r="CK42" s="22" t="str">
        <f t="shared" si="26"/>
        <v/>
      </c>
      <c r="CL42" s="22" t="str">
        <f t="shared" si="24"/>
        <v/>
      </c>
      <c r="CM42" s="22" t="str">
        <f t="shared" si="24"/>
        <v/>
      </c>
      <c r="CN42" s="22" t="str">
        <f t="shared" si="24"/>
        <v/>
      </c>
      <c r="CO42" s="22" t="str">
        <f t="shared" si="24"/>
        <v/>
      </c>
      <c r="CP42" s="22" t="str">
        <f t="shared" si="24"/>
        <v/>
      </c>
      <c r="CQ42" s="22">
        <f t="shared" si="23"/>
        <v>11</v>
      </c>
      <c r="CR42" s="22">
        <f t="shared" si="3"/>
        <v>11</v>
      </c>
      <c r="CS42" s="22" t="str">
        <f t="shared" si="27"/>
        <v/>
      </c>
      <c r="CT42" s="22" t="str">
        <f t="shared" si="27"/>
        <v/>
      </c>
      <c r="CU42" s="22" t="str">
        <f t="shared" si="27"/>
        <v/>
      </c>
      <c r="CV42" s="22" t="str">
        <f t="shared" si="27"/>
        <v/>
      </c>
      <c r="CW42" s="22" t="str">
        <f t="shared" si="27"/>
        <v/>
      </c>
      <c r="CX42" s="22" t="str">
        <f t="shared" si="27"/>
        <v/>
      </c>
      <c r="CY42" s="22" t="str">
        <f t="shared" si="27"/>
        <v/>
      </c>
      <c r="CZ42" s="22" t="str">
        <f t="shared" si="27"/>
        <v/>
      </c>
      <c r="DA42" s="22" t="str">
        <f t="shared" si="27"/>
        <v/>
      </c>
      <c r="DB42" s="22" t="str">
        <f t="shared" si="27"/>
        <v/>
      </c>
      <c r="DC42" s="22" t="str">
        <f t="shared" si="27"/>
        <v/>
      </c>
      <c r="DD42" s="22" t="str">
        <f t="shared" si="27"/>
        <v/>
      </c>
      <c r="DE42" s="22" t="str">
        <f t="shared" si="27"/>
        <v/>
      </c>
      <c r="DF42" s="22" t="str">
        <f t="shared" si="27"/>
        <v/>
      </c>
      <c r="DG42" s="22" t="str">
        <f t="shared" si="27"/>
        <v/>
      </c>
      <c r="DH42" s="22" t="str">
        <f t="shared" si="25"/>
        <v/>
      </c>
      <c r="DI42" s="22" t="str">
        <f t="shared" si="25"/>
        <v/>
      </c>
      <c r="DJ42" s="22" t="str">
        <f t="shared" si="25"/>
        <v/>
      </c>
      <c r="DK42" s="22" t="str">
        <f t="shared" si="25"/>
        <v/>
      </c>
      <c r="DL42" s="22" t="str">
        <f t="shared" si="25"/>
        <v/>
      </c>
      <c r="DM42" s="22">
        <f t="shared" si="16"/>
        <v>0</v>
      </c>
      <c r="DN42" s="36">
        <f t="shared" ref="DN42:EC57" si="35">DN41</f>
        <v>10</v>
      </c>
      <c r="DO42" s="36">
        <f t="shared" si="35"/>
        <v>10</v>
      </c>
      <c r="DP42" s="36">
        <f t="shared" si="35"/>
        <v>10</v>
      </c>
      <c r="DQ42" s="36">
        <f t="shared" si="35"/>
        <v>10</v>
      </c>
      <c r="DR42" s="36">
        <f t="shared" si="35"/>
        <v>10</v>
      </c>
      <c r="DS42" s="36">
        <f t="shared" si="35"/>
        <v>10</v>
      </c>
      <c r="DT42" s="36">
        <f t="shared" si="35"/>
        <v>10</v>
      </c>
      <c r="DU42" s="36">
        <f t="shared" si="35"/>
        <v>0</v>
      </c>
      <c r="DV42" s="36">
        <f t="shared" si="35"/>
        <v>0</v>
      </c>
      <c r="DW42" s="36">
        <f t="shared" si="35"/>
        <v>0</v>
      </c>
      <c r="DX42" s="23">
        <f t="shared" si="35"/>
        <v>7</v>
      </c>
      <c r="DY42" s="23">
        <f t="shared" si="35"/>
        <v>100</v>
      </c>
      <c r="DZ42" s="23">
        <f t="shared" si="35"/>
        <v>100</v>
      </c>
      <c r="EA42" s="23">
        <f t="shared" si="35"/>
        <v>0</v>
      </c>
      <c r="EB42" s="23">
        <f t="shared" si="35"/>
        <v>0</v>
      </c>
      <c r="EC42" s="23">
        <f t="shared" si="35"/>
        <v>0</v>
      </c>
      <c r="ED42" s="23">
        <f t="shared" si="30"/>
        <v>0</v>
      </c>
      <c r="EE42" s="23">
        <f t="shared" si="30"/>
        <v>0</v>
      </c>
      <c r="EF42" s="23">
        <f t="shared" si="30"/>
        <v>0</v>
      </c>
      <c r="EG42" s="23">
        <f t="shared" si="30"/>
        <v>0</v>
      </c>
      <c r="EH42" s="23">
        <f t="shared" si="30"/>
        <v>0</v>
      </c>
      <c r="EI42" s="23">
        <f t="shared" si="30"/>
        <v>2</v>
      </c>
      <c r="EJ42" s="23">
        <f t="shared" si="30"/>
        <v>100</v>
      </c>
    </row>
    <row r="43" spans="1:140" ht="9.9" customHeight="1" x14ac:dyDescent="0.3">
      <c r="A43" s="23">
        <v>34</v>
      </c>
      <c r="B43" s="50" t="str">
        <f>IF(PRELIM!B43="","",PRELIM!B43)</f>
        <v>VELASCO, SHYRA BABES C.</v>
      </c>
      <c r="C43" s="69" t="s">
        <v>190</v>
      </c>
      <c r="D43" s="69" t="s">
        <v>190</v>
      </c>
      <c r="E43" s="69" t="s">
        <v>190</v>
      </c>
      <c r="F43" s="69" t="s">
        <v>190</v>
      </c>
      <c r="G43" s="69" t="s">
        <v>190</v>
      </c>
      <c r="H43" s="38" t="s">
        <v>190</v>
      </c>
      <c r="I43" s="38" t="s">
        <v>190</v>
      </c>
      <c r="J43" s="38" t="s">
        <v>190</v>
      </c>
      <c r="K43" s="38" t="s">
        <v>190</v>
      </c>
      <c r="L43" s="38" t="s">
        <v>190</v>
      </c>
      <c r="M43" s="38" t="s">
        <v>228</v>
      </c>
      <c r="N43" s="38"/>
      <c r="O43" s="38"/>
      <c r="P43" s="38"/>
      <c r="Q43" s="38"/>
      <c r="R43" s="38"/>
      <c r="S43" s="38"/>
      <c r="T43" s="38"/>
      <c r="U43" s="38"/>
      <c r="V43" s="38"/>
      <c r="W43" s="39">
        <f t="shared" si="6"/>
        <v>94.545454545454547</v>
      </c>
      <c r="X43" s="38">
        <v>4</v>
      </c>
      <c r="Y43" s="38">
        <v>2</v>
      </c>
      <c r="Z43" s="38">
        <v>7</v>
      </c>
      <c r="AA43" s="38">
        <v>10</v>
      </c>
      <c r="AB43" s="38">
        <v>9</v>
      </c>
      <c r="AC43" s="38">
        <v>9</v>
      </c>
      <c r="AD43" s="38"/>
      <c r="AE43" s="38"/>
      <c r="AF43" s="38"/>
      <c r="AG43" s="38"/>
      <c r="AH43" s="40">
        <f t="shared" si="33"/>
        <v>64</v>
      </c>
      <c r="AI43" s="40">
        <f t="shared" si="33"/>
        <v>52</v>
      </c>
      <c r="AJ43" s="40">
        <f t="shared" si="33"/>
        <v>82</v>
      </c>
      <c r="AK43" s="40">
        <f t="shared" si="33"/>
        <v>100</v>
      </c>
      <c r="AL43" s="40">
        <f t="shared" si="33"/>
        <v>94</v>
      </c>
      <c r="AM43" s="40">
        <f t="shared" si="31"/>
        <v>94</v>
      </c>
      <c r="AN43" s="40">
        <f t="shared" si="31"/>
        <v>40</v>
      </c>
      <c r="AO43" s="40" t="str">
        <f t="shared" si="31"/>
        <v xml:space="preserve"> </v>
      </c>
      <c r="AP43" s="40" t="str">
        <f t="shared" si="31"/>
        <v xml:space="preserve"> </v>
      </c>
      <c r="AQ43" s="40" t="str">
        <f t="shared" si="31"/>
        <v xml:space="preserve"> </v>
      </c>
      <c r="AR43" s="41">
        <f t="shared" si="8"/>
        <v>75.142857142857139</v>
      </c>
      <c r="AS43" s="38">
        <v>100</v>
      </c>
      <c r="AT43" s="164">
        <f t="shared" si="20"/>
        <v>95</v>
      </c>
      <c r="AU43" s="38"/>
      <c r="AV43" s="38"/>
      <c r="AW43" s="38"/>
      <c r="AX43" s="38"/>
      <c r="AY43" s="38"/>
      <c r="AZ43" s="38"/>
      <c r="BA43" s="38"/>
      <c r="BB43" s="38"/>
      <c r="BC43" s="42">
        <f t="shared" si="34"/>
        <v>100</v>
      </c>
      <c r="BD43" s="42">
        <f t="shared" si="34"/>
        <v>97</v>
      </c>
      <c r="BE43" s="42" t="str">
        <f t="shared" si="34"/>
        <v xml:space="preserve"> </v>
      </c>
      <c r="BF43" s="42" t="str">
        <f t="shared" si="34"/>
        <v xml:space="preserve"> </v>
      </c>
      <c r="BG43" s="42" t="str">
        <f t="shared" si="34"/>
        <v xml:space="preserve"> </v>
      </c>
      <c r="BH43" s="42" t="str">
        <f t="shared" si="32"/>
        <v xml:space="preserve"> </v>
      </c>
      <c r="BI43" s="42" t="str">
        <f t="shared" si="32"/>
        <v xml:space="preserve"> </v>
      </c>
      <c r="BJ43" s="42" t="str">
        <f t="shared" si="32"/>
        <v xml:space="preserve"> </v>
      </c>
      <c r="BK43" s="42" t="str">
        <f t="shared" si="32"/>
        <v xml:space="preserve"> </v>
      </c>
      <c r="BL43" s="42" t="str">
        <f t="shared" si="32"/>
        <v xml:space="preserve"> </v>
      </c>
      <c r="BM43" s="43">
        <f t="shared" si="10"/>
        <v>98.5</v>
      </c>
      <c r="BN43" s="38">
        <v>73</v>
      </c>
      <c r="BO43" s="44">
        <f t="shared" si="11"/>
        <v>83.8</v>
      </c>
      <c r="BP43" s="20"/>
      <c r="BQ43" s="39">
        <f t="shared" si="21"/>
        <v>84.377987012987006</v>
      </c>
      <c r="BR43" s="23" t="str">
        <f t="shared" si="22"/>
        <v>PASSED</v>
      </c>
      <c r="BS43" s="45"/>
      <c r="BT43" s="46"/>
      <c r="BU43" s="46"/>
      <c r="BV43" s="46"/>
      <c r="BW43" s="21">
        <f t="shared" ref="BW43:CL59" si="36">IF(C43="P",1,IF(C43="L",1,""))</f>
        <v>1</v>
      </c>
      <c r="BX43" s="22">
        <f t="shared" si="36"/>
        <v>1</v>
      </c>
      <c r="BY43" s="22">
        <f t="shared" si="36"/>
        <v>1</v>
      </c>
      <c r="BZ43" s="22">
        <f t="shared" si="36"/>
        <v>1</v>
      </c>
      <c r="CA43" s="22">
        <f t="shared" si="36"/>
        <v>1</v>
      </c>
      <c r="CB43" s="22">
        <f t="shared" si="36"/>
        <v>1</v>
      </c>
      <c r="CC43" s="22">
        <f t="shared" si="36"/>
        <v>1</v>
      </c>
      <c r="CD43" s="22">
        <f t="shared" si="36"/>
        <v>1</v>
      </c>
      <c r="CE43" s="22">
        <f t="shared" si="36"/>
        <v>1</v>
      </c>
      <c r="CF43" s="22">
        <f t="shared" si="36"/>
        <v>1</v>
      </c>
      <c r="CG43" s="22" t="str">
        <f t="shared" si="36"/>
        <v/>
      </c>
      <c r="CH43" s="22" t="str">
        <f t="shared" si="36"/>
        <v/>
      </c>
      <c r="CI43" s="22" t="str">
        <f t="shared" si="36"/>
        <v/>
      </c>
      <c r="CJ43" s="22" t="str">
        <f t="shared" si="36"/>
        <v/>
      </c>
      <c r="CK43" s="22" t="str">
        <f t="shared" si="36"/>
        <v/>
      </c>
      <c r="CL43" s="22" t="str">
        <f t="shared" si="24"/>
        <v/>
      </c>
      <c r="CM43" s="22" t="str">
        <f t="shared" si="24"/>
        <v/>
      </c>
      <c r="CN43" s="22" t="str">
        <f t="shared" si="24"/>
        <v/>
      </c>
      <c r="CO43" s="22" t="str">
        <f t="shared" si="24"/>
        <v/>
      </c>
      <c r="CP43" s="22" t="str">
        <f t="shared" si="24"/>
        <v/>
      </c>
      <c r="CQ43" s="22">
        <f t="shared" si="23"/>
        <v>10</v>
      </c>
      <c r="CR43" s="22">
        <f t="shared" si="3"/>
        <v>11</v>
      </c>
      <c r="CS43" s="22" t="str">
        <f t="shared" ref="CS43:DH59" si="37">IF(C43="l",1,"")</f>
        <v/>
      </c>
      <c r="CT43" s="22" t="str">
        <f t="shared" si="37"/>
        <v/>
      </c>
      <c r="CU43" s="22" t="str">
        <f t="shared" si="37"/>
        <v/>
      </c>
      <c r="CV43" s="22" t="str">
        <f t="shared" si="37"/>
        <v/>
      </c>
      <c r="CW43" s="22" t="str">
        <f t="shared" si="37"/>
        <v/>
      </c>
      <c r="CX43" s="22" t="str">
        <f t="shared" si="37"/>
        <v/>
      </c>
      <c r="CY43" s="22" t="str">
        <f t="shared" si="37"/>
        <v/>
      </c>
      <c r="CZ43" s="22" t="str">
        <f t="shared" si="37"/>
        <v/>
      </c>
      <c r="DA43" s="22" t="str">
        <f t="shared" si="37"/>
        <v/>
      </c>
      <c r="DB43" s="22" t="str">
        <f t="shared" si="37"/>
        <v/>
      </c>
      <c r="DC43" s="22" t="str">
        <f t="shared" si="37"/>
        <v/>
      </c>
      <c r="DD43" s="22" t="str">
        <f t="shared" si="37"/>
        <v/>
      </c>
      <c r="DE43" s="22" t="str">
        <f t="shared" si="37"/>
        <v/>
      </c>
      <c r="DF43" s="22" t="str">
        <f t="shared" si="37"/>
        <v/>
      </c>
      <c r="DG43" s="22" t="str">
        <f t="shared" si="37"/>
        <v/>
      </c>
      <c r="DH43" s="22" t="str">
        <f t="shared" si="25"/>
        <v/>
      </c>
      <c r="DI43" s="22" t="str">
        <f t="shared" si="25"/>
        <v/>
      </c>
      <c r="DJ43" s="22" t="str">
        <f t="shared" si="25"/>
        <v/>
      </c>
      <c r="DK43" s="22" t="str">
        <f t="shared" si="25"/>
        <v/>
      </c>
      <c r="DL43" s="22" t="str">
        <f t="shared" si="25"/>
        <v/>
      </c>
      <c r="DM43" s="22">
        <f t="shared" si="16"/>
        <v>0</v>
      </c>
      <c r="DN43" s="36">
        <f t="shared" si="35"/>
        <v>10</v>
      </c>
      <c r="DO43" s="36">
        <f t="shared" si="35"/>
        <v>10</v>
      </c>
      <c r="DP43" s="36">
        <f t="shared" si="35"/>
        <v>10</v>
      </c>
      <c r="DQ43" s="36">
        <f t="shared" si="35"/>
        <v>10</v>
      </c>
      <c r="DR43" s="36">
        <f t="shared" si="35"/>
        <v>10</v>
      </c>
      <c r="DS43" s="36">
        <f t="shared" si="35"/>
        <v>10</v>
      </c>
      <c r="DT43" s="36">
        <f t="shared" si="35"/>
        <v>10</v>
      </c>
      <c r="DU43" s="36">
        <f t="shared" si="35"/>
        <v>0</v>
      </c>
      <c r="DV43" s="36">
        <f t="shared" si="35"/>
        <v>0</v>
      </c>
      <c r="DW43" s="36">
        <f t="shared" si="35"/>
        <v>0</v>
      </c>
      <c r="DX43" s="23">
        <f t="shared" si="35"/>
        <v>7</v>
      </c>
      <c r="DY43" s="23">
        <f t="shared" si="35"/>
        <v>100</v>
      </c>
      <c r="DZ43" s="23">
        <f t="shared" si="35"/>
        <v>100</v>
      </c>
      <c r="EA43" s="23">
        <f t="shared" si="35"/>
        <v>0</v>
      </c>
      <c r="EB43" s="23">
        <f t="shared" si="35"/>
        <v>0</v>
      </c>
      <c r="EC43" s="23">
        <f t="shared" si="35"/>
        <v>0</v>
      </c>
      <c r="ED43" s="23">
        <f t="shared" ref="ED43:EJ58" si="38">ED42</f>
        <v>0</v>
      </c>
      <c r="EE43" s="23">
        <f t="shared" si="38"/>
        <v>0</v>
      </c>
      <c r="EF43" s="23">
        <f t="shared" si="38"/>
        <v>0</v>
      </c>
      <c r="EG43" s="23">
        <f t="shared" si="38"/>
        <v>0</v>
      </c>
      <c r="EH43" s="23">
        <f t="shared" si="38"/>
        <v>0</v>
      </c>
      <c r="EI43" s="23">
        <f t="shared" si="38"/>
        <v>2</v>
      </c>
      <c r="EJ43" s="23">
        <f t="shared" si="38"/>
        <v>100</v>
      </c>
    </row>
    <row r="44" spans="1:140" ht="9.9" customHeight="1" x14ac:dyDescent="0.3">
      <c r="A44" s="23">
        <v>35</v>
      </c>
      <c r="B44" s="50" t="str">
        <f>IF(PRELIM!B44="","",PRELIM!B44)</f>
        <v>VENERACION, PRINCESS P.</v>
      </c>
      <c r="C44" s="69" t="s">
        <v>190</v>
      </c>
      <c r="D44" s="69" t="s">
        <v>190</v>
      </c>
      <c r="E44" s="69" t="s">
        <v>190</v>
      </c>
      <c r="F44" s="69" t="s">
        <v>190</v>
      </c>
      <c r="G44" s="69" t="s">
        <v>190</v>
      </c>
      <c r="H44" s="38" t="s">
        <v>190</v>
      </c>
      <c r="I44" s="38" t="s">
        <v>190</v>
      </c>
      <c r="J44" s="38" t="s">
        <v>190</v>
      </c>
      <c r="K44" s="38" t="s">
        <v>190</v>
      </c>
      <c r="L44" s="38" t="s">
        <v>190</v>
      </c>
      <c r="M44" s="38" t="s">
        <v>190</v>
      </c>
      <c r="N44" s="38"/>
      <c r="O44" s="38"/>
      <c r="P44" s="38"/>
      <c r="Q44" s="38"/>
      <c r="R44" s="38"/>
      <c r="S44" s="38"/>
      <c r="T44" s="38"/>
      <c r="U44" s="38"/>
      <c r="V44" s="38"/>
      <c r="W44" s="39">
        <f t="shared" si="6"/>
        <v>100</v>
      </c>
      <c r="X44" s="38">
        <v>6</v>
      </c>
      <c r="Y44" s="38">
        <v>2</v>
      </c>
      <c r="Z44" s="38">
        <v>6</v>
      </c>
      <c r="AA44" s="38">
        <v>8</v>
      </c>
      <c r="AB44" s="38">
        <v>7</v>
      </c>
      <c r="AC44" s="38">
        <v>9</v>
      </c>
      <c r="AD44" s="38">
        <v>7</v>
      </c>
      <c r="AE44" s="38"/>
      <c r="AF44" s="38"/>
      <c r="AG44" s="38"/>
      <c r="AH44" s="40">
        <f t="shared" si="33"/>
        <v>76</v>
      </c>
      <c r="AI44" s="40">
        <f t="shared" si="33"/>
        <v>52</v>
      </c>
      <c r="AJ44" s="40">
        <f t="shared" si="33"/>
        <v>76</v>
      </c>
      <c r="AK44" s="40">
        <f t="shared" si="33"/>
        <v>88</v>
      </c>
      <c r="AL44" s="40">
        <f t="shared" si="33"/>
        <v>82</v>
      </c>
      <c r="AM44" s="40">
        <f t="shared" si="31"/>
        <v>94</v>
      </c>
      <c r="AN44" s="40">
        <f t="shared" si="31"/>
        <v>82</v>
      </c>
      <c r="AO44" s="40" t="str">
        <f t="shared" si="31"/>
        <v xml:space="preserve"> </v>
      </c>
      <c r="AP44" s="40" t="str">
        <f t="shared" si="31"/>
        <v xml:space="preserve"> </v>
      </c>
      <c r="AQ44" s="40" t="str">
        <f t="shared" si="31"/>
        <v xml:space="preserve"> </v>
      </c>
      <c r="AR44" s="41">
        <f t="shared" si="8"/>
        <v>78.571428571428569</v>
      </c>
      <c r="AS44" s="38">
        <v>100</v>
      </c>
      <c r="AT44" s="164">
        <f t="shared" si="20"/>
        <v>100</v>
      </c>
      <c r="AU44" s="38"/>
      <c r="AV44" s="38"/>
      <c r="AW44" s="38"/>
      <c r="AX44" s="38"/>
      <c r="AY44" s="38"/>
      <c r="AZ44" s="38"/>
      <c r="BA44" s="38"/>
      <c r="BB44" s="38"/>
      <c r="BC44" s="42">
        <f t="shared" si="34"/>
        <v>100</v>
      </c>
      <c r="BD44" s="42">
        <f t="shared" si="34"/>
        <v>100</v>
      </c>
      <c r="BE44" s="42" t="str">
        <f t="shared" si="34"/>
        <v xml:space="preserve"> </v>
      </c>
      <c r="BF44" s="42" t="str">
        <f t="shared" si="34"/>
        <v xml:space="preserve"> </v>
      </c>
      <c r="BG44" s="42" t="str">
        <f t="shared" si="34"/>
        <v xml:space="preserve"> </v>
      </c>
      <c r="BH44" s="42" t="str">
        <f t="shared" si="32"/>
        <v xml:space="preserve"> </v>
      </c>
      <c r="BI44" s="42" t="str">
        <f t="shared" si="32"/>
        <v xml:space="preserve"> </v>
      </c>
      <c r="BJ44" s="42" t="str">
        <f t="shared" si="32"/>
        <v xml:space="preserve"> </v>
      </c>
      <c r="BK44" s="42" t="str">
        <f t="shared" si="32"/>
        <v xml:space="preserve"> </v>
      </c>
      <c r="BL44" s="42" t="str">
        <f t="shared" si="32"/>
        <v xml:space="preserve"> </v>
      </c>
      <c r="BM44" s="43">
        <f t="shared" si="10"/>
        <v>100</v>
      </c>
      <c r="BN44" s="38">
        <v>76</v>
      </c>
      <c r="BO44" s="44">
        <f t="shared" si="11"/>
        <v>85.6</v>
      </c>
      <c r="BP44" s="20"/>
      <c r="BQ44" s="39">
        <f t="shared" si="21"/>
        <v>86.722857142857137</v>
      </c>
      <c r="BR44" s="23" t="str">
        <f t="shared" si="22"/>
        <v>PASSED</v>
      </c>
      <c r="BS44" s="45"/>
      <c r="BT44" s="46"/>
      <c r="BU44" s="46"/>
      <c r="BV44" s="46"/>
      <c r="BW44" s="21">
        <f t="shared" si="36"/>
        <v>1</v>
      </c>
      <c r="BX44" s="22">
        <f t="shared" si="36"/>
        <v>1</v>
      </c>
      <c r="BY44" s="22">
        <f t="shared" si="36"/>
        <v>1</v>
      </c>
      <c r="BZ44" s="22">
        <f t="shared" si="36"/>
        <v>1</v>
      </c>
      <c r="CA44" s="22">
        <f t="shared" si="36"/>
        <v>1</v>
      </c>
      <c r="CB44" s="22">
        <f t="shared" si="36"/>
        <v>1</v>
      </c>
      <c r="CC44" s="22">
        <f t="shared" si="36"/>
        <v>1</v>
      </c>
      <c r="CD44" s="22">
        <f t="shared" si="36"/>
        <v>1</v>
      </c>
      <c r="CE44" s="22">
        <f t="shared" si="36"/>
        <v>1</v>
      </c>
      <c r="CF44" s="22">
        <f t="shared" si="36"/>
        <v>1</v>
      </c>
      <c r="CG44" s="22">
        <f t="shared" si="36"/>
        <v>1</v>
      </c>
      <c r="CH44" s="22" t="str">
        <f t="shared" si="36"/>
        <v/>
      </c>
      <c r="CI44" s="22" t="str">
        <f t="shared" si="36"/>
        <v/>
      </c>
      <c r="CJ44" s="22" t="str">
        <f t="shared" si="36"/>
        <v/>
      </c>
      <c r="CK44" s="22" t="str">
        <f t="shared" si="36"/>
        <v/>
      </c>
      <c r="CL44" s="22" t="str">
        <f t="shared" si="24"/>
        <v/>
      </c>
      <c r="CM44" s="22" t="str">
        <f t="shared" si="24"/>
        <v/>
      </c>
      <c r="CN44" s="22" t="str">
        <f t="shared" si="24"/>
        <v/>
      </c>
      <c r="CO44" s="22" t="str">
        <f t="shared" si="24"/>
        <v/>
      </c>
      <c r="CP44" s="22" t="str">
        <f t="shared" si="24"/>
        <v/>
      </c>
      <c r="CQ44" s="22">
        <f t="shared" si="23"/>
        <v>11</v>
      </c>
      <c r="CR44" s="22">
        <f t="shared" si="3"/>
        <v>11</v>
      </c>
      <c r="CS44" s="22" t="str">
        <f t="shared" si="37"/>
        <v/>
      </c>
      <c r="CT44" s="22" t="str">
        <f t="shared" si="37"/>
        <v/>
      </c>
      <c r="CU44" s="22" t="str">
        <f t="shared" si="37"/>
        <v/>
      </c>
      <c r="CV44" s="22" t="str">
        <f t="shared" si="37"/>
        <v/>
      </c>
      <c r="CW44" s="22" t="str">
        <f t="shared" si="37"/>
        <v/>
      </c>
      <c r="CX44" s="22" t="str">
        <f t="shared" si="37"/>
        <v/>
      </c>
      <c r="CY44" s="22" t="str">
        <f t="shared" si="37"/>
        <v/>
      </c>
      <c r="CZ44" s="22" t="str">
        <f t="shared" si="37"/>
        <v/>
      </c>
      <c r="DA44" s="22" t="str">
        <f t="shared" si="37"/>
        <v/>
      </c>
      <c r="DB44" s="22" t="str">
        <f t="shared" si="37"/>
        <v/>
      </c>
      <c r="DC44" s="22" t="str">
        <f t="shared" si="37"/>
        <v/>
      </c>
      <c r="DD44" s="22" t="str">
        <f t="shared" si="37"/>
        <v/>
      </c>
      <c r="DE44" s="22" t="str">
        <f t="shared" si="37"/>
        <v/>
      </c>
      <c r="DF44" s="22" t="str">
        <f t="shared" si="37"/>
        <v/>
      </c>
      <c r="DG44" s="22" t="str">
        <f t="shared" si="37"/>
        <v/>
      </c>
      <c r="DH44" s="22" t="str">
        <f t="shared" si="25"/>
        <v/>
      </c>
      <c r="DI44" s="22" t="str">
        <f t="shared" si="25"/>
        <v/>
      </c>
      <c r="DJ44" s="22" t="str">
        <f t="shared" si="25"/>
        <v/>
      </c>
      <c r="DK44" s="22" t="str">
        <f t="shared" si="25"/>
        <v/>
      </c>
      <c r="DL44" s="22" t="str">
        <f t="shared" si="25"/>
        <v/>
      </c>
      <c r="DM44" s="22">
        <f t="shared" si="16"/>
        <v>0</v>
      </c>
      <c r="DN44" s="36">
        <f t="shared" si="35"/>
        <v>10</v>
      </c>
      <c r="DO44" s="36">
        <f t="shared" si="35"/>
        <v>10</v>
      </c>
      <c r="DP44" s="36">
        <f t="shared" si="35"/>
        <v>10</v>
      </c>
      <c r="DQ44" s="36">
        <f t="shared" si="35"/>
        <v>10</v>
      </c>
      <c r="DR44" s="36">
        <f t="shared" si="35"/>
        <v>10</v>
      </c>
      <c r="DS44" s="36">
        <f t="shared" si="35"/>
        <v>10</v>
      </c>
      <c r="DT44" s="36">
        <f t="shared" si="35"/>
        <v>10</v>
      </c>
      <c r="DU44" s="36">
        <f t="shared" si="35"/>
        <v>0</v>
      </c>
      <c r="DV44" s="36">
        <f t="shared" si="35"/>
        <v>0</v>
      </c>
      <c r="DW44" s="36">
        <f t="shared" si="35"/>
        <v>0</v>
      </c>
      <c r="DX44" s="23">
        <f t="shared" si="35"/>
        <v>7</v>
      </c>
      <c r="DY44" s="23">
        <f t="shared" si="35"/>
        <v>100</v>
      </c>
      <c r="DZ44" s="23">
        <f t="shared" si="35"/>
        <v>100</v>
      </c>
      <c r="EA44" s="23">
        <f t="shared" si="35"/>
        <v>0</v>
      </c>
      <c r="EB44" s="23">
        <f t="shared" si="35"/>
        <v>0</v>
      </c>
      <c r="EC44" s="23">
        <f t="shared" si="35"/>
        <v>0</v>
      </c>
      <c r="ED44" s="23">
        <f t="shared" si="38"/>
        <v>0</v>
      </c>
      <c r="EE44" s="23">
        <f t="shared" si="38"/>
        <v>0</v>
      </c>
      <c r="EF44" s="23">
        <f t="shared" si="38"/>
        <v>0</v>
      </c>
      <c r="EG44" s="23">
        <f t="shared" si="38"/>
        <v>0</v>
      </c>
      <c r="EH44" s="23">
        <f t="shared" si="38"/>
        <v>0</v>
      </c>
      <c r="EI44" s="23">
        <f t="shared" si="38"/>
        <v>2</v>
      </c>
      <c r="EJ44" s="23">
        <f t="shared" si="38"/>
        <v>100</v>
      </c>
    </row>
    <row r="45" spans="1:140" ht="9.9" customHeight="1" x14ac:dyDescent="0.3">
      <c r="A45" s="23">
        <v>36</v>
      </c>
      <c r="B45" s="50" t="str">
        <f>IF(PRELIM!B45="","",PRELIM!B45)</f>
        <v>VERGARA, RAYAN JAY M.</v>
      </c>
      <c r="C45" s="69" t="s">
        <v>190</v>
      </c>
      <c r="D45" s="69" t="s">
        <v>190</v>
      </c>
      <c r="E45" s="69" t="s">
        <v>190</v>
      </c>
      <c r="F45" s="69" t="s">
        <v>190</v>
      </c>
      <c r="G45" s="69" t="s">
        <v>190</v>
      </c>
      <c r="H45" s="38" t="s">
        <v>190</v>
      </c>
      <c r="I45" s="38" t="s">
        <v>190</v>
      </c>
      <c r="J45" s="38" t="s">
        <v>190</v>
      </c>
      <c r="K45" s="38" t="s">
        <v>190</v>
      </c>
      <c r="L45" s="38" t="s">
        <v>190</v>
      </c>
      <c r="M45" s="38" t="s">
        <v>190</v>
      </c>
      <c r="N45" s="38"/>
      <c r="O45" s="38"/>
      <c r="P45" s="38"/>
      <c r="Q45" s="38"/>
      <c r="R45" s="38"/>
      <c r="S45" s="38"/>
      <c r="T45" s="38"/>
      <c r="U45" s="38"/>
      <c r="V45" s="38"/>
      <c r="W45" s="39">
        <f t="shared" si="6"/>
        <v>100</v>
      </c>
      <c r="X45" s="38">
        <v>7</v>
      </c>
      <c r="Y45" s="38">
        <v>3</v>
      </c>
      <c r="Z45" s="38">
        <v>8</v>
      </c>
      <c r="AA45" s="38">
        <v>9</v>
      </c>
      <c r="AB45" s="38">
        <v>7</v>
      </c>
      <c r="AC45" s="38">
        <v>7</v>
      </c>
      <c r="AD45" s="38">
        <v>9</v>
      </c>
      <c r="AE45" s="38"/>
      <c r="AF45" s="38"/>
      <c r="AG45" s="38"/>
      <c r="AH45" s="40">
        <f t="shared" si="33"/>
        <v>82</v>
      </c>
      <c r="AI45" s="40">
        <f t="shared" si="33"/>
        <v>58</v>
      </c>
      <c r="AJ45" s="40">
        <f t="shared" si="33"/>
        <v>88</v>
      </c>
      <c r="AK45" s="40">
        <f t="shared" si="33"/>
        <v>94</v>
      </c>
      <c r="AL45" s="40">
        <f t="shared" si="33"/>
        <v>82</v>
      </c>
      <c r="AM45" s="40">
        <f t="shared" si="31"/>
        <v>82</v>
      </c>
      <c r="AN45" s="40">
        <f t="shared" si="31"/>
        <v>94</v>
      </c>
      <c r="AO45" s="40" t="str">
        <f t="shared" si="31"/>
        <v xml:space="preserve"> </v>
      </c>
      <c r="AP45" s="40" t="str">
        <f t="shared" si="31"/>
        <v xml:space="preserve"> </v>
      </c>
      <c r="AQ45" s="40" t="str">
        <f t="shared" si="31"/>
        <v xml:space="preserve"> </v>
      </c>
      <c r="AR45" s="41">
        <f t="shared" si="8"/>
        <v>82.857142857142861</v>
      </c>
      <c r="AS45" s="38">
        <v>100</v>
      </c>
      <c r="AT45" s="164">
        <f t="shared" si="20"/>
        <v>100</v>
      </c>
      <c r="AU45" s="38"/>
      <c r="AV45" s="38"/>
      <c r="AW45" s="38"/>
      <c r="AX45" s="38"/>
      <c r="AY45" s="38"/>
      <c r="AZ45" s="38"/>
      <c r="BA45" s="38"/>
      <c r="BB45" s="38"/>
      <c r="BC45" s="42">
        <f t="shared" si="34"/>
        <v>100</v>
      </c>
      <c r="BD45" s="42">
        <f t="shared" si="34"/>
        <v>100</v>
      </c>
      <c r="BE45" s="42" t="str">
        <f t="shared" si="34"/>
        <v xml:space="preserve"> </v>
      </c>
      <c r="BF45" s="42" t="str">
        <f t="shared" si="34"/>
        <v xml:space="preserve"> </v>
      </c>
      <c r="BG45" s="42" t="str">
        <f t="shared" si="34"/>
        <v xml:space="preserve"> </v>
      </c>
      <c r="BH45" s="42" t="str">
        <f t="shared" si="32"/>
        <v xml:space="preserve"> </v>
      </c>
      <c r="BI45" s="42" t="str">
        <f t="shared" si="32"/>
        <v xml:space="preserve"> </v>
      </c>
      <c r="BJ45" s="42" t="str">
        <f t="shared" si="32"/>
        <v xml:space="preserve"> </v>
      </c>
      <c r="BK45" s="42" t="str">
        <f t="shared" si="32"/>
        <v xml:space="preserve"> </v>
      </c>
      <c r="BL45" s="42" t="str">
        <f t="shared" si="32"/>
        <v xml:space="preserve"> </v>
      </c>
      <c r="BM45" s="43">
        <f t="shared" si="10"/>
        <v>100</v>
      </c>
      <c r="BN45" s="38">
        <v>68</v>
      </c>
      <c r="BO45" s="44">
        <f t="shared" si="11"/>
        <v>80.800000000000011</v>
      </c>
      <c r="BP45" s="20"/>
      <c r="BQ45" s="39">
        <f t="shared" si="21"/>
        <v>85.15428571428572</v>
      </c>
      <c r="BR45" s="23" t="str">
        <f t="shared" si="22"/>
        <v>PASSED</v>
      </c>
      <c r="BS45" s="45"/>
      <c r="BT45" s="46"/>
      <c r="BU45" s="46"/>
      <c r="BV45" s="46"/>
      <c r="BW45" s="21">
        <f t="shared" si="36"/>
        <v>1</v>
      </c>
      <c r="BX45" s="22">
        <f t="shared" si="36"/>
        <v>1</v>
      </c>
      <c r="BY45" s="22">
        <f t="shared" si="36"/>
        <v>1</v>
      </c>
      <c r="BZ45" s="22">
        <f t="shared" si="36"/>
        <v>1</v>
      </c>
      <c r="CA45" s="22">
        <f t="shared" si="36"/>
        <v>1</v>
      </c>
      <c r="CB45" s="22">
        <f t="shared" si="36"/>
        <v>1</v>
      </c>
      <c r="CC45" s="22">
        <f t="shared" si="36"/>
        <v>1</v>
      </c>
      <c r="CD45" s="22">
        <f t="shared" si="36"/>
        <v>1</v>
      </c>
      <c r="CE45" s="22">
        <f t="shared" si="36"/>
        <v>1</v>
      </c>
      <c r="CF45" s="22">
        <f t="shared" si="36"/>
        <v>1</v>
      </c>
      <c r="CG45" s="22">
        <f t="shared" si="36"/>
        <v>1</v>
      </c>
      <c r="CH45" s="22" t="str">
        <f t="shared" si="36"/>
        <v/>
      </c>
      <c r="CI45" s="22" t="str">
        <f t="shared" si="36"/>
        <v/>
      </c>
      <c r="CJ45" s="22" t="str">
        <f t="shared" si="36"/>
        <v/>
      </c>
      <c r="CK45" s="22" t="str">
        <f t="shared" si="36"/>
        <v/>
      </c>
      <c r="CL45" s="22" t="str">
        <f t="shared" si="24"/>
        <v/>
      </c>
      <c r="CM45" s="22" t="str">
        <f t="shared" si="24"/>
        <v/>
      </c>
      <c r="CN45" s="22" t="str">
        <f t="shared" si="24"/>
        <v/>
      </c>
      <c r="CO45" s="22" t="str">
        <f t="shared" si="24"/>
        <v/>
      </c>
      <c r="CP45" s="22" t="str">
        <f t="shared" si="24"/>
        <v/>
      </c>
      <c r="CQ45" s="22">
        <f t="shared" si="23"/>
        <v>11</v>
      </c>
      <c r="CR45" s="22">
        <f t="shared" si="3"/>
        <v>11</v>
      </c>
      <c r="CS45" s="22" t="str">
        <f t="shared" si="37"/>
        <v/>
      </c>
      <c r="CT45" s="22" t="str">
        <f t="shared" si="37"/>
        <v/>
      </c>
      <c r="CU45" s="22" t="str">
        <f t="shared" si="37"/>
        <v/>
      </c>
      <c r="CV45" s="22" t="str">
        <f t="shared" si="37"/>
        <v/>
      </c>
      <c r="CW45" s="22" t="str">
        <f t="shared" si="37"/>
        <v/>
      </c>
      <c r="CX45" s="22" t="str">
        <f t="shared" si="37"/>
        <v/>
      </c>
      <c r="CY45" s="22" t="str">
        <f t="shared" si="37"/>
        <v/>
      </c>
      <c r="CZ45" s="22" t="str">
        <f t="shared" si="37"/>
        <v/>
      </c>
      <c r="DA45" s="22" t="str">
        <f t="shared" si="37"/>
        <v/>
      </c>
      <c r="DB45" s="22" t="str">
        <f t="shared" si="37"/>
        <v/>
      </c>
      <c r="DC45" s="22" t="str">
        <f t="shared" si="37"/>
        <v/>
      </c>
      <c r="DD45" s="22" t="str">
        <f t="shared" si="37"/>
        <v/>
      </c>
      <c r="DE45" s="22" t="str">
        <f t="shared" si="37"/>
        <v/>
      </c>
      <c r="DF45" s="22" t="str">
        <f t="shared" si="37"/>
        <v/>
      </c>
      <c r="DG45" s="22" t="str">
        <f t="shared" si="37"/>
        <v/>
      </c>
      <c r="DH45" s="22" t="str">
        <f t="shared" si="25"/>
        <v/>
      </c>
      <c r="DI45" s="22" t="str">
        <f t="shared" si="25"/>
        <v/>
      </c>
      <c r="DJ45" s="22" t="str">
        <f t="shared" si="25"/>
        <v/>
      </c>
      <c r="DK45" s="22" t="str">
        <f t="shared" si="25"/>
        <v/>
      </c>
      <c r="DL45" s="22" t="str">
        <f t="shared" si="25"/>
        <v/>
      </c>
      <c r="DM45" s="22">
        <f t="shared" si="16"/>
        <v>0</v>
      </c>
      <c r="DN45" s="36">
        <f t="shared" si="35"/>
        <v>10</v>
      </c>
      <c r="DO45" s="36">
        <f t="shared" si="35"/>
        <v>10</v>
      </c>
      <c r="DP45" s="36">
        <f t="shared" si="35"/>
        <v>10</v>
      </c>
      <c r="DQ45" s="36">
        <f t="shared" si="35"/>
        <v>10</v>
      </c>
      <c r="DR45" s="36">
        <f t="shared" si="35"/>
        <v>10</v>
      </c>
      <c r="DS45" s="36">
        <f t="shared" si="35"/>
        <v>10</v>
      </c>
      <c r="DT45" s="36">
        <f t="shared" si="35"/>
        <v>10</v>
      </c>
      <c r="DU45" s="36">
        <f t="shared" si="35"/>
        <v>0</v>
      </c>
      <c r="DV45" s="36">
        <f t="shared" si="35"/>
        <v>0</v>
      </c>
      <c r="DW45" s="36">
        <f t="shared" si="35"/>
        <v>0</v>
      </c>
      <c r="DX45" s="23">
        <f t="shared" si="35"/>
        <v>7</v>
      </c>
      <c r="DY45" s="23">
        <f t="shared" si="35"/>
        <v>100</v>
      </c>
      <c r="DZ45" s="23">
        <f t="shared" si="35"/>
        <v>100</v>
      </c>
      <c r="EA45" s="23">
        <f t="shared" si="35"/>
        <v>0</v>
      </c>
      <c r="EB45" s="23">
        <f t="shared" si="35"/>
        <v>0</v>
      </c>
      <c r="EC45" s="23">
        <f t="shared" si="35"/>
        <v>0</v>
      </c>
      <c r="ED45" s="23">
        <f t="shared" si="38"/>
        <v>0</v>
      </c>
      <c r="EE45" s="23">
        <f t="shared" si="38"/>
        <v>0</v>
      </c>
      <c r="EF45" s="23">
        <f t="shared" si="38"/>
        <v>0</v>
      </c>
      <c r="EG45" s="23">
        <f t="shared" si="38"/>
        <v>0</v>
      </c>
      <c r="EH45" s="23">
        <f t="shared" si="38"/>
        <v>0</v>
      </c>
      <c r="EI45" s="23">
        <f t="shared" si="38"/>
        <v>2</v>
      </c>
      <c r="EJ45" s="23">
        <f t="shared" si="38"/>
        <v>100</v>
      </c>
    </row>
    <row r="46" spans="1:140" ht="9.9" customHeight="1" x14ac:dyDescent="0.3">
      <c r="A46" s="23">
        <v>37</v>
      </c>
      <c r="B46" s="50" t="str">
        <f>IF(PRELIM!B46="","",PRELIM!B46)</f>
        <v>VILLAVER, JEHAN CEDRIC G.</v>
      </c>
      <c r="C46" s="69" t="s">
        <v>190</v>
      </c>
      <c r="D46" s="69" t="s">
        <v>190</v>
      </c>
      <c r="E46" s="69" t="s">
        <v>190</v>
      </c>
      <c r="F46" s="69" t="s">
        <v>190</v>
      </c>
      <c r="G46" s="69" t="s">
        <v>190</v>
      </c>
      <c r="H46" s="38" t="s">
        <v>190</v>
      </c>
      <c r="I46" s="38" t="s">
        <v>190</v>
      </c>
      <c r="J46" s="38" t="s">
        <v>190</v>
      </c>
      <c r="K46" s="38" t="s">
        <v>190</v>
      </c>
      <c r="L46" s="38" t="s">
        <v>190</v>
      </c>
      <c r="M46" s="38" t="s">
        <v>190</v>
      </c>
      <c r="N46" s="38"/>
      <c r="O46" s="38"/>
      <c r="P46" s="38"/>
      <c r="Q46" s="38"/>
      <c r="R46" s="38"/>
      <c r="S46" s="38"/>
      <c r="T46" s="38"/>
      <c r="U46" s="38"/>
      <c r="V46" s="38"/>
      <c r="W46" s="39">
        <f t="shared" si="6"/>
        <v>100</v>
      </c>
      <c r="X46" s="38">
        <v>2</v>
      </c>
      <c r="Y46" s="38">
        <v>1</v>
      </c>
      <c r="Z46" s="38">
        <v>4</v>
      </c>
      <c r="AA46" s="38">
        <v>7</v>
      </c>
      <c r="AB46" s="38">
        <v>5</v>
      </c>
      <c r="AC46" s="38">
        <v>9</v>
      </c>
      <c r="AD46" s="38">
        <v>7</v>
      </c>
      <c r="AE46" s="38"/>
      <c r="AF46" s="38"/>
      <c r="AG46" s="38"/>
      <c r="AH46" s="40">
        <f t="shared" si="33"/>
        <v>52</v>
      </c>
      <c r="AI46" s="40">
        <f t="shared" si="33"/>
        <v>46</v>
      </c>
      <c r="AJ46" s="40">
        <f t="shared" si="33"/>
        <v>64</v>
      </c>
      <c r="AK46" s="40">
        <f t="shared" si="33"/>
        <v>82</v>
      </c>
      <c r="AL46" s="40">
        <f t="shared" si="33"/>
        <v>70</v>
      </c>
      <c r="AM46" s="40">
        <f t="shared" si="31"/>
        <v>94</v>
      </c>
      <c r="AN46" s="40">
        <f t="shared" si="31"/>
        <v>82</v>
      </c>
      <c r="AO46" s="40" t="str">
        <f t="shared" si="31"/>
        <v xml:space="preserve"> </v>
      </c>
      <c r="AP46" s="40" t="str">
        <f t="shared" si="31"/>
        <v xml:space="preserve"> </v>
      </c>
      <c r="AQ46" s="40" t="str">
        <f t="shared" si="31"/>
        <v xml:space="preserve"> </v>
      </c>
      <c r="AR46" s="41">
        <f t="shared" si="8"/>
        <v>70</v>
      </c>
      <c r="AS46" s="38">
        <v>100</v>
      </c>
      <c r="AT46" s="164">
        <f t="shared" si="20"/>
        <v>100</v>
      </c>
      <c r="AU46" s="38"/>
      <c r="AV46" s="38"/>
      <c r="AW46" s="38"/>
      <c r="AX46" s="38"/>
      <c r="AY46" s="38"/>
      <c r="AZ46" s="38"/>
      <c r="BA46" s="38"/>
      <c r="BB46" s="38"/>
      <c r="BC46" s="42">
        <f t="shared" si="34"/>
        <v>100</v>
      </c>
      <c r="BD46" s="42">
        <f t="shared" si="34"/>
        <v>100</v>
      </c>
      <c r="BE46" s="42" t="str">
        <f t="shared" si="34"/>
        <v xml:space="preserve"> </v>
      </c>
      <c r="BF46" s="42" t="str">
        <f t="shared" si="34"/>
        <v xml:space="preserve"> </v>
      </c>
      <c r="BG46" s="42" t="str">
        <f t="shared" si="34"/>
        <v xml:space="preserve"> </v>
      </c>
      <c r="BH46" s="42" t="str">
        <f t="shared" si="32"/>
        <v xml:space="preserve"> </v>
      </c>
      <c r="BI46" s="42" t="str">
        <f t="shared" si="32"/>
        <v xml:space="preserve"> </v>
      </c>
      <c r="BJ46" s="42" t="str">
        <f t="shared" si="32"/>
        <v xml:space="preserve"> </v>
      </c>
      <c r="BK46" s="42" t="str">
        <f t="shared" si="32"/>
        <v xml:space="preserve"> </v>
      </c>
      <c r="BL46" s="42" t="str">
        <f t="shared" si="32"/>
        <v xml:space="preserve"> </v>
      </c>
      <c r="BM46" s="43">
        <f t="shared" si="10"/>
        <v>100</v>
      </c>
      <c r="BN46" s="38">
        <v>63</v>
      </c>
      <c r="BO46" s="44">
        <f t="shared" si="11"/>
        <v>77.8</v>
      </c>
      <c r="BP46" s="20"/>
      <c r="BQ46" s="39">
        <f t="shared" si="21"/>
        <v>80.289999999999992</v>
      </c>
      <c r="BR46" s="23" t="str">
        <f t="shared" si="22"/>
        <v>PASSED</v>
      </c>
      <c r="BS46" s="45"/>
      <c r="BT46" s="46"/>
      <c r="BU46" s="46"/>
      <c r="BV46" s="46"/>
      <c r="BW46" s="21">
        <f t="shared" si="36"/>
        <v>1</v>
      </c>
      <c r="BX46" s="22">
        <f t="shared" si="36"/>
        <v>1</v>
      </c>
      <c r="BY46" s="22">
        <f t="shared" si="36"/>
        <v>1</v>
      </c>
      <c r="BZ46" s="22">
        <f t="shared" si="36"/>
        <v>1</v>
      </c>
      <c r="CA46" s="22">
        <f t="shared" si="36"/>
        <v>1</v>
      </c>
      <c r="CB46" s="22">
        <f t="shared" si="36"/>
        <v>1</v>
      </c>
      <c r="CC46" s="22">
        <f t="shared" si="36"/>
        <v>1</v>
      </c>
      <c r="CD46" s="22">
        <f t="shared" si="36"/>
        <v>1</v>
      </c>
      <c r="CE46" s="22">
        <f t="shared" si="36"/>
        <v>1</v>
      </c>
      <c r="CF46" s="22">
        <f t="shared" si="36"/>
        <v>1</v>
      </c>
      <c r="CG46" s="22">
        <f t="shared" si="36"/>
        <v>1</v>
      </c>
      <c r="CH46" s="22" t="str">
        <f t="shared" si="36"/>
        <v/>
      </c>
      <c r="CI46" s="22" t="str">
        <f t="shared" si="36"/>
        <v/>
      </c>
      <c r="CJ46" s="22" t="str">
        <f t="shared" si="36"/>
        <v/>
      </c>
      <c r="CK46" s="22" t="str">
        <f t="shared" si="36"/>
        <v/>
      </c>
      <c r="CL46" s="22" t="str">
        <f t="shared" si="24"/>
        <v/>
      </c>
      <c r="CM46" s="22" t="str">
        <f t="shared" si="24"/>
        <v/>
      </c>
      <c r="CN46" s="22" t="str">
        <f t="shared" si="24"/>
        <v/>
      </c>
      <c r="CO46" s="22" t="str">
        <f t="shared" si="24"/>
        <v/>
      </c>
      <c r="CP46" s="22" t="str">
        <f t="shared" si="24"/>
        <v/>
      </c>
      <c r="CQ46" s="22">
        <f t="shared" si="23"/>
        <v>11</v>
      </c>
      <c r="CR46" s="22">
        <f t="shared" si="3"/>
        <v>11</v>
      </c>
      <c r="CS46" s="22" t="str">
        <f t="shared" si="37"/>
        <v/>
      </c>
      <c r="CT46" s="22" t="str">
        <f t="shared" si="37"/>
        <v/>
      </c>
      <c r="CU46" s="22" t="str">
        <f t="shared" si="37"/>
        <v/>
      </c>
      <c r="CV46" s="22" t="str">
        <f t="shared" si="37"/>
        <v/>
      </c>
      <c r="CW46" s="22" t="str">
        <f t="shared" si="37"/>
        <v/>
      </c>
      <c r="CX46" s="22" t="str">
        <f t="shared" si="37"/>
        <v/>
      </c>
      <c r="CY46" s="22" t="str">
        <f t="shared" si="37"/>
        <v/>
      </c>
      <c r="CZ46" s="22" t="str">
        <f t="shared" si="37"/>
        <v/>
      </c>
      <c r="DA46" s="22" t="str">
        <f t="shared" si="37"/>
        <v/>
      </c>
      <c r="DB46" s="22" t="str">
        <f t="shared" si="37"/>
        <v/>
      </c>
      <c r="DC46" s="22" t="str">
        <f t="shared" si="37"/>
        <v/>
      </c>
      <c r="DD46" s="22" t="str">
        <f t="shared" si="37"/>
        <v/>
      </c>
      <c r="DE46" s="22" t="str">
        <f t="shared" si="37"/>
        <v/>
      </c>
      <c r="DF46" s="22" t="str">
        <f t="shared" si="37"/>
        <v/>
      </c>
      <c r="DG46" s="22" t="str">
        <f t="shared" si="37"/>
        <v/>
      </c>
      <c r="DH46" s="22" t="str">
        <f t="shared" si="25"/>
        <v/>
      </c>
      <c r="DI46" s="22" t="str">
        <f t="shared" si="25"/>
        <v/>
      </c>
      <c r="DJ46" s="22" t="str">
        <f t="shared" si="25"/>
        <v/>
      </c>
      <c r="DK46" s="22" t="str">
        <f t="shared" si="25"/>
        <v/>
      </c>
      <c r="DL46" s="22" t="str">
        <f t="shared" si="25"/>
        <v/>
      </c>
      <c r="DM46" s="22">
        <f t="shared" si="16"/>
        <v>0</v>
      </c>
      <c r="DN46" s="36">
        <f t="shared" si="35"/>
        <v>10</v>
      </c>
      <c r="DO46" s="36">
        <f t="shared" si="35"/>
        <v>10</v>
      </c>
      <c r="DP46" s="36">
        <f t="shared" si="35"/>
        <v>10</v>
      </c>
      <c r="DQ46" s="36">
        <f t="shared" si="35"/>
        <v>10</v>
      </c>
      <c r="DR46" s="36">
        <f t="shared" si="35"/>
        <v>10</v>
      </c>
      <c r="DS46" s="36">
        <f t="shared" si="35"/>
        <v>10</v>
      </c>
      <c r="DT46" s="36">
        <f t="shared" si="35"/>
        <v>10</v>
      </c>
      <c r="DU46" s="36">
        <f t="shared" si="35"/>
        <v>0</v>
      </c>
      <c r="DV46" s="36">
        <f t="shared" si="35"/>
        <v>0</v>
      </c>
      <c r="DW46" s="36">
        <f t="shared" si="35"/>
        <v>0</v>
      </c>
      <c r="DX46" s="23">
        <f t="shared" si="35"/>
        <v>7</v>
      </c>
      <c r="DY46" s="23">
        <f t="shared" si="35"/>
        <v>100</v>
      </c>
      <c r="DZ46" s="23">
        <f t="shared" si="35"/>
        <v>100</v>
      </c>
      <c r="EA46" s="23">
        <f t="shared" si="35"/>
        <v>0</v>
      </c>
      <c r="EB46" s="23">
        <f t="shared" si="35"/>
        <v>0</v>
      </c>
      <c r="EC46" s="23">
        <f t="shared" si="35"/>
        <v>0</v>
      </c>
      <c r="ED46" s="23">
        <f t="shared" si="38"/>
        <v>0</v>
      </c>
      <c r="EE46" s="23">
        <f t="shared" si="38"/>
        <v>0</v>
      </c>
      <c r="EF46" s="23">
        <f t="shared" si="38"/>
        <v>0</v>
      </c>
      <c r="EG46" s="23">
        <f t="shared" si="38"/>
        <v>0</v>
      </c>
      <c r="EH46" s="23">
        <f t="shared" si="38"/>
        <v>0</v>
      </c>
      <c r="EI46" s="23">
        <f t="shared" si="38"/>
        <v>2</v>
      </c>
      <c r="EJ46" s="23">
        <f t="shared" si="38"/>
        <v>100</v>
      </c>
    </row>
    <row r="47" spans="1:140" ht="9.9" customHeight="1" x14ac:dyDescent="0.3">
      <c r="A47" s="23">
        <v>38</v>
      </c>
      <c r="B47" s="50" t="str">
        <f>IF(PRELIM!B47="","",PRELIM!B47)</f>
        <v/>
      </c>
      <c r="C47" s="69"/>
      <c r="D47" s="69"/>
      <c r="E47" s="69"/>
      <c r="F47" s="69"/>
      <c r="G47" s="69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9">
        <f t="shared" si="6"/>
        <v>40</v>
      </c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40">
        <f t="shared" si="33"/>
        <v>40</v>
      </c>
      <c r="AI47" s="40">
        <f t="shared" si="33"/>
        <v>40</v>
      </c>
      <c r="AJ47" s="40">
        <f t="shared" si="33"/>
        <v>40</v>
      </c>
      <c r="AK47" s="40">
        <f t="shared" si="33"/>
        <v>40</v>
      </c>
      <c r="AL47" s="40">
        <f t="shared" si="33"/>
        <v>40</v>
      </c>
      <c r="AM47" s="40">
        <f t="shared" si="31"/>
        <v>40</v>
      </c>
      <c r="AN47" s="40">
        <f t="shared" si="31"/>
        <v>40</v>
      </c>
      <c r="AO47" s="40" t="str">
        <f t="shared" si="31"/>
        <v xml:space="preserve"> </v>
      </c>
      <c r="AP47" s="40" t="str">
        <f t="shared" si="31"/>
        <v xml:space="preserve"> </v>
      </c>
      <c r="AQ47" s="40" t="str">
        <f t="shared" si="31"/>
        <v xml:space="preserve"> </v>
      </c>
      <c r="AR47" s="41">
        <f t="shared" si="8"/>
        <v>40</v>
      </c>
      <c r="AS47" s="38"/>
      <c r="AT47" s="164"/>
      <c r="AU47" s="38"/>
      <c r="AV47" s="38"/>
      <c r="AW47" s="38"/>
      <c r="AX47" s="38"/>
      <c r="AY47" s="38"/>
      <c r="AZ47" s="38"/>
      <c r="BA47" s="38"/>
      <c r="BB47" s="38"/>
      <c r="BC47" s="42">
        <f t="shared" si="34"/>
        <v>40</v>
      </c>
      <c r="BD47" s="42">
        <f t="shared" si="34"/>
        <v>40</v>
      </c>
      <c r="BE47" s="42" t="str">
        <f t="shared" si="34"/>
        <v xml:space="preserve"> </v>
      </c>
      <c r="BF47" s="42" t="str">
        <f t="shared" si="34"/>
        <v xml:space="preserve"> </v>
      </c>
      <c r="BG47" s="42" t="str">
        <f t="shared" si="34"/>
        <v xml:space="preserve"> </v>
      </c>
      <c r="BH47" s="42" t="str">
        <f t="shared" si="32"/>
        <v xml:space="preserve"> </v>
      </c>
      <c r="BI47" s="42" t="str">
        <f t="shared" si="32"/>
        <v xml:space="preserve"> </v>
      </c>
      <c r="BJ47" s="42" t="str">
        <f t="shared" si="32"/>
        <v xml:space="preserve"> </v>
      </c>
      <c r="BK47" s="42" t="str">
        <f t="shared" si="32"/>
        <v xml:space="preserve"> </v>
      </c>
      <c r="BL47" s="42" t="str">
        <f t="shared" si="32"/>
        <v xml:space="preserve"> </v>
      </c>
      <c r="BM47" s="43">
        <f t="shared" si="10"/>
        <v>40</v>
      </c>
      <c r="BN47" s="38"/>
      <c r="BO47" s="44">
        <f t="shared" si="11"/>
        <v>40</v>
      </c>
      <c r="BP47" s="20"/>
      <c r="BQ47" s="39">
        <f t="shared" si="21"/>
        <v>40</v>
      </c>
      <c r="BR47" s="23" t="str">
        <f t="shared" si="22"/>
        <v>FAILED</v>
      </c>
      <c r="BS47" s="45"/>
      <c r="BT47" s="46"/>
      <c r="BU47" s="46"/>
      <c r="BV47" s="46"/>
      <c r="BW47" s="21" t="str">
        <f t="shared" si="36"/>
        <v/>
      </c>
      <c r="BX47" s="22" t="str">
        <f t="shared" si="36"/>
        <v/>
      </c>
      <c r="BY47" s="22" t="str">
        <f t="shared" si="36"/>
        <v/>
      </c>
      <c r="BZ47" s="22" t="str">
        <f t="shared" si="36"/>
        <v/>
      </c>
      <c r="CA47" s="22" t="str">
        <f t="shared" si="36"/>
        <v/>
      </c>
      <c r="CB47" s="22" t="str">
        <f t="shared" si="36"/>
        <v/>
      </c>
      <c r="CC47" s="22" t="str">
        <f t="shared" si="36"/>
        <v/>
      </c>
      <c r="CD47" s="22" t="str">
        <f t="shared" si="36"/>
        <v/>
      </c>
      <c r="CE47" s="22" t="str">
        <f t="shared" si="36"/>
        <v/>
      </c>
      <c r="CF47" s="22" t="str">
        <f t="shared" si="36"/>
        <v/>
      </c>
      <c r="CG47" s="22" t="str">
        <f t="shared" si="36"/>
        <v/>
      </c>
      <c r="CH47" s="22" t="str">
        <f t="shared" si="36"/>
        <v/>
      </c>
      <c r="CI47" s="22" t="str">
        <f t="shared" si="36"/>
        <v/>
      </c>
      <c r="CJ47" s="22" t="str">
        <f t="shared" si="36"/>
        <v/>
      </c>
      <c r="CK47" s="22" t="str">
        <f t="shared" si="36"/>
        <v/>
      </c>
      <c r="CL47" s="22" t="str">
        <f t="shared" si="24"/>
        <v/>
      </c>
      <c r="CM47" s="22" t="str">
        <f t="shared" si="24"/>
        <v/>
      </c>
      <c r="CN47" s="22" t="str">
        <f t="shared" si="24"/>
        <v/>
      </c>
      <c r="CO47" s="22" t="str">
        <f t="shared" si="24"/>
        <v/>
      </c>
      <c r="CP47" s="22" t="str">
        <f t="shared" si="24"/>
        <v/>
      </c>
      <c r="CQ47" s="22">
        <f t="shared" si="23"/>
        <v>0</v>
      </c>
      <c r="CR47" s="22">
        <f t="shared" si="3"/>
        <v>11</v>
      </c>
      <c r="CS47" s="22" t="str">
        <f t="shared" si="37"/>
        <v/>
      </c>
      <c r="CT47" s="22" t="str">
        <f t="shared" si="37"/>
        <v/>
      </c>
      <c r="CU47" s="22" t="str">
        <f t="shared" si="37"/>
        <v/>
      </c>
      <c r="CV47" s="22" t="str">
        <f t="shared" si="37"/>
        <v/>
      </c>
      <c r="CW47" s="22" t="str">
        <f t="shared" si="37"/>
        <v/>
      </c>
      <c r="CX47" s="22" t="str">
        <f t="shared" si="37"/>
        <v/>
      </c>
      <c r="CY47" s="22" t="str">
        <f t="shared" si="37"/>
        <v/>
      </c>
      <c r="CZ47" s="22" t="str">
        <f t="shared" si="37"/>
        <v/>
      </c>
      <c r="DA47" s="22" t="str">
        <f t="shared" si="37"/>
        <v/>
      </c>
      <c r="DB47" s="22" t="str">
        <f t="shared" si="37"/>
        <v/>
      </c>
      <c r="DC47" s="22" t="str">
        <f t="shared" si="37"/>
        <v/>
      </c>
      <c r="DD47" s="22" t="str">
        <f t="shared" si="37"/>
        <v/>
      </c>
      <c r="DE47" s="22" t="str">
        <f t="shared" si="37"/>
        <v/>
      </c>
      <c r="DF47" s="22" t="str">
        <f t="shared" si="37"/>
        <v/>
      </c>
      <c r="DG47" s="22" t="str">
        <f t="shared" si="37"/>
        <v/>
      </c>
      <c r="DH47" s="22" t="str">
        <f t="shared" si="25"/>
        <v/>
      </c>
      <c r="DI47" s="22" t="str">
        <f t="shared" si="25"/>
        <v/>
      </c>
      <c r="DJ47" s="22" t="str">
        <f t="shared" si="25"/>
        <v/>
      </c>
      <c r="DK47" s="22" t="str">
        <f t="shared" si="25"/>
        <v/>
      </c>
      <c r="DL47" s="22" t="str">
        <f t="shared" si="25"/>
        <v/>
      </c>
      <c r="DM47" s="22">
        <f t="shared" si="16"/>
        <v>0</v>
      </c>
      <c r="DN47" s="36">
        <f t="shared" si="35"/>
        <v>10</v>
      </c>
      <c r="DO47" s="36">
        <f t="shared" si="35"/>
        <v>10</v>
      </c>
      <c r="DP47" s="36">
        <f t="shared" si="35"/>
        <v>10</v>
      </c>
      <c r="DQ47" s="36">
        <f t="shared" si="35"/>
        <v>10</v>
      </c>
      <c r="DR47" s="36">
        <f t="shared" si="35"/>
        <v>10</v>
      </c>
      <c r="DS47" s="36">
        <f t="shared" si="35"/>
        <v>10</v>
      </c>
      <c r="DT47" s="36">
        <f t="shared" si="35"/>
        <v>10</v>
      </c>
      <c r="DU47" s="36">
        <f t="shared" si="35"/>
        <v>0</v>
      </c>
      <c r="DV47" s="36">
        <f t="shared" si="35"/>
        <v>0</v>
      </c>
      <c r="DW47" s="36">
        <f t="shared" si="35"/>
        <v>0</v>
      </c>
      <c r="DX47" s="23">
        <f t="shared" si="35"/>
        <v>7</v>
      </c>
      <c r="DY47" s="23">
        <f t="shared" si="35"/>
        <v>100</v>
      </c>
      <c r="DZ47" s="23">
        <f t="shared" si="35"/>
        <v>100</v>
      </c>
      <c r="EA47" s="23">
        <f t="shared" si="35"/>
        <v>0</v>
      </c>
      <c r="EB47" s="23">
        <f t="shared" si="35"/>
        <v>0</v>
      </c>
      <c r="EC47" s="23">
        <f t="shared" si="35"/>
        <v>0</v>
      </c>
      <c r="ED47" s="23">
        <f t="shared" si="38"/>
        <v>0</v>
      </c>
      <c r="EE47" s="23">
        <f t="shared" si="38"/>
        <v>0</v>
      </c>
      <c r="EF47" s="23">
        <f t="shared" si="38"/>
        <v>0</v>
      </c>
      <c r="EG47" s="23">
        <f t="shared" si="38"/>
        <v>0</v>
      </c>
      <c r="EH47" s="23">
        <f t="shared" si="38"/>
        <v>0</v>
      </c>
      <c r="EI47" s="23">
        <f t="shared" si="38"/>
        <v>2</v>
      </c>
      <c r="EJ47" s="23">
        <f t="shared" si="38"/>
        <v>100</v>
      </c>
    </row>
    <row r="48" spans="1:140" ht="9.9" customHeight="1" x14ac:dyDescent="0.3">
      <c r="A48" s="23">
        <v>39</v>
      </c>
      <c r="B48" s="50" t="str">
        <f>IF(PRELIM!B48="","",PRELIM!B48)</f>
        <v/>
      </c>
      <c r="C48" s="69"/>
      <c r="D48" s="69"/>
      <c r="E48" s="69"/>
      <c r="F48" s="69"/>
      <c r="G48" s="69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9">
        <f t="shared" si="6"/>
        <v>40</v>
      </c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40">
        <f t="shared" si="33"/>
        <v>40</v>
      </c>
      <c r="AI48" s="40">
        <f t="shared" si="33"/>
        <v>40</v>
      </c>
      <c r="AJ48" s="40">
        <f t="shared" si="33"/>
        <v>40</v>
      </c>
      <c r="AK48" s="40">
        <f t="shared" si="33"/>
        <v>40</v>
      </c>
      <c r="AL48" s="40">
        <f t="shared" si="33"/>
        <v>40</v>
      </c>
      <c r="AM48" s="40">
        <f t="shared" si="31"/>
        <v>40</v>
      </c>
      <c r="AN48" s="40">
        <f t="shared" si="31"/>
        <v>40</v>
      </c>
      <c r="AO48" s="40" t="str">
        <f t="shared" si="31"/>
        <v xml:space="preserve"> </v>
      </c>
      <c r="AP48" s="40" t="str">
        <f t="shared" si="31"/>
        <v xml:space="preserve"> </v>
      </c>
      <c r="AQ48" s="40" t="str">
        <f t="shared" si="31"/>
        <v xml:space="preserve"> </v>
      </c>
      <c r="AR48" s="41">
        <f t="shared" si="8"/>
        <v>40</v>
      </c>
      <c r="AS48" s="38"/>
      <c r="AT48" s="164"/>
      <c r="AU48" s="38"/>
      <c r="AV48" s="38"/>
      <c r="AW48" s="38"/>
      <c r="AX48" s="38"/>
      <c r="AY48" s="38"/>
      <c r="AZ48" s="38"/>
      <c r="BA48" s="38"/>
      <c r="BB48" s="38"/>
      <c r="BC48" s="42">
        <f t="shared" si="34"/>
        <v>40</v>
      </c>
      <c r="BD48" s="42">
        <f t="shared" si="34"/>
        <v>40</v>
      </c>
      <c r="BE48" s="42" t="str">
        <f t="shared" si="34"/>
        <v xml:space="preserve"> </v>
      </c>
      <c r="BF48" s="42" t="str">
        <f t="shared" si="34"/>
        <v xml:space="preserve"> </v>
      </c>
      <c r="BG48" s="42" t="str">
        <f t="shared" si="34"/>
        <v xml:space="preserve"> </v>
      </c>
      <c r="BH48" s="42" t="str">
        <f t="shared" si="32"/>
        <v xml:space="preserve"> </v>
      </c>
      <c r="BI48" s="42" t="str">
        <f t="shared" si="32"/>
        <v xml:space="preserve"> </v>
      </c>
      <c r="BJ48" s="42" t="str">
        <f t="shared" si="32"/>
        <v xml:space="preserve"> </v>
      </c>
      <c r="BK48" s="42" t="str">
        <f t="shared" si="32"/>
        <v xml:space="preserve"> </v>
      </c>
      <c r="BL48" s="42" t="str">
        <f t="shared" si="32"/>
        <v xml:space="preserve"> </v>
      </c>
      <c r="BM48" s="43">
        <f t="shared" si="10"/>
        <v>40</v>
      </c>
      <c r="BN48" s="38"/>
      <c r="BO48" s="44">
        <f t="shared" si="11"/>
        <v>40</v>
      </c>
      <c r="BP48" s="20"/>
      <c r="BQ48" s="39">
        <f t="shared" si="21"/>
        <v>40</v>
      </c>
      <c r="BR48" s="23" t="str">
        <f t="shared" si="22"/>
        <v>FAILED</v>
      </c>
      <c r="BS48" s="45"/>
      <c r="BT48" s="46"/>
      <c r="BU48" s="46"/>
      <c r="BV48" s="46"/>
      <c r="BW48" s="21" t="str">
        <f t="shared" si="36"/>
        <v/>
      </c>
      <c r="BX48" s="22" t="str">
        <f t="shared" si="36"/>
        <v/>
      </c>
      <c r="BY48" s="22" t="str">
        <f t="shared" si="36"/>
        <v/>
      </c>
      <c r="BZ48" s="22" t="str">
        <f t="shared" si="36"/>
        <v/>
      </c>
      <c r="CA48" s="22" t="str">
        <f t="shared" si="36"/>
        <v/>
      </c>
      <c r="CB48" s="22" t="str">
        <f t="shared" si="36"/>
        <v/>
      </c>
      <c r="CC48" s="22" t="str">
        <f t="shared" si="36"/>
        <v/>
      </c>
      <c r="CD48" s="22" t="str">
        <f t="shared" si="36"/>
        <v/>
      </c>
      <c r="CE48" s="22" t="str">
        <f t="shared" si="36"/>
        <v/>
      </c>
      <c r="CF48" s="22" t="str">
        <f t="shared" si="36"/>
        <v/>
      </c>
      <c r="CG48" s="22" t="str">
        <f t="shared" si="36"/>
        <v/>
      </c>
      <c r="CH48" s="22" t="str">
        <f t="shared" si="36"/>
        <v/>
      </c>
      <c r="CI48" s="22" t="str">
        <f t="shared" si="36"/>
        <v/>
      </c>
      <c r="CJ48" s="22" t="str">
        <f t="shared" si="36"/>
        <v/>
      </c>
      <c r="CK48" s="22" t="str">
        <f t="shared" si="36"/>
        <v/>
      </c>
      <c r="CL48" s="22" t="str">
        <f t="shared" si="24"/>
        <v/>
      </c>
      <c r="CM48" s="22" t="str">
        <f t="shared" si="24"/>
        <v/>
      </c>
      <c r="CN48" s="22" t="str">
        <f t="shared" si="24"/>
        <v/>
      </c>
      <c r="CO48" s="22" t="str">
        <f t="shared" si="24"/>
        <v/>
      </c>
      <c r="CP48" s="22" t="str">
        <f t="shared" si="24"/>
        <v/>
      </c>
      <c r="CQ48" s="22">
        <f t="shared" si="23"/>
        <v>0</v>
      </c>
      <c r="CR48" s="22">
        <f t="shared" si="3"/>
        <v>11</v>
      </c>
      <c r="CS48" s="22" t="str">
        <f t="shared" si="37"/>
        <v/>
      </c>
      <c r="CT48" s="22" t="str">
        <f t="shared" si="37"/>
        <v/>
      </c>
      <c r="CU48" s="22" t="str">
        <f t="shared" si="37"/>
        <v/>
      </c>
      <c r="CV48" s="22" t="str">
        <f t="shared" si="37"/>
        <v/>
      </c>
      <c r="CW48" s="22" t="str">
        <f t="shared" si="37"/>
        <v/>
      </c>
      <c r="CX48" s="22" t="str">
        <f t="shared" si="37"/>
        <v/>
      </c>
      <c r="CY48" s="22" t="str">
        <f t="shared" si="37"/>
        <v/>
      </c>
      <c r="CZ48" s="22" t="str">
        <f t="shared" si="37"/>
        <v/>
      </c>
      <c r="DA48" s="22" t="str">
        <f t="shared" si="37"/>
        <v/>
      </c>
      <c r="DB48" s="22" t="str">
        <f t="shared" si="37"/>
        <v/>
      </c>
      <c r="DC48" s="22" t="str">
        <f t="shared" si="37"/>
        <v/>
      </c>
      <c r="DD48" s="22" t="str">
        <f t="shared" si="37"/>
        <v/>
      </c>
      <c r="DE48" s="22" t="str">
        <f t="shared" si="37"/>
        <v/>
      </c>
      <c r="DF48" s="22" t="str">
        <f t="shared" si="37"/>
        <v/>
      </c>
      <c r="DG48" s="22" t="str">
        <f t="shared" si="37"/>
        <v/>
      </c>
      <c r="DH48" s="22" t="str">
        <f t="shared" si="25"/>
        <v/>
      </c>
      <c r="DI48" s="22" t="str">
        <f t="shared" si="25"/>
        <v/>
      </c>
      <c r="DJ48" s="22" t="str">
        <f t="shared" si="25"/>
        <v/>
      </c>
      <c r="DK48" s="22" t="str">
        <f t="shared" si="25"/>
        <v/>
      </c>
      <c r="DL48" s="22" t="str">
        <f t="shared" si="25"/>
        <v/>
      </c>
      <c r="DM48" s="22">
        <f t="shared" si="16"/>
        <v>0</v>
      </c>
      <c r="DN48" s="36">
        <f t="shared" si="35"/>
        <v>10</v>
      </c>
      <c r="DO48" s="36">
        <f t="shared" si="35"/>
        <v>10</v>
      </c>
      <c r="DP48" s="36">
        <f t="shared" si="35"/>
        <v>10</v>
      </c>
      <c r="DQ48" s="36">
        <f t="shared" si="35"/>
        <v>10</v>
      </c>
      <c r="DR48" s="36">
        <f t="shared" si="35"/>
        <v>10</v>
      </c>
      <c r="DS48" s="36">
        <f t="shared" si="35"/>
        <v>10</v>
      </c>
      <c r="DT48" s="36">
        <f t="shared" si="35"/>
        <v>10</v>
      </c>
      <c r="DU48" s="36">
        <f t="shared" si="35"/>
        <v>0</v>
      </c>
      <c r="DV48" s="36">
        <f t="shared" si="35"/>
        <v>0</v>
      </c>
      <c r="DW48" s="36">
        <f t="shared" si="35"/>
        <v>0</v>
      </c>
      <c r="DX48" s="23">
        <f t="shared" si="35"/>
        <v>7</v>
      </c>
      <c r="DY48" s="23">
        <f t="shared" si="35"/>
        <v>100</v>
      </c>
      <c r="DZ48" s="23">
        <f t="shared" si="35"/>
        <v>100</v>
      </c>
      <c r="EA48" s="23">
        <f t="shared" si="35"/>
        <v>0</v>
      </c>
      <c r="EB48" s="23">
        <f t="shared" si="35"/>
        <v>0</v>
      </c>
      <c r="EC48" s="23">
        <f t="shared" si="35"/>
        <v>0</v>
      </c>
      <c r="ED48" s="23">
        <f t="shared" si="38"/>
        <v>0</v>
      </c>
      <c r="EE48" s="23">
        <f t="shared" si="38"/>
        <v>0</v>
      </c>
      <c r="EF48" s="23">
        <f t="shared" si="38"/>
        <v>0</v>
      </c>
      <c r="EG48" s="23">
        <f t="shared" si="38"/>
        <v>0</v>
      </c>
      <c r="EH48" s="23">
        <f t="shared" si="38"/>
        <v>0</v>
      </c>
      <c r="EI48" s="23">
        <f t="shared" si="38"/>
        <v>2</v>
      </c>
      <c r="EJ48" s="23">
        <f t="shared" si="38"/>
        <v>100</v>
      </c>
    </row>
    <row r="49" spans="1:140" ht="9.9" customHeight="1" x14ac:dyDescent="0.3">
      <c r="A49" s="23">
        <v>40</v>
      </c>
      <c r="B49" s="50" t="str">
        <f>IF(PRELIM!B49="","",PRELIM!B49)</f>
        <v/>
      </c>
      <c r="C49" s="69"/>
      <c r="D49" s="69"/>
      <c r="E49" s="69"/>
      <c r="F49" s="69"/>
      <c r="G49" s="69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9">
        <f t="shared" si="6"/>
        <v>40</v>
      </c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40">
        <f t="shared" si="33"/>
        <v>40</v>
      </c>
      <c r="AI49" s="40">
        <f t="shared" si="33"/>
        <v>40</v>
      </c>
      <c r="AJ49" s="40">
        <f t="shared" si="33"/>
        <v>40</v>
      </c>
      <c r="AK49" s="40">
        <f t="shared" si="33"/>
        <v>40</v>
      </c>
      <c r="AL49" s="40">
        <f t="shared" si="33"/>
        <v>40</v>
      </c>
      <c r="AM49" s="40">
        <f t="shared" si="31"/>
        <v>40</v>
      </c>
      <c r="AN49" s="40">
        <f t="shared" si="31"/>
        <v>40</v>
      </c>
      <c r="AO49" s="40" t="str">
        <f t="shared" si="31"/>
        <v xml:space="preserve"> </v>
      </c>
      <c r="AP49" s="40" t="str">
        <f t="shared" si="31"/>
        <v xml:space="preserve"> </v>
      </c>
      <c r="AQ49" s="40" t="str">
        <f t="shared" si="31"/>
        <v xml:space="preserve"> </v>
      </c>
      <c r="AR49" s="41">
        <f t="shared" si="8"/>
        <v>40</v>
      </c>
      <c r="AS49" s="38"/>
      <c r="AT49" s="164"/>
      <c r="AU49" s="38"/>
      <c r="AV49" s="38"/>
      <c r="AW49" s="38"/>
      <c r="AX49" s="38"/>
      <c r="AY49" s="38"/>
      <c r="AZ49" s="38"/>
      <c r="BA49" s="38"/>
      <c r="BB49" s="38"/>
      <c r="BC49" s="42">
        <f t="shared" si="34"/>
        <v>40</v>
      </c>
      <c r="BD49" s="42">
        <f t="shared" si="34"/>
        <v>40</v>
      </c>
      <c r="BE49" s="42" t="str">
        <f t="shared" si="34"/>
        <v xml:space="preserve"> </v>
      </c>
      <c r="BF49" s="42" t="str">
        <f t="shared" si="34"/>
        <v xml:space="preserve"> </v>
      </c>
      <c r="BG49" s="42" t="str">
        <f t="shared" si="34"/>
        <v xml:space="preserve"> </v>
      </c>
      <c r="BH49" s="42" t="str">
        <f t="shared" si="32"/>
        <v xml:space="preserve"> </v>
      </c>
      <c r="BI49" s="42" t="str">
        <f t="shared" si="32"/>
        <v xml:space="preserve"> </v>
      </c>
      <c r="BJ49" s="42" t="str">
        <f t="shared" si="32"/>
        <v xml:space="preserve"> </v>
      </c>
      <c r="BK49" s="42" t="str">
        <f t="shared" si="32"/>
        <v xml:space="preserve"> </v>
      </c>
      <c r="BL49" s="42" t="str">
        <f t="shared" si="32"/>
        <v xml:space="preserve"> </v>
      </c>
      <c r="BM49" s="43">
        <f t="shared" si="10"/>
        <v>40</v>
      </c>
      <c r="BN49" s="38"/>
      <c r="BO49" s="44">
        <f t="shared" si="11"/>
        <v>40</v>
      </c>
      <c r="BP49" s="20"/>
      <c r="BQ49" s="39">
        <f t="shared" si="21"/>
        <v>40</v>
      </c>
      <c r="BR49" s="23" t="str">
        <f t="shared" si="22"/>
        <v>FAILED</v>
      </c>
      <c r="BS49" s="45"/>
      <c r="BT49" s="46"/>
      <c r="BU49" s="46"/>
      <c r="BV49" s="46"/>
      <c r="BW49" s="21" t="str">
        <f t="shared" si="36"/>
        <v/>
      </c>
      <c r="BX49" s="22" t="str">
        <f t="shared" si="36"/>
        <v/>
      </c>
      <c r="BY49" s="22" t="str">
        <f t="shared" si="36"/>
        <v/>
      </c>
      <c r="BZ49" s="22" t="str">
        <f t="shared" si="36"/>
        <v/>
      </c>
      <c r="CA49" s="22" t="str">
        <f t="shared" si="36"/>
        <v/>
      </c>
      <c r="CB49" s="22" t="str">
        <f t="shared" si="36"/>
        <v/>
      </c>
      <c r="CC49" s="22" t="str">
        <f t="shared" si="36"/>
        <v/>
      </c>
      <c r="CD49" s="22" t="str">
        <f t="shared" si="36"/>
        <v/>
      </c>
      <c r="CE49" s="22" t="str">
        <f t="shared" si="36"/>
        <v/>
      </c>
      <c r="CF49" s="22" t="str">
        <f t="shared" si="36"/>
        <v/>
      </c>
      <c r="CG49" s="22" t="str">
        <f t="shared" si="36"/>
        <v/>
      </c>
      <c r="CH49" s="22" t="str">
        <f t="shared" si="36"/>
        <v/>
      </c>
      <c r="CI49" s="22" t="str">
        <f t="shared" si="36"/>
        <v/>
      </c>
      <c r="CJ49" s="22" t="str">
        <f t="shared" si="36"/>
        <v/>
      </c>
      <c r="CK49" s="22" t="str">
        <f t="shared" si="36"/>
        <v/>
      </c>
      <c r="CL49" s="22" t="str">
        <f t="shared" si="24"/>
        <v/>
      </c>
      <c r="CM49" s="22" t="str">
        <f t="shared" si="24"/>
        <v/>
      </c>
      <c r="CN49" s="22" t="str">
        <f t="shared" si="24"/>
        <v/>
      </c>
      <c r="CO49" s="22" t="str">
        <f t="shared" si="24"/>
        <v/>
      </c>
      <c r="CP49" s="22" t="str">
        <f t="shared" si="24"/>
        <v/>
      </c>
      <c r="CQ49" s="22">
        <f t="shared" si="23"/>
        <v>0</v>
      </c>
      <c r="CR49" s="22">
        <f t="shared" si="3"/>
        <v>11</v>
      </c>
      <c r="CS49" s="22" t="str">
        <f t="shared" si="37"/>
        <v/>
      </c>
      <c r="CT49" s="22" t="str">
        <f t="shared" si="37"/>
        <v/>
      </c>
      <c r="CU49" s="22" t="str">
        <f t="shared" si="37"/>
        <v/>
      </c>
      <c r="CV49" s="22" t="str">
        <f t="shared" si="37"/>
        <v/>
      </c>
      <c r="CW49" s="22" t="str">
        <f t="shared" si="37"/>
        <v/>
      </c>
      <c r="CX49" s="22" t="str">
        <f t="shared" si="37"/>
        <v/>
      </c>
      <c r="CY49" s="22" t="str">
        <f t="shared" si="37"/>
        <v/>
      </c>
      <c r="CZ49" s="22" t="str">
        <f t="shared" si="37"/>
        <v/>
      </c>
      <c r="DA49" s="22" t="str">
        <f t="shared" si="37"/>
        <v/>
      </c>
      <c r="DB49" s="22" t="str">
        <f t="shared" si="37"/>
        <v/>
      </c>
      <c r="DC49" s="22" t="str">
        <f t="shared" si="37"/>
        <v/>
      </c>
      <c r="DD49" s="22" t="str">
        <f t="shared" si="37"/>
        <v/>
      </c>
      <c r="DE49" s="22" t="str">
        <f t="shared" si="37"/>
        <v/>
      </c>
      <c r="DF49" s="22" t="str">
        <f t="shared" si="37"/>
        <v/>
      </c>
      <c r="DG49" s="22" t="str">
        <f t="shared" si="37"/>
        <v/>
      </c>
      <c r="DH49" s="22" t="str">
        <f t="shared" si="25"/>
        <v/>
      </c>
      <c r="DI49" s="22" t="str">
        <f t="shared" si="25"/>
        <v/>
      </c>
      <c r="DJ49" s="22" t="str">
        <f t="shared" si="25"/>
        <v/>
      </c>
      <c r="DK49" s="22" t="str">
        <f t="shared" si="25"/>
        <v/>
      </c>
      <c r="DL49" s="22" t="str">
        <f t="shared" si="25"/>
        <v/>
      </c>
      <c r="DM49" s="22">
        <f t="shared" si="16"/>
        <v>0</v>
      </c>
      <c r="DN49" s="36">
        <f t="shared" si="35"/>
        <v>10</v>
      </c>
      <c r="DO49" s="36">
        <f t="shared" si="35"/>
        <v>10</v>
      </c>
      <c r="DP49" s="36">
        <f t="shared" si="35"/>
        <v>10</v>
      </c>
      <c r="DQ49" s="36">
        <f t="shared" si="35"/>
        <v>10</v>
      </c>
      <c r="DR49" s="36">
        <f t="shared" si="35"/>
        <v>10</v>
      </c>
      <c r="DS49" s="36">
        <f t="shared" si="35"/>
        <v>10</v>
      </c>
      <c r="DT49" s="36">
        <f t="shared" si="35"/>
        <v>10</v>
      </c>
      <c r="DU49" s="36">
        <f t="shared" si="35"/>
        <v>0</v>
      </c>
      <c r="DV49" s="36">
        <f t="shared" si="35"/>
        <v>0</v>
      </c>
      <c r="DW49" s="36">
        <f t="shared" si="35"/>
        <v>0</v>
      </c>
      <c r="DX49" s="23">
        <f t="shared" si="35"/>
        <v>7</v>
      </c>
      <c r="DY49" s="23">
        <f t="shared" si="35"/>
        <v>100</v>
      </c>
      <c r="DZ49" s="23">
        <f t="shared" si="35"/>
        <v>100</v>
      </c>
      <c r="EA49" s="23">
        <f t="shared" si="35"/>
        <v>0</v>
      </c>
      <c r="EB49" s="23">
        <f t="shared" si="35"/>
        <v>0</v>
      </c>
      <c r="EC49" s="23">
        <f t="shared" si="35"/>
        <v>0</v>
      </c>
      <c r="ED49" s="23">
        <f t="shared" si="38"/>
        <v>0</v>
      </c>
      <c r="EE49" s="23">
        <f t="shared" si="38"/>
        <v>0</v>
      </c>
      <c r="EF49" s="23">
        <f t="shared" si="38"/>
        <v>0</v>
      </c>
      <c r="EG49" s="23">
        <f t="shared" si="38"/>
        <v>0</v>
      </c>
      <c r="EH49" s="23">
        <f t="shared" si="38"/>
        <v>0</v>
      </c>
      <c r="EI49" s="23">
        <f t="shared" si="38"/>
        <v>2</v>
      </c>
      <c r="EJ49" s="23">
        <f t="shared" si="38"/>
        <v>100</v>
      </c>
    </row>
    <row r="50" spans="1:140" ht="9.9" customHeight="1" x14ac:dyDescent="0.3">
      <c r="A50" s="23">
        <v>41</v>
      </c>
      <c r="B50" s="50" t="str">
        <f>IF(PRELIM!B50="","",PRELIM!B50)</f>
        <v/>
      </c>
      <c r="C50" s="69"/>
      <c r="D50" s="69"/>
      <c r="E50" s="69"/>
      <c r="F50" s="69"/>
      <c r="G50" s="69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9">
        <f t="shared" si="6"/>
        <v>40</v>
      </c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40">
        <f t="shared" si="33"/>
        <v>40</v>
      </c>
      <c r="AI50" s="40">
        <f t="shared" si="33"/>
        <v>40</v>
      </c>
      <c r="AJ50" s="40">
        <f t="shared" si="33"/>
        <v>40</v>
      </c>
      <c r="AK50" s="40">
        <f t="shared" si="33"/>
        <v>40</v>
      </c>
      <c r="AL50" s="40">
        <f t="shared" si="33"/>
        <v>40</v>
      </c>
      <c r="AM50" s="40">
        <f t="shared" si="31"/>
        <v>40</v>
      </c>
      <c r="AN50" s="40">
        <f t="shared" si="31"/>
        <v>40</v>
      </c>
      <c r="AO50" s="40" t="str">
        <f t="shared" si="31"/>
        <v xml:space="preserve"> </v>
      </c>
      <c r="AP50" s="40" t="str">
        <f t="shared" si="31"/>
        <v xml:space="preserve"> </v>
      </c>
      <c r="AQ50" s="40" t="str">
        <f t="shared" si="31"/>
        <v xml:space="preserve"> </v>
      </c>
      <c r="AR50" s="41">
        <f t="shared" si="8"/>
        <v>40</v>
      </c>
      <c r="AS50" s="38"/>
      <c r="AT50" s="164"/>
      <c r="AU50" s="38"/>
      <c r="AV50" s="38"/>
      <c r="AW50" s="38"/>
      <c r="AX50" s="38"/>
      <c r="AY50" s="38"/>
      <c r="AZ50" s="38"/>
      <c r="BA50" s="38"/>
      <c r="BB50" s="38"/>
      <c r="BC50" s="42">
        <f t="shared" si="34"/>
        <v>40</v>
      </c>
      <c r="BD50" s="42">
        <f t="shared" si="34"/>
        <v>40</v>
      </c>
      <c r="BE50" s="42" t="str">
        <f t="shared" si="34"/>
        <v xml:space="preserve"> </v>
      </c>
      <c r="BF50" s="42" t="str">
        <f t="shared" si="34"/>
        <v xml:space="preserve"> </v>
      </c>
      <c r="BG50" s="42" t="str">
        <f t="shared" si="34"/>
        <v xml:space="preserve"> </v>
      </c>
      <c r="BH50" s="42" t="str">
        <f t="shared" si="32"/>
        <v xml:space="preserve"> </v>
      </c>
      <c r="BI50" s="42" t="str">
        <f t="shared" si="32"/>
        <v xml:space="preserve"> </v>
      </c>
      <c r="BJ50" s="42" t="str">
        <f t="shared" si="32"/>
        <v xml:space="preserve"> </v>
      </c>
      <c r="BK50" s="42" t="str">
        <f t="shared" si="32"/>
        <v xml:space="preserve"> </v>
      </c>
      <c r="BL50" s="42" t="str">
        <f t="shared" si="32"/>
        <v xml:space="preserve"> </v>
      </c>
      <c r="BM50" s="43">
        <f t="shared" si="10"/>
        <v>40</v>
      </c>
      <c r="BN50" s="38"/>
      <c r="BO50" s="44">
        <f t="shared" si="11"/>
        <v>40</v>
      </c>
      <c r="BP50" s="20"/>
      <c r="BQ50" s="39">
        <f t="shared" si="21"/>
        <v>40</v>
      </c>
      <c r="BR50" s="23" t="str">
        <f t="shared" si="22"/>
        <v>FAILED</v>
      </c>
      <c r="BS50" s="45"/>
      <c r="BT50" s="46"/>
      <c r="BU50" s="46"/>
      <c r="BV50" s="46"/>
      <c r="BW50" s="21" t="str">
        <f t="shared" si="36"/>
        <v/>
      </c>
      <c r="BX50" s="22" t="str">
        <f t="shared" si="36"/>
        <v/>
      </c>
      <c r="BY50" s="22" t="str">
        <f t="shared" si="36"/>
        <v/>
      </c>
      <c r="BZ50" s="22" t="str">
        <f t="shared" si="36"/>
        <v/>
      </c>
      <c r="CA50" s="22" t="str">
        <f t="shared" si="36"/>
        <v/>
      </c>
      <c r="CB50" s="22" t="str">
        <f t="shared" si="36"/>
        <v/>
      </c>
      <c r="CC50" s="22" t="str">
        <f t="shared" si="36"/>
        <v/>
      </c>
      <c r="CD50" s="22" t="str">
        <f t="shared" si="36"/>
        <v/>
      </c>
      <c r="CE50" s="22" t="str">
        <f t="shared" si="36"/>
        <v/>
      </c>
      <c r="CF50" s="22" t="str">
        <f t="shared" si="36"/>
        <v/>
      </c>
      <c r="CG50" s="22" t="str">
        <f t="shared" si="36"/>
        <v/>
      </c>
      <c r="CH50" s="22" t="str">
        <f t="shared" si="36"/>
        <v/>
      </c>
      <c r="CI50" s="22" t="str">
        <f t="shared" si="36"/>
        <v/>
      </c>
      <c r="CJ50" s="22" t="str">
        <f t="shared" si="36"/>
        <v/>
      </c>
      <c r="CK50" s="22" t="str">
        <f t="shared" si="36"/>
        <v/>
      </c>
      <c r="CL50" s="22" t="str">
        <f t="shared" si="24"/>
        <v/>
      </c>
      <c r="CM50" s="22" t="str">
        <f t="shared" si="24"/>
        <v/>
      </c>
      <c r="CN50" s="22" t="str">
        <f t="shared" si="24"/>
        <v/>
      </c>
      <c r="CO50" s="22" t="str">
        <f t="shared" si="24"/>
        <v/>
      </c>
      <c r="CP50" s="22" t="str">
        <f t="shared" si="24"/>
        <v/>
      </c>
      <c r="CQ50" s="22">
        <f t="shared" si="23"/>
        <v>0</v>
      </c>
      <c r="CR50" s="22">
        <f t="shared" si="3"/>
        <v>11</v>
      </c>
      <c r="CS50" s="22" t="str">
        <f t="shared" si="37"/>
        <v/>
      </c>
      <c r="CT50" s="22" t="str">
        <f t="shared" si="37"/>
        <v/>
      </c>
      <c r="CU50" s="22" t="str">
        <f t="shared" si="37"/>
        <v/>
      </c>
      <c r="CV50" s="22" t="str">
        <f t="shared" si="37"/>
        <v/>
      </c>
      <c r="CW50" s="22" t="str">
        <f t="shared" si="37"/>
        <v/>
      </c>
      <c r="CX50" s="22" t="str">
        <f t="shared" si="37"/>
        <v/>
      </c>
      <c r="CY50" s="22" t="str">
        <f t="shared" si="37"/>
        <v/>
      </c>
      <c r="CZ50" s="22" t="str">
        <f t="shared" si="37"/>
        <v/>
      </c>
      <c r="DA50" s="22" t="str">
        <f t="shared" si="37"/>
        <v/>
      </c>
      <c r="DB50" s="22" t="str">
        <f t="shared" si="37"/>
        <v/>
      </c>
      <c r="DC50" s="22" t="str">
        <f t="shared" si="37"/>
        <v/>
      </c>
      <c r="DD50" s="22" t="str">
        <f t="shared" si="37"/>
        <v/>
      </c>
      <c r="DE50" s="22" t="str">
        <f t="shared" si="37"/>
        <v/>
      </c>
      <c r="DF50" s="22" t="str">
        <f t="shared" si="37"/>
        <v/>
      </c>
      <c r="DG50" s="22" t="str">
        <f t="shared" si="37"/>
        <v/>
      </c>
      <c r="DH50" s="22" t="str">
        <f t="shared" si="25"/>
        <v/>
      </c>
      <c r="DI50" s="22" t="str">
        <f t="shared" si="25"/>
        <v/>
      </c>
      <c r="DJ50" s="22" t="str">
        <f t="shared" si="25"/>
        <v/>
      </c>
      <c r="DK50" s="22" t="str">
        <f t="shared" si="25"/>
        <v/>
      </c>
      <c r="DL50" s="22" t="str">
        <f t="shared" si="25"/>
        <v/>
      </c>
      <c r="DM50" s="22">
        <f t="shared" si="16"/>
        <v>0</v>
      </c>
      <c r="DN50" s="36">
        <f t="shared" si="35"/>
        <v>10</v>
      </c>
      <c r="DO50" s="36">
        <f t="shared" si="35"/>
        <v>10</v>
      </c>
      <c r="DP50" s="36">
        <f t="shared" si="35"/>
        <v>10</v>
      </c>
      <c r="DQ50" s="36">
        <f t="shared" si="35"/>
        <v>10</v>
      </c>
      <c r="DR50" s="36">
        <f t="shared" si="35"/>
        <v>10</v>
      </c>
      <c r="DS50" s="36">
        <f t="shared" si="35"/>
        <v>10</v>
      </c>
      <c r="DT50" s="36">
        <f t="shared" si="35"/>
        <v>10</v>
      </c>
      <c r="DU50" s="36">
        <f t="shared" si="35"/>
        <v>0</v>
      </c>
      <c r="DV50" s="36">
        <f t="shared" si="35"/>
        <v>0</v>
      </c>
      <c r="DW50" s="36">
        <f t="shared" si="35"/>
        <v>0</v>
      </c>
      <c r="DX50" s="23">
        <f t="shared" si="35"/>
        <v>7</v>
      </c>
      <c r="DY50" s="23">
        <f t="shared" si="35"/>
        <v>100</v>
      </c>
      <c r="DZ50" s="23">
        <f t="shared" si="35"/>
        <v>100</v>
      </c>
      <c r="EA50" s="23">
        <f t="shared" si="35"/>
        <v>0</v>
      </c>
      <c r="EB50" s="23">
        <f t="shared" si="35"/>
        <v>0</v>
      </c>
      <c r="EC50" s="23">
        <f t="shared" si="35"/>
        <v>0</v>
      </c>
      <c r="ED50" s="23">
        <f t="shared" si="38"/>
        <v>0</v>
      </c>
      <c r="EE50" s="23">
        <f t="shared" si="38"/>
        <v>0</v>
      </c>
      <c r="EF50" s="23">
        <f t="shared" si="38"/>
        <v>0</v>
      </c>
      <c r="EG50" s="23">
        <f t="shared" si="38"/>
        <v>0</v>
      </c>
      <c r="EH50" s="23">
        <f t="shared" si="38"/>
        <v>0</v>
      </c>
      <c r="EI50" s="23">
        <f t="shared" si="38"/>
        <v>2</v>
      </c>
      <c r="EJ50" s="23">
        <f t="shared" si="38"/>
        <v>100</v>
      </c>
    </row>
    <row r="51" spans="1:140" ht="9.9" customHeight="1" x14ac:dyDescent="0.3">
      <c r="A51" s="23">
        <v>42</v>
      </c>
      <c r="B51" s="50" t="str">
        <f>IF(PRELIM!B51="","",PRELIM!B51)</f>
        <v/>
      </c>
      <c r="C51" s="69"/>
      <c r="D51" s="69"/>
      <c r="E51" s="69"/>
      <c r="F51" s="69"/>
      <c r="G51" s="69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9">
        <f t="shared" si="6"/>
        <v>40</v>
      </c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40">
        <f t="shared" si="33"/>
        <v>40</v>
      </c>
      <c r="AI51" s="40">
        <f t="shared" si="33"/>
        <v>40</v>
      </c>
      <c r="AJ51" s="40">
        <f t="shared" si="33"/>
        <v>40</v>
      </c>
      <c r="AK51" s="40">
        <f t="shared" si="33"/>
        <v>40</v>
      </c>
      <c r="AL51" s="40">
        <f t="shared" si="33"/>
        <v>40</v>
      </c>
      <c r="AM51" s="40">
        <f t="shared" si="31"/>
        <v>40</v>
      </c>
      <c r="AN51" s="40">
        <f t="shared" si="31"/>
        <v>40</v>
      </c>
      <c r="AO51" s="40" t="str">
        <f t="shared" si="31"/>
        <v xml:space="preserve"> </v>
      </c>
      <c r="AP51" s="40" t="str">
        <f t="shared" si="31"/>
        <v xml:space="preserve"> </v>
      </c>
      <c r="AQ51" s="40" t="str">
        <f t="shared" si="31"/>
        <v xml:space="preserve"> </v>
      </c>
      <c r="AR51" s="41">
        <f t="shared" si="8"/>
        <v>40</v>
      </c>
      <c r="AS51" s="38"/>
      <c r="AT51" s="164"/>
      <c r="AU51" s="38"/>
      <c r="AV51" s="38"/>
      <c r="AW51" s="38"/>
      <c r="AX51" s="38"/>
      <c r="AY51" s="38"/>
      <c r="AZ51" s="38"/>
      <c r="BA51" s="38"/>
      <c r="BB51" s="38"/>
      <c r="BC51" s="42">
        <f t="shared" si="34"/>
        <v>40</v>
      </c>
      <c r="BD51" s="42">
        <f t="shared" si="34"/>
        <v>40</v>
      </c>
      <c r="BE51" s="42" t="str">
        <f t="shared" si="34"/>
        <v xml:space="preserve"> </v>
      </c>
      <c r="BF51" s="42" t="str">
        <f t="shared" si="34"/>
        <v xml:space="preserve"> </v>
      </c>
      <c r="BG51" s="42" t="str">
        <f t="shared" si="34"/>
        <v xml:space="preserve"> </v>
      </c>
      <c r="BH51" s="42" t="str">
        <f t="shared" si="32"/>
        <v xml:space="preserve"> </v>
      </c>
      <c r="BI51" s="42" t="str">
        <f t="shared" si="32"/>
        <v xml:space="preserve"> </v>
      </c>
      <c r="BJ51" s="42" t="str">
        <f t="shared" si="32"/>
        <v xml:space="preserve"> </v>
      </c>
      <c r="BK51" s="42" t="str">
        <f t="shared" si="32"/>
        <v xml:space="preserve"> </v>
      </c>
      <c r="BL51" s="42" t="str">
        <f t="shared" si="32"/>
        <v xml:space="preserve"> </v>
      </c>
      <c r="BM51" s="43">
        <f t="shared" si="10"/>
        <v>40</v>
      </c>
      <c r="BN51" s="38"/>
      <c r="BO51" s="44">
        <f t="shared" si="11"/>
        <v>40</v>
      </c>
      <c r="BP51" s="20"/>
      <c r="BQ51" s="39">
        <f t="shared" ref="BQ51:BQ59" si="39">(W51*0.05)+(AR51*0.25)+(BM51*0.1)+(BO51*0.6)</f>
        <v>40</v>
      </c>
      <c r="BR51" s="23" t="str">
        <f t="shared" si="22"/>
        <v>FAILED</v>
      </c>
      <c r="BS51" s="45"/>
      <c r="BT51" s="46"/>
      <c r="BU51" s="46"/>
      <c r="BV51" s="46"/>
      <c r="BW51" s="21" t="str">
        <f t="shared" si="36"/>
        <v/>
      </c>
      <c r="BX51" s="22" t="str">
        <f t="shared" si="36"/>
        <v/>
      </c>
      <c r="BY51" s="22" t="str">
        <f t="shared" si="36"/>
        <v/>
      </c>
      <c r="BZ51" s="22" t="str">
        <f t="shared" si="36"/>
        <v/>
      </c>
      <c r="CA51" s="22" t="str">
        <f t="shared" si="36"/>
        <v/>
      </c>
      <c r="CB51" s="22" t="str">
        <f t="shared" si="36"/>
        <v/>
      </c>
      <c r="CC51" s="22" t="str">
        <f t="shared" si="36"/>
        <v/>
      </c>
      <c r="CD51" s="22" t="str">
        <f t="shared" si="36"/>
        <v/>
      </c>
      <c r="CE51" s="22" t="str">
        <f t="shared" si="36"/>
        <v/>
      </c>
      <c r="CF51" s="22" t="str">
        <f t="shared" si="36"/>
        <v/>
      </c>
      <c r="CG51" s="22" t="str">
        <f t="shared" si="36"/>
        <v/>
      </c>
      <c r="CH51" s="22" t="str">
        <f t="shared" si="36"/>
        <v/>
      </c>
      <c r="CI51" s="22" t="str">
        <f t="shared" si="36"/>
        <v/>
      </c>
      <c r="CJ51" s="22" t="str">
        <f t="shared" si="36"/>
        <v/>
      </c>
      <c r="CK51" s="22" t="str">
        <f t="shared" si="36"/>
        <v/>
      </c>
      <c r="CL51" s="22" t="str">
        <f t="shared" si="24"/>
        <v/>
      </c>
      <c r="CM51" s="22" t="str">
        <f t="shared" si="24"/>
        <v/>
      </c>
      <c r="CN51" s="22" t="str">
        <f t="shared" si="24"/>
        <v/>
      </c>
      <c r="CO51" s="22" t="str">
        <f t="shared" si="24"/>
        <v/>
      </c>
      <c r="CP51" s="22" t="str">
        <f t="shared" si="24"/>
        <v/>
      </c>
      <c r="CQ51" s="22">
        <f t="shared" si="23"/>
        <v>0</v>
      </c>
      <c r="CR51" s="22">
        <f t="shared" si="3"/>
        <v>11</v>
      </c>
      <c r="CS51" s="22" t="str">
        <f t="shared" si="37"/>
        <v/>
      </c>
      <c r="CT51" s="22" t="str">
        <f t="shared" si="37"/>
        <v/>
      </c>
      <c r="CU51" s="22" t="str">
        <f t="shared" si="37"/>
        <v/>
      </c>
      <c r="CV51" s="22" t="str">
        <f t="shared" si="37"/>
        <v/>
      </c>
      <c r="CW51" s="22" t="str">
        <f t="shared" si="37"/>
        <v/>
      </c>
      <c r="CX51" s="22" t="str">
        <f t="shared" si="37"/>
        <v/>
      </c>
      <c r="CY51" s="22" t="str">
        <f t="shared" si="37"/>
        <v/>
      </c>
      <c r="CZ51" s="22" t="str">
        <f t="shared" si="37"/>
        <v/>
      </c>
      <c r="DA51" s="22" t="str">
        <f t="shared" si="37"/>
        <v/>
      </c>
      <c r="DB51" s="22" t="str">
        <f t="shared" si="37"/>
        <v/>
      </c>
      <c r="DC51" s="22" t="str">
        <f t="shared" si="37"/>
        <v/>
      </c>
      <c r="DD51" s="22" t="str">
        <f t="shared" si="37"/>
        <v/>
      </c>
      <c r="DE51" s="22" t="str">
        <f t="shared" si="37"/>
        <v/>
      </c>
      <c r="DF51" s="22" t="str">
        <f t="shared" si="37"/>
        <v/>
      </c>
      <c r="DG51" s="22" t="str">
        <f t="shared" si="37"/>
        <v/>
      </c>
      <c r="DH51" s="22" t="str">
        <f t="shared" si="25"/>
        <v/>
      </c>
      <c r="DI51" s="22" t="str">
        <f t="shared" si="25"/>
        <v/>
      </c>
      <c r="DJ51" s="22" t="str">
        <f t="shared" si="25"/>
        <v/>
      </c>
      <c r="DK51" s="22" t="str">
        <f t="shared" si="25"/>
        <v/>
      </c>
      <c r="DL51" s="22" t="str">
        <f t="shared" si="25"/>
        <v/>
      </c>
      <c r="DM51" s="22">
        <f t="shared" si="16"/>
        <v>0</v>
      </c>
      <c r="DN51" s="36">
        <f t="shared" si="35"/>
        <v>10</v>
      </c>
      <c r="DO51" s="36">
        <f t="shared" si="35"/>
        <v>10</v>
      </c>
      <c r="DP51" s="36">
        <f t="shared" si="35"/>
        <v>10</v>
      </c>
      <c r="DQ51" s="36">
        <f t="shared" si="35"/>
        <v>10</v>
      </c>
      <c r="DR51" s="36">
        <f t="shared" si="35"/>
        <v>10</v>
      </c>
      <c r="DS51" s="36">
        <f t="shared" si="35"/>
        <v>10</v>
      </c>
      <c r="DT51" s="36">
        <f t="shared" si="35"/>
        <v>10</v>
      </c>
      <c r="DU51" s="36">
        <f t="shared" si="35"/>
        <v>0</v>
      </c>
      <c r="DV51" s="36">
        <f t="shared" si="35"/>
        <v>0</v>
      </c>
      <c r="DW51" s="36">
        <f t="shared" si="35"/>
        <v>0</v>
      </c>
      <c r="DX51" s="23">
        <f t="shared" si="35"/>
        <v>7</v>
      </c>
      <c r="DY51" s="23">
        <f t="shared" si="35"/>
        <v>100</v>
      </c>
      <c r="DZ51" s="23">
        <f t="shared" si="35"/>
        <v>100</v>
      </c>
      <c r="EA51" s="23">
        <f t="shared" si="35"/>
        <v>0</v>
      </c>
      <c r="EB51" s="23">
        <f t="shared" si="35"/>
        <v>0</v>
      </c>
      <c r="EC51" s="23">
        <f t="shared" si="35"/>
        <v>0</v>
      </c>
      <c r="ED51" s="23">
        <f t="shared" si="38"/>
        <v>0</v>
      </c>
      <c r="EE51" s="23">
        <f t="shared" si="38"/>
        <v>0</v>
      </c>
      <c r="EF51" s="23">
        <f t="shared" si="38"/>
        <v>0</v>
      </c>
      <c r="EG51" s="23">
        <f t="shared" si="38"/>
        <v>0</v>
      </c>
      <c r="EH51" s="23">
        <f t="shared" si="38"/>
        <v>0</v>
      </c>
      <c r="EI51" s="23">
        <f t="shared" si="38"/>
        <v>2</v>
      </c>
      <c r="EJ51" s="23">
        <f t="shared" si="38"/>
        <v>100</v>
      </c>
    </row>
    <row r="52" spans="1:140" ht="9.9" customHeight="1" x14ac:dyDescent="0.3">
      <c r="A52" s="23">
        <v>43</v>
      </c>
      <c r="B52" s="50" t="str">
        <f>IF(PRELIM!B52="","",PRELIM!B52)</f>
        <v/>
      </c>
      <c r="C52" s="69"/>
      <c r="D52" s="69"/>
      <c r="E52" s="69"/>
      <c r="F52" s="69"/>
      <c r="G52" s="69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9">
        <f t="shared" si="6"/>
        <v>40</v>
      </c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40">
        <f t="shared" si="33"/>
        <v>40</v>
      </c>
      <c r="AI52" s="40">
        <f t="shared" si="33"/>
        <v>40</v>
      </c>
      <c r="AJ52" s="40">
        <f t="shared" si="33"/>
        <v>40</v>
      </c>
      <c r="AK52" s="40">
        <f t="shared" si="33"/>
        <v>40</v>
      </c>
      <c r="AL52" s="40">
        <f t="shared" si="33"/>
        <v>40</v>
      </c>
      <c r="AM52" s="40">
        <f t="shared" si="31"/>
        <v>40</v>
      </c>
      <c r="AN52" s="40">
        <f t="shared" si="31"/>
        <v>40</v>
      </c>
      <c r="AO52" s="40" t="str">
        <f t="shared" si="31"/>
        <v xml:space="preserve"> </v>
      </c>
      <c r="AP52" s="40" t="str">
        <f t="shared" si="31"/>
        <v xml:space="preserve"> </v>
      </c>
      <c r="AQ52" s="40" t="str">
        <f t="shared" si="31"/>
        <v xml:space="preserve"> </v>
      </c>
      <c r="AR52" s="41">
        <f t="shared" si="8"/>
        <v>40</v>
      </c>
      <c r="AS52" s="38"/>
      <c r="AT52" s="164"/>
      <c r="AU52" s="38"/>
      <c r="AV52" s="38"/>
      <c r="AW52" s="38"/>
      <c r="AX52" s="38"/>
      <c r="AY52" s="38"/>
      <c r="AZ52" s="38"/>
      <c r="BA52" s="38"/>
      <c r="BB52" s="38"/>
      <c r="BC52" s="42">
        <f t="shared" si="34"/>
        <v>40</v>
      </c>
      <c r="BD52" s="42">
        <f t="shared" si="34"/>
        <v>40</v>
      </c>
      <c r="BE52" s="42" t="str">
        <f t="shared" si="34"/>
        <v xml:space="preserve"> </v>
      </c>
      <c r="BF52" s="42" t="str">
        <f t="shared" si="34"/>
        <v xml:space="preserve"> </v>
      </c>
      <c r="BG52" s="42" t="str">
        <f t="shared" si="34"/>
        <v xml:space="preserve"> </v>
      </c>
      <c r="BH52" s="42" t="str">
        <f t="shared" si="32"/>
        <v xml:space="preserve"> </v>
      </c>
      <c r="BI52" s="42" t="str">
        <f t="shared" si="32"/>
        <v xml:space="preserve"> </v>
      </c>
      <c r="BJ52" s="42" t="str">
        <f t="shared" si="32"/>
        <v xml:space="preserve"> </v>
      </c>
      <c r="BK52" s="42" t="str">
        <f t="shared" si="32"/>
        <v xml:space="preserve"> </v>
      </c>
      <c r="BL52" s="42" t="str">
        <f t="shared" si="32"/>
        <v xml:space="preserve"> </v>
      </c>
      <c r="BM52" s="43">
        <f t="shared" si="10"/>
        <v>40</v>
      </c>
      <c r="BN52" s="38"/>
      <c r="BO52" s="44">
        <f t="shared" si="11"/>
        <v>40</v>
      </c>
      <c r="BP52" s="20"/>
      <c r="BQ52" s="39">
        <f t="shared" si="39"/>
        <v>40</v>
      </c>
      <c r="BR52" s="23" t="str">
        <f t="shared" si="22"/>
        <v>FAILED</v>
      </c>
      <c r="BS52" s="45"/>
      <c r="BT52" s="46"/>
      <c r="BU52" s="46"/>
      <c r="BV52" s="46"/>
      <c r="BW52" s="21" t="str">
        <f t="shared" si="36"/>
        <v/>
      </c>
      <c r="BX52" s="22" t="str">
        <f t="shared" si="36"/>
        <v/>
      </c>
      <c r="BY52" s="22" t="str">
        <f t="shared" si="36"/>
        <v/>
      </c>
      <c r="BZ52" s="22" t="str">
        <f t="shared" si="36"/>
        <v/>
      </c>
      <c r="CA52" s="22" t="str">
        <f t="shared" si="36"/>
        <v/>
      </c>
      <c r="CB52" s="22" t="str">
        <f t="shared" si="36"/>
        <v/>
      </c>
      <c r="CC52" s="22" t="str">
        <f t="shared" si="36"/>
        <v/>
      </c>
      <c r="CD52" s="22" t="str">
        <f t="shared" si="36"/>
        <v/>
      </c>
      <c r="CE52" s="22" t="str">
        <f t="shared" si="36"/>
        <v/>
      </c>
      <c r="CF52" s="22" t="str">
        <f t="shared" si="36"/>
        <v/>
      </c>
      <c r="CG52" s="22" t="str">
        <f t="shared" si="36"/>
        <v/>
      </c>
      <c r="CH52" s="22" t="str">
        <f t="shared" si="36"/>
        <v/>
      </c>
      <c r="CI52" s="22" t="str">
        <f t="shared" si="36"/>
        <v/>
      </c>
      <c r="CJ52" s="22" t="str">
        <f t="shared" si="36"/>
        <v/>
      </c>
      <c r="CK52" s="22" t="str">
        <f t="shared" si="36"/>
        <v/>
      </c>
      <c r="CL52" s="22" t="str">
        <f t="shared" si="24"/>
        <v/>
      </c>
      <c r="CM52" s="22" t="str">
        <f t="shared" si="24"/>
        <v/>
      </c>
      <c r="CN52" s="22" t="str">
        <f t="shared" si="24"/>
        <v/>
      </c>
      <c r="CO52" s="22" t="str">
        <f t="shared" si="24"/>
        <v/>
      </c>
      <c r="CP52" s="22" t="str">
        <f t="shared" si="24"/>
        <v/>
      </c>
      <c r="CQ52" s="22">
        <f t="shared" si="23"/>
        <v>0</v>
      </c>
      <c r="CR52" s="22">
        <f t="shared" si="3"/>
        <v>11</v>
      </c>
      <c r="CS52" s="22" t="str">
        <f t="shared" si="37"/>
        <v/>
      </c>
      <c r="CT52" s="22" t="str">
        <f t="shared" si="37"/>
        <v/>
      </c>
      <c r="CU52" s="22" t="str">
        <f t="shared" si="37"/>
        <v/>
      </c>
      <c r="CV52" s="22" t="str">
        <f t="shared" si="37"/>
        <v/>
      </c>
      <c r="CW52" s="22" t="str">
        <f t="shared" si="37"/>
        <v/>
      </c>
      <c r="CX52" s="22" t="str">
        <f t="shared" si="37"/>
        <v/>
      </c>
      <c r="CY52" s="22" t="str">
        <f t="shared" si="37"/>
        <v/>
      </c>
      <c r="CZ52" s="22" t="str">
        <f t="shared" si="37"/>
        <v/>
      </c>
      <c r="DA52" s="22" t="str">
        <f t="shared" si="37"/>
        <v/>
      </c>
      <c r="DB52" s="22" t="str">
        <f t="shared" si="37"/>
        <v/>
      </c>
      <c r="DC52" s="22" t="str">
        <f t="shared" si="37"/>
        <v/>
      </c>
      <c r="DD52" s="22" t="str">
        <f t="shared" si="37"/>
        <v/>
      </c>
      <c r="DE52" s="22" t="str">
        <f t="shared" si="37"/>
        <v/>
      </c>
      <c r="DF52" s="22" t="str">
        <f t="shared" si="37"/>
        <v/>
      </c>
      <c r="DG52" s="22" t="str">
        <f t="shared" si="37"/>
        <v/>
      </c>
      <c r="DH52" s="22" t="str">
        <f t="shared" si="25"/>
        <v/>
      </c>
      <c r="DI52" s="22" t="str">
        <f t="shared" si="25"/>
        <v/>
      </c>
      <c r="DJ52" s="22" t="str">
        <f t="shared" si="25"/>
        <v/>
      </c>
      <c r="DK52" s="22" t="str">
        <f t="shared" si="25"/>
        <v/>
      </c>
      <c r="DL52" s="22" t="str">
        <f t="shared" si="25"/>
        <v/>
      </c>
      <c r="DM52" s="22">
        <f t="shared" si="16"/>
        <v>0</v>
      </c>
      <c r="DN52" s="36">
        <f t="shared" si="35"/>
        <v>10</v>
      </c>
      <c r="DO52" s="36">
        <f t="shared" si="35"/>
        <v>10</v>
      </c>
      <c r="DP52" s="36">
        <f t="shared" si="35"/>
        <v>10</v>
      </c>
      <c r="DQ52" s="36">
        <f t="shared" si="35"/>
        <v>10</v>
      </c>
      <c r="DR52" s="36">
        <f t="shared" si="35"/>
        <v>10</v>
      </c>
      <c r="DS52" s="36">
        <f t="shared" si="35"/>
        <v>10</v>
      </c>
      <c r="DT52" s="36">
        <f t="shared" si="35"/>
        <v>10</v>
      </c>
      <c r="DU52" s="36">
        <f t="shared" si="35"/>
        <v>0</v>
      </c>
      <c r="DV52" s="36">
        <f t="shared" si="35"/>
        <v>0</v>
      </c>
      <c r="DW52" s="36">
        <f t="shared" si="35"/>
        <v>0</v>
      </c>
      <c r="DX52" s="23">
        <f t="shared" si="35"/>
        <v>7</v>
      </c>
      <c r="DY52" s="23">
        <f t="shared" si="35"/>
        <v>100</v>
      </c>
      <c r="DZ52" s="23">
        <f t="shared" si="35"/>
        <v>100</v>
      </c>
      <c r="EA52" s="23">
        <f t="shared" si="35"/>
        <v>0</v>
      </c>
      <c r="EB52" s="23">
        <f t="shared" si="35"/>
        <v>0</v>
      </c>
      <c r="EC52" s="23">
        <f t="shared" si="35"/>
        <v>0</v>
      </c>
      <c r="ED52" s="23">
        <f t="shared" si="38"/>
        <v>0</v>
      </c>
      <c r="EE52" s="23">
        <f t="shared" si="38"/>
        <v>0</v>
      </c>
      <c r="EF52" s="23">
        <f t="shared" si="38"/>
        <v>0</v>
      </c>
      <c r="EG52" s="23">
        <f t="shared" si="38"/>
        <v>0</v>
      </c>
      <c r="EH52" s="23">
        <f t="shared" si="38"/>
        <v>0</v>
      </c>
      <c r="EI52" s="23">
        <f t="shared" si="38"/>
        <v>2</v>
      </c>
      <c r="EJ52" s="23">
        <f t="shared" si="38"/>
        <v>100</v>
      </c>
    </row>
    <row r="53" spans="1:140" ht="9.9" customHeight="1" x14ac:dyDescent="0.3">
      <c r="A53" s="23">
        <v>44</v>
      </c>
      <c r="B53" s="50" t="str">
        <f>IF(PRELIM!B53="","",PRELIM!B53)</f>
        <v/>
      </c>
      <c r="C53" s="69"/>
      <c r="D53" s="69"/>
      <c r="E53" s="69"/>
      <c r="F53" s="69"/>
      <c r="G53" s="69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9">
        <f t="shared" si="6"/>
        <v>40</v>
      </c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40">
        <f t="shared" si="33"/>
        <v>40</v>
      </c>
      <c r="AI53" s="40">
        <f t="shared" si="33"/>
        <v>40</v>
      </c>
      <c r="AJ53" s="40">
        <f t="shared" si="33"/>
        <v>40</v>
      </c>
      <c r="AK53" s="40">
        <f t="shared" si="33"/>
        <v>40</v>
      </c>
      <c r="AL53" s="40">
        <f t="shared" si="33"/>
        <v>40</v>
      </c>
      <c r="AM53" s="40">
        <f t="shared" si="31"/>
        <v>40</v>
      </c>
      <c r="AN53" s="40">
        <f t="shared" si="31"/>
        <v>40</v>
      </c>
      <c r="AO53" s="40" t="str">
        <f t="shared" si="31"/>
        <v xml:space="preserve"> </v>
      </c>
      <c r="AP53" s="40" t="str">
        <f t="shared" si="31"/>
        <v xml:space="preserve"> </v>
      </c>
      <c r="AQ53" s="40" t="str">
        <f t="shared" si="31"/>
        <v xml:space="preserve"> </v>
      </c>
      <c r="AR53" s="41">
        <f t="shared" si="8"/>
        <v>40</v>
      </c>
      <c r="AS53" s="38"/>
      <c r="AT53" s="164"/>
      <c r="AU53" s="38"/>
      <c r="AV53" s="38"/>
      <c r="AW53" s="38"/>
      <c r="AX53" s="38"/>
      <c r="AY53" s="38"/>
      <c r="AZ53" s="38"/>
      <c r="BA53" s="38"/>
      <c r="BB53" s="38"/>
      <c r="BC53" s="42">
        <f t="shared" si="34"/>
        <v>40</v>
      </c>
      <c r="BD53" s="42">
        <f t="shared" si="34"/>
        <v>40</v>
      </c>
      <c r="BE53" s="42" t="str">
        <f t="shared" si="34"/>
        <v xml:space="preserve"> </v>
      </c>
      <c r="BF53" s="42" t="str">
        <f t="shared" si="34"/>
        <v xml:space="preserve"> </v>
      </c>
      <c r="BG53" s="42" t="str">
        <f t="shared" si="34"/>
        <v xml:space="preserve"> </v>
      </c>
      <c r="BH53" s="42" t="str">
        <f t="shared" si="32"/>
        <v xml:space="preserve"> </v>
      </c>
      <c r="BI53" s="42" t="str">
        <f t="shared" si="32"/>
        <v xml:space="preserve"> </v>
      </c>
      <c r="BJ53" s="42" t="str">
        <f t="shared" si="32"/>
        <v xml:space="preserve"> </v>
      </c>
      <c r="BK53" s="42" t="str">
        <f t="shared" si="32"/>
        <v xml:space="preserve"> </v>
      </c>
      <c r="BL53" s="42" t="str">
        <f t="shared" si="32"/>
        <v xml:space="preserve"> </v>
      </c>
      <c r="BM53" s="43">
        <f t="shared" si="10"/>
        <v>40</v>
      </c>
      <c r="BN53" s="38"/>
      <c r="BO53" s="44">
        <f t="shared" si="11"/>
        <v>40</v>
      </c>
      <c r="BP53" s="20"/>
      <c r="BQ53" s="39">
        <f t="shared" si="39"/>
        <v>40</v>
      </c>
      <c r="BR53" s="23" t="str">
        <f t="shared" si="22"/>
        <v>FAILED</v>
      </c>
      <c r="BS53" s="45"/>
      <c r="BT53" s="46"/>
      <c r="BU53" s="46"/>
      <c r="BV53" s="46"/>
      <c r="BW53" s="21" t="str">
        <f t="shared" si="36"/>
        <v/>
      </c>
      <c r="BX53" s="22" t="str">
        <f t="shared" si="36"/>
        <v/>
      </c>
      <c r="BY53" s="22" t="str">
        <f t="shared" si="36"/>
        <v/>
      </c>
      <c r="BZ53" s="22" t="str">
        <f t="shared" si="36"/>
        <v/>
      </c>
      <c r="CA53" s="22" t="str">
        <f t="shared" si="36"/>
        <v/>
      </c>
      <c r="CB53" s="22" t="str">
        <f t="shared" si="36"/>
        <v/>
      </c>
      <c r="CC53" s="22" t="str">
        <f t="shared" si="36"/>
        <v/>
      </c>
      <c r="CD53" s="22" t="str">
        <f t="shared" si="36"/>
        <v/>
      </c>
      <c r="CE53" s="22" t="str">
        <f t="shared" si="36"/>
        <v/>
      </c>
      <c r="CF53" s="22" t="str">
        <f t="shared" si="36"/>
        <v/>
      </c>
      <c r="CG53" s="22" t="str">
        <f t="shared" si="36"/>
        <v/>
      </c>
      <c r="CH53" s="22" t="str">
        <f t="shared" si="36"/>
        <v/>
      </c>
      <c r="CI53" s="22" t="str">
        <f t="shared" si="36"/>
        <v/>
      </c>
      <c r="CJ53" s="22" t="str">
        <f t="shared" si="36"/>
        <v/>
      </c>
      <c r="CK53" s="22" t="str">
        <f t="shared" si="36"/>
        <v/>
      </c>
      <c r="CL53" s="22" t="str">
        <f t="shared" si="24"/>
        <v/>
      </c>
      <c r="CM53" s="22" t="str">
        <f t="shared" si="24"/>
        <v/>
      </c>
      <c r="CN53" s="22" t="str">
        <f t="shared" si="24"/>
        <v/>
      </c>
      <c r="CO53" s="22" t="str">
        <f t="shared" si="24"/>
        <v/>
      </c>
      <c r="CP53" s="22" t="str">
        <f t="shared" si="24"/>
        <v/>
      </c>
      <c r="CQ53" s="22">
        <f t="shared" si="23"/>
        <v>0</v>
      </c>
      <c r="CR53" s="22">
        <f t="shared" si="3"/>
        <v>11</v>
      </c>
      <c r="CS53" s="22" t="str">
        <f t="shared" si="37"/>
        <v/>
      </c>
      <c r="CT53" s="22" t="str">
        <f t="shared" si="37"/>
        <v/>
      </c>
      <c r="CU53" s="22" t="str">
        <f t="shared" si="37"/>
        <v/>
      </c>
      <c r="CV53" s="22" t="str">
        <f t="shared" si="37"/>
        <v/>
      </c>
      <c r="CW53" s="22" t="str">
        <f t="shared" si="37"/>
        <v/>
      </c>
      <c r="CX53" s="22" t="str">
        <f t="shared" si="37"/>
        <v/>
      </c>
      <c r="CY53" s="22" t="str">
        <f t="shared" si="37"/>
        <v/>
      </c>
      <c r="CZ53" s="22" t="str">
        <f t="shared" si="37"/>
        <v/>
      </c>
      <c r="DA53" s="22" t="str">
        <f t="shared" si="37"/>
        <v/>
      </c>
      <c r="DB53" s="22" t="str">
        <f t="shared" si="37"/>
        <v/>
      </c>
      <c r="DC53" s="22" t="str">
        <f t="shared" si="37"/>
        <v/>
      </c>
      <c r="DD53" s="22" t="str">
        <f t="shared" si="37"/>
        <v/>
      </c>
      <c r="DE53" s="22" t="str">
        <f t="shared" si="37"/>
        <v/>
      </c>
      <c r="DF53" s="22" t="str">
        <f t="shared" si="37"/>
        <v/>
      </c>
      <c r="DG53" s="22" t="str">
        <f t="shared" si="37"/>
        <v/>
      </c>
      <c r="DH53" s="22" t="str">
        <f t="shared" si="25"/>
        <v/>
      </c>
      <c r="DI53" s="22" t="str">
        <f t="shared" si="25"/>
        <v/>
      </c>
      <c r="DJ53" s="22" t="str">
        <f t="shared" si="25"/>
        <v/>
      </c>
      <c r="DK53" s="22" t="str">
        <f t="shared" si="25"/>
        <v/>
      </c>
      <c r="DL53" s="22" t="str">
        <f t="shared" si="25"/>
        <v/>
      </c>
      <c r="DM53" s="22">
        <f t="shared" si="16"/>
        <v>0</v>
      </c>
      <c r="DN53" s="36">
        <f t="shared" si="35"/>
        <v>10</v>
      </c>
      <c r="DO53" s="36">
        <f t="shared" si="35"/>
        <v>10</v>
      </c>
      <c r="DP53" s="36">
        <f t="shared" si="35"/>
        <v>10</v>
      </c>
      <c r="DQ53" s="36">
        <f t="shared" si="35"/>
        <v>10</v>
      </c>
      <c r="DR53" s="36">
        <f t="shared" si="35"/>
        <v>10</v>
      </c>
      <c r="DS53" s="36">
        <f t="shared" si="35"/>
        <v>10</v>
      </c>
      <c r="DT53" s="36">
        <f t="shared" si="35"/>
        <v>10</v>
      </c>
      <c r="DU53" s="36">
        <f t="shared" si="35"/>
        <v>0</v>
      </c>
      <c r="DV53" s="36">
        <f t="shared" si="35"/>
        <v>0</v>
      </c>
      <c r="DW53" s="36">
        <f t="shared" si="35"/>
        <v>0</v>
      </c>
      <c r="DX53" s="23">
        <f t="shared" si="35"/>
        <v>7</v>
      </c>
      <c r="DY53" s="23">
        <f t="shared" si="35"/>
        <v>100</v>
      </c>
      <c r="DZ53" s="23">
        <f t="shared" si="35"/>
        <v>100</v>
      </c>
      <c r="EA53" s="23">
        <f t="shared" si="35"/>
        <v>0</v>
      </c>
      <c r="EB53" s="23">
        <f t="shared" si="35"/>
        <v>0</v>
      </c>
      <c r="EC53" s="23">
        <f t="shared" si="35"/>
        <v>0</v>
      </c>
      <c r="ED53" s="23">
        <f t="shared" si="38"/>
        <v>0</v>
      </c>
      <c r="EE53" s="23">
        <f t="shared" si="38"/>
        <v>0</v>
      </c>
      <c r="EF53" s="23">
        <f t="shared" si="38"/>
        <v>0</v>
      </c>
      <c r="EG53" s="23">
        <f t="shared" si="38"/>
        <v>0</v>
      </c>
      <c r="EH53" s="23">
        <f t="shared" si="38"/>
        <v>0</v>
      </c>
      <c r="EI53" s="23">
        <f t="shared" si="38"/>
        <v>2</v>
      </c>
      <c r="EJ53" s="23">
        <f t="shared" si="38"/>
        <v>100</v>
      </c>
    </row>
    <row r="54" spans="1:140" ht="9.9" customHeight="1" x14ac:dyDescent="0.3">
      <c r="A54" s="23">
        <v>45</v>
      </c>
      <c r="B54" s="50" t="str">
        <f>IF(PRELIM!B54="","",PRELIM!B54)</f>
        <v/>
      </c>
      <c r="C54" s="69"/>
      <c r="D54" s="69"/>
      <c r="E54" s="69"/>
      <c r="F54" s="69"/>
      <c r="G54" s="69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9">
        <f t="shared" si="6"/>
        <v>40</v>
      </c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40">
        <f t="shared" si="33"/>
        <v>40</v>
      </c>
      <c r="AI54" s="40">
        <f t="shared" si="33"/>
        <v>40</v>
      </c>
      <c r="AJ54" s="40">
        <f t="shared" si="33"/>
        <v>40</v>
      </c>
      <c r="AK54" s="40">
        <f t="shared" si="33"/>
        <v>40</v>
      </c>
      <c r="AL54" s="40">
        <f t="shared" si="33"/>
        <v>40</v>
      </c>
      <c r="AM54" s="40">
        <f t="shared" si="31"/>
        <v>40</v>
      </c>
      <c r="AN54" s="40">
        <f t="shared" si="31"/>
        <v>40</v>
      </c>
      <c r="AO54" s="40" t="str">
        <f t="shared" si="31"/>
        <v xml:space="preserve"> </v>
      </c>
      <c r="AP54" s="40" t="str">
        <f t="shared" si="31"/>
        <v xml:space="preserve"> </v>
      </c>
      <c r="AQ54" s="40" t="str">
        <f t="shared" si="31"/>
        <v xml:space="preserve"> </v>
      </c>
      <c r="AR54" s="41">
        <f t="shared" si="8"/>
        <v>40</v>
      </c>
      <c r="AS54" s="38"/>
      <c r="AT54" s="164"/>
      <c r="AU54" s="38"/>
      <c r="AV54" s="38"/>
      <c r="AW54" s="38"/>
      <c r="AX54" s="38"/>
      <c r="AY54" s="38"/>
      <c r="AZ54" s="38"/>
      <c r="BA54" s="38"/>
      <c r="BB54" s="38"/>
      <c r="BC54" s="42">
        <f t="shared" si="34"/>
        <v>40</v>
      </c>
      <c r="BD54" s="42">
        <f t="shared" si="34"/>
        <v>40</v>
      </c>
      <c r="BE54" s="42" t="str">
        <f t="shared" si="34"/>
        <v xml:space="preserve"> </v>
      </c>
      <c r="BF54" s="42" t="str">
        <f t="shared" si="34"/>
        <v xml:space="preserve"> </v>
      </c>
      <c r="BG54" s="42" t="str">
        <f t="shared" si="34"/>
        <v xml:space="preserve"> </v>
      </c>
      <c r="BH54" s="42" t="str">
        <f t="shared" si="32"/>
        <v xml:space="preserve"> </v>
      </c>
      <c r="BI54" s="42" t="str">
        <f t="shared" si="32"/>
        <v xml:space="preserve"> </v>
      </c>
      <c r="BJ54" s="42" t="str">
        <f t="shared" si="32"/>
        <v xml:space="preserve"> </v>
      </c>
      <c r="BK54" s="42" t="str">
        <f t="shared" si="32"/>
        <v xml:space="preserve"> </v>
      </c>
      <c r="BL54" s="42" t="str">
        <f t="shared" si="32"/>
        <v xml:space="preserve"> </v>
      </c>
      <c r="BM54" s="43">
        <f t="shared" si="10"/>
        <v>40</v>
      </c>
      <c r="BN54" s="38"/>
      <c r="BO54" s="44">
        <f t="shared" si="11"/>
        <v>40</v>
      </c>
      <c r="BP54" s="20"/>
      <c r="BQ54" s="39">
        <f t="shared" si="39"/>
        <v>40</v>
      </c>
      <c r="BR54" s="23" t="str">
        <f t="shared" si="22"/>
        <v>FAILED</v>
      </c>
      <c r="BS54" s="45"/>
      <c r="BT54" s="46"/>
      <c r="BU54" s="46"/>
      <c r="BV54" s="46"/>
      <c r="BW54" s="21" t="str">
        <f t="shared" si="36"/>
        <v/>
      </c>
      <c r="BX54" s="22" t="str">
        <f t="shared" si="36"/>
        <v/>
      </c>
      <c r="BY54" s="22" t="str">
        <f t="shared" si="36"/>
        <v/>
      </c>
      <c r="BZ54" s="22" t="str">
        <f t="shared" si="36"/>
        <v/>
      </c>
      <c r="CA54" s="22" t="str">
        <f t="shared" si="36"/>
        <v/>
      </c>
      <c r="CB54" s="22" t="str">
        <f t="shared" si="36"/>
        <v/>
      </c>
      <c r="CC54" s="22" t="str">
        <f t="shared" si="36"/>
        <v/>
      </c>
      <c r="CD54" s="22" t="str">
        <f t="shared" si="36"/>
        <v/>
      </c>
      <c r="CE54" s="22" t="str">
        <f t="shared" si="36"/>
        <v/>
      </c>
      <c r="CF54" s="22" t="str">
        <f t="shared" si="36"/>
        <v/>
      </c>
      <c r="CG54" s="22" t="str">
        <f t="shared" si="36"/>
        <v/>
      </c>
      <c r="CH54" s="22" t="str">
        <f t="shared" si="36"/>
        <v/>
      </c>
      <c r="CI54" s="22" t="str">
        <f t="shared" si="36"/>
        <v/>
      </c>
      <c r="CJ54" s="22" t="str">
        <f t="shared" si="36"/>
        <v/>
      </c>
      <c r="CK54" s="22" t="str">
        <f t="shared" si="36"/>
        <v/>
      </c>
      <c r="CL54" s="22" t="str">
        <f t="shared" si="24"/>
        <v/>
      </c>
      <c r="CM54" s="22" t="str">
        <f t="shared" si="24"/>
        <v/>
      </c>
      <c r="CN54" s="22" t="str">
        <f t="shared" si="24"/>
        <v/>
      </c>
      <c r="CO54" s="22" t="str">
        <f t="shared" si="24"/>
        <v/>
      </c>
      <c r="CP54" s="22" t="str">
        <f t="shared" si="24"/>
        <v/>
      </c>
      <c r="CQ54" s="22">
        <f t="shared" si="23"/>
        <v>0</v>
      </c>
      <c r="CR54" s="22">
        <f t="shared" si="3"/>
        <v>11</v>
      </c>
      <c r="CS54" s="22" t="str">
        <f t="shared" si="37"/>
        <v/>
      </c>
      <c r="CT54" s="22" t="str">
        <f t="shared" si="37"/>
        <v/>
      </c>
      <c r="CU54" s="22" t="str">
        <f t="shared" si="37"/>
        <v/>
      </c>
      <c r="CV54" s="22" t="str">
        <f t="shared" si="37"/>
        <v/>
      </c>
      <c r="CW54" s="22" t="str">
        <f t="shared" si="37"/>
        <v/>
      </c>
      <c r="CX54" s="22" t="str">
        <f t="shared" si="37"/>
        <v/>
      </c>
      <c r="CY54" s="22" t="str">
        <f t="shared" si="37"/>
        <v/>
      </c>
      <c r="CZ54" s="22" t="str">
        <f t="shared" si="37"/>
        <v/>
      </c>
      <c r="DA54" s="22" t="str">
        <f t="shared" si="37"/>
        <v/>
      </c>
      <c r="DB54" s="22" t="str">
        <f t="shared" si="37"/>
        <v/>
      </c>
      <c r="DC54" s="22" t="str">
        <f t="shared" si="37"/>
        <v/>
      </c>
      <c r="DD54" s="22" t="str">
        <f t="shared" si="37"/>
        <v/>
      </c>
      <c r="DE54" s="22" t="str">
        <f t="shared" si="37"/>
        <v/>
      </c>
      <c r="DF54" s="22" t="str">
        <f t="shared" si="37"/>
        <v/>
      </c>
      <c r="DG54" s="22" t="str">
        <f t="shared" si="37"/>
        <v/>
      </c>
      <c r="DH54" s="22" t="str">
        <f t="shared" si="25"/>
        <v/>
      </c>
      <c r="DI54" s="22" t="str">
        <f t="shared" si="25"/>
        <v/>
      </c>
      <c r="DJ54" s="22" t="str">
        <f t="shared" si="25"/>
        <v/>
      </c>
      <c r="DK54" s="22" t="str">
        <f t="shared" si="25"/>
        <v/>
      </c>
      <c r="DL54" s="22" t="str">
        <f t="shared" si="25"/>
        <v/>
      </c>
      <c r="DM54" s="22">
        <f t="shared" si="16"/>
        <v>0</v>
      </c>
      <c r="DN54" s="36">
        <f t="shared" si="35"/>
        <v>10</v>
      </c>
      <c r="DO54" s="36">
        <f t="shared" si="35"/>
        <v>10</v>
      </c>
      <c r="DP54" s="36">
        <f t="shared" si="35"/>
        <v>10</v>
      </c>
      <c r="DQ54" s="36">
        <f t="shared" si="35"/>
        <v>10</v>
      </c>
      <c r="DR54" s="36">
        <f t="shared" si="35"/>
        <v>10</v>
      </c>
      <c r="DS54" s="36">
        <f t="shared" si="35"/>
        <v>10</v>
      </c>
      <c r="DT54" s="36">
        <f t="shared" si="35"/>
        <v>10</v>
      </c>
      <c r="DU54" s="36">
        <f t="shared" si="35"/>
        <v>0</v>
      </c>
      <c r="DV54" s="36">
        <f t="shared" si="35"/>
        <v>0</v>
      </c>
      <c r="DW54" s="36">
        <f t="shared" si="35"/>
        <v>0</v>
      </c>
      <c r="DX54" s="23">
        <f t="shared" si="35"/>
        <v>7</v>
      </c>
      <c r="DY54" s="23">
        <f t="shared" si="35"/>
        <v>100</v>
      </c>
      <c r="DZ54" s="23">
        <f t="shared" si="35"/>
        <v>100</v>
      </c>
      <c r="EA54" s="23">
        <f t="shared" si="35"/>
        <v>0</v>
      </c>
      <c r="EB54" s="23">
        <f t="shared" si="35"/>
        <v>0</v>
      </c>
      <c r="EC54" s="23">
        <f t="shared" si="35"/>
        <v>0</v>
      </c>
      <c r="ED54" s="23">
        <f t="shared" si="38"/>
        <v>0</v>
      </c>
      <c r="EE54" s="23">
        <f t="shared" si="38"/>
        <v>0</v>
      </c>
      <c r="EF54" s="23">
        <f t="shared" si="38"/>
        <v>0</v>
      </c>
      <c r="EG54" s="23">
        <f t="shared" si="38"/>
        <v>0</v>
      </c>
      <c r="EH54" s="23">
        <f t="shared" si="38"/>
        <v>0</v>
      </c>
      <c r="EI54" s="23">
        <f t="shared" si="38"/>
        <v>2</v>
      </c>
      <c r="EJ54" s="23">
        <f t="shared" si="38"/>
        <v>100</v>
      </c>
    </row>
    <row r="55" spans="1:140" ht="9.9" customHeight="1" x14ac:dyDescent="0.3">
      <c r="A55" s="23">
        <v>46</v>
      </c>
      <c r="B55" s="50" t="str">
        <f>IF(PRELIM!B55="","",PRELIM!B55)</f>
        <v/>
      </c>
      <c r="C55" s="69"/>
      <c r="D55" s="69"/>
      <c r="E55" s="69"/>
      <c r="F55" s="69"/>
      <c r="G55" s="69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9">
        <f t="shared" si="6"/>
        <v>40</v>
      </c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40">
        <f t="shared" si="33"/>
        <v>40</v>
      </c>
      <c r="AI55" s="40">
        <f t="shared" si="33"/>
        <v>40</v>
      </c>
      <c r="AJ55" s="40">
        <f t="shared" si="33"/>
        <v>40</v>
      </c>
      <c r="AK55" s="40">
        <f t="shared" si="33"/>
        <v>40</v>
      </c>
      <c r="AL55" s="40">
        <f t="shared" si="33"/>
        <v>40</v>
      </c>
      <c r="AM55" s="40">
        <f t="shared" si="31"/>
        <v>40</v>
      </c>
      <c r="AN55" s="40">
        <f t="shared" si="31"/>
        <v>40</v>
      </c>
      <c r="AO55" s="40" t="str">
        <f t="shared" si="31"/>
        <v xml:space="preserve"> </v>
      </c>
      <c r="AP55" s="40" t="str">
        <f t="shared" si="31"/>
        <v xml:space="preserve"> </v>
      </c>
      <c r="AQ55" s="40" t="str">
        <f t="shared" si="31"/>
        <v xml:space="preserve"> </v>
      </c>
      <c r="AR55" s="41">
        <f t="shared" si="8"/>
        <v>40</v>
      </c>
      <c r="AS55" s="38"/>
      <c r="AT55" s="164"/>
      <c r="AU55" s="38"/>
      <c r="AV55" s="38"/>
      <c r="AW55" s="38"/>
      <c r="AX55" s="38"/>
      <c r="AY55" s="38"/>
      <c r="AZ55" s="38"/>
      <c r="BA55" s="38"/>
      <c r="BB55" s="38"/>
      <c r="BC55" s="42">
        <f t="shared" si="34"/>
        <v>40</v>
      </c>
      <c r="BD55" s="42">
        <f t="shared" si="34"/>
        <v>40</v>
      </c>
      <c r="BE55" s="42" t="str">
        <f t="shared" si="34"/>
        <v xml:space="preserve"> </v>
      </c>
      <c r="BF55" s="42" t="str">
        <f t="shared" si="34"/>
        <v xml:space="preserve"> </v>
      </c>
      <c r="BG55" s="42" t="str">
        <f t="shared" si="34"/>
        <v xml:space="preserve"> </v>
      </c>
      <c r="BH55" s="42" t="str">
        <f t="shared" si="32"/>
        <v xml:space="preserve"> </v>
      </c>
      <c r="BI55" s="42" t="str">
        <f t="shared" si="32"/>
        <v xml:space="preserve"> </v>
      </c>
      <c r="BJ55" s="42" t="str">
        <f t="shared" si="32"/>
        <v xml:space="preserve"> </v>
      </c>
      <c r="BK55" s="42" t="str">
        <f t="shared" si="32"/>
        <v xml:space="preserve"> </v>
      </c>
      <c r="BL55" s="42" t="str">
        <f t="shared" si="32"/>
        <v xml:space="preserve"> </v>
      </c>
      <c r="BM55" s="43">
        <f t="shared" si="10"/>
        <v>40</v>
      </c>
      <c r="BN55" s="38"/>
      <c r="BO55" s="44">
        <f t="shared" si="11"/>
        <v>40</v>
      </c>
      <c r="BP55" s="20"/>
      <c r="BQ55" s="39">
        <f t="shared" si="39"/>
        <v>40</v>
      </c>
      <c r="BR55" s="23" t="str">
        <f t="shared" si="22"/>
        <v>FAILED</v>
      </c>
      <c r="BS55" s="45"/>
      <c r="BT55" s="46"/>
      <c r="BU55" s="46"/>
      <c r="BV55" s="46"/>
      <c r="BW55" s="21" t="str">
        <f t="shared" si="36"/>
        <v/>
      </c>
      <c r="BX55" s="22" t="str">
        <f t="shared" si="36"/>
        <v/>
      </c>
      <c r="BY55" s="22" t="str">
        <f t="shared" si="36"/>
        <v/>
      </c>
      <c r="BZ55" s="22" t="str">
        <f t="shared" si="36"/>
        <v/>
      </c>
      <c r="CA55" s="22" t="str">
        <f t="shared" si="36"/>
        <v/>
      </c>
      <c r="CB55" s="22" t="str">
        <f t="shared" si="36"/>
        <v/>
      </c>
      <c r="CC55" s="22" t="str">
        <f t="shared" si="36"/>
        <v/>
      </c>
      <c r="CD55" s="22" t="str">
        <f t="shared" si="36"/>
        <v/>
      </c>
      <c r="CE55" s="22" t="str">
        <f t="shared" si="36"/>
        <v/>
      </c>
      <c r="CF55" s="22" t="str">
        <f t="shared" si="36"/>
        <v/>
      </c>
      <c r="CG55" s="22" t="str">
        <f t="shared" si="36"/>
        <v/>
      </c>
      <c r="CH55" s="22" t="str">
        <f t="shared" si="36"/>
        <v/>
      </c>
      <c r="CI55" s="22" t="str">
        <f t="shared" si="36"/>
        <v/>
      </c>
      <c r="CJ55" s="22" t="str">
        <f t="shared" si="36"/>
        <v/>
      </c>
      <c r="CK55" s="22" t="str">
        <f t="shared" si="36"/>
        <v/>
      </c>
      <c r="CL55" s="22" t="str">
        <f t="shared" si="24"/>
        <v/>
      </c>
      <c r="CM55" s="22" t="str">
        <f t="shared" si="24"/>
        <v/>
      </c>
      <c r="CN55" s="22" t="str">
        <f t="shared" si="24"/>
        <v/>
      </c>
      <c r="CO55" s="22" t="str">
        <f t="shared" si="24"/>
        <v/>
      </c>
      <c r="CP55" s="22" t="str">
        <f t="shared" si="24"/>
        <v/>
      </c>
      <c r="CQ55" s="22">
        <f t="shared" si="23"/>
        <v>0</v>
      </c>
      <c r="CR55" s="22">
        <f t="shared" si="3"/>
        <v>11</v>
      </c>
      <c r="CS55" s="22" t="str">
        <f t="shared" si="37"/>
        <v/>
      </c>
      <c r="CT55" s="22" t="str">
        <f t="shared" si="37"/>
        <v/>
      </c>
      <c r="CU55" s="22" t="str">
        <f t="shared" si="37"/>
        <v/>
      </c>
      <c r="CV55" s="22" t="str">
        <f t="shared" si="37"/>
        <v/>
      </c>
      <c r="CW55" s="22" t="str">
        <f t="shared" si="37"/>
        <v/>
      </c>
      <c r="CX55" s="22" t="str">
        <f t="shared" si="37"/>
        <v/>
      </c>
      <c r="CY55" s="22" t="str">
        <f t="shared" si="37"/>
        <v/>
      </c>
      <c r="CZ55" s="22" t="str">
        <f t="shared" si="37"/>
        <v/>
      </c>
      <c r="DA55" s="22" t="str">
        <f t="shared" si="37"/>
        <v/>
      </c>
      <c r="DB55" s="22" t="str">
        <f t="shared" si="37"/>
        <v/>
      </c>
      <c r="DC55" s="22" t="str">
        <f t="shared" si="37"/>
        <v/>
      </c>
      <c r="DD55" s="22" t="str">
        <f t="shared" si="37"/>
        <v/>
      </c>
      <c r="DE55" s="22" t="str">
        <f t="shared" si="37"/>
        <v/>
      </c>
      <c r="DF55" s="22" t="str">
        <f t="shared" si="37"/>
        <v/>
      </c>
      <c r="DG55" s="22" t="str">
        <f t="shared" si="37"/>
        <v/>
      </c>
      <c r="DH55" s="22" t="str">
        <f t="shared" si="25"/>
        <v/>
      </c>
      <c r="DI55" s="22" t="str">
        <f t="shared" si="25"/>
        <v/>
      </c>
      <c r="DJ55" s="22" t="str">
        <f t="shared" si="25"/>
        <v/>
      </c>
      <c r="DK55" s="22" t="str">
        <f t="shared" si="25"/>
        <v/>
      </c>
      <c r="DL55" s="22" t="str">
        <f t="shared" si="25"/>
        <v/>
      </c>
      <c r="DM55" s="22">
        <f t="shared" si="16"/>
        <v>0</v>
      </c>
      <c r="DN55" s="36">
        <f t="shared" si="35"/>
        <v>10</v>
      </c>
      <c r="DO55" s="36">
        <f t="shared" si="35"/>
        <v>10</v>
      </c>
      <c r="DP55" s="36">
        <f t="shared" si="35"/>
        <v>10</v>
      </c>
      <c r="DQ55" s="36">
        <f t="shared" si="35"/>
        <v>10</v>
      </c>
      <c r="DR55" s="36">
        <f t="shared" si="35"/>
        <v>10</v>
      </c>
      <c r="DS55" s="36">
        <f t="shared" si="35"/>
        <v>10</v>
      </c>
      <c r="DT55" s="36">
        <f t="shared" si="35"/>
        <v>10</v>
      </c>
      <c r="DU55" s="36">
        <f t="shared" si="35"/>
        <v>0</v>
      </c>
      <c r="DV55" s="36">
        <f t="shared" si="35"/>
        <v>0</v>
      </c>
      <c r="DW55" s="36">
        <f t="shared" si="35"/>
        <v>0</v>
      </c>
      <c r="DX55" s="23">
        <f t="shared" si="35"/>
        <v>7</v>
      </c>
      <c r="DY55" s="23">
        <f t="shared" si="35"/>
        <v>100</v>
      </c>
      <c r="DZ55" s="23">
        <f t="shared" si="35"/>
        <v>100</v>
      </c>
      <c r="EA55" s="23">
        <f t="shared" si="35"/>
        <v>0</v>
      </c>
      <c r="EB55" s="23">
        <f t="shared" si="35"/>
        <v>0</v>
      </c>
      <c r="EC55" s="23">
        <f t="shared" si="35"/>
        <v>0</v>
      </c>
      <c r="ED55" s="23">
        <f t="shared" si="38"/>
        <v>0</v>
      </c>
      <c r="EE55" s="23">
        <f t="shared" si="38"/>
        <v>0</v>
      </c>
      <c r="EF55" s="23">
        <f t="shared" si="38"/>
        <v>0</v>
      </c>
      <c r="EG55" s="23">
        <f t="shared" si="38"/>
        <v>0</v>
      </c>
      <c r="EH55" s="23">
        <f t="shared" si="38"/>
        <v>0</v>
      </c>
      <c r="EI55" s="23">
        <f t="shared" si="38"/>
        <v>2</v>
      </c>
      <c r="EJ55" s="23">
        <f t="shared" si="38"/>
        <v>100</v>
      </c>
    </row>
    <row r="56" spans="1:140" ht="9.9" customHeight="1" x14ac:dyDescent="0.3">
      <c r="A56" s="23">
        <v>47</v>
      </c>
      <c r="B56" s="50" t="str">
        <f>IF(PRELIM!B56="","",PRELIM!B56)</f>
        <v/>
      </c>
      <c r="C56" s="69"/>
      <c r="D56" s="69"/>
      <c r="E56" s="69"/>
      <c r="F56" s="69"/>
      <c r="G56" s="69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9">
        <f t="shared" si="6"/>
        <v>40</v>
      </c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40">
        <f t="shared" si="33"/>
        <v>40</v>
      </c>
      <c r="AI56" s="40">
        <f t="shared" si="33"/>
        <v>40</v>
      </c>
      <c r="AJ56" s="40">
        <f t="shared" si="33"/>
        <v>40</v>
      </c>
      <c r="AK56" s="40">
        <f t="shared" si="33"/>
        <v>40</v>
      </c>
      <c r="AL56" s="40">
        <f t="shared" si="33"/>
        <v>40</v>
      </c>
      <c r="AM56" s="40">
        <f t="shared" si="31"/>
        <v>40</v>
      </c>
      <c r="AN56" s="40">
        <f t="shared" si="31"/>
        <v>40</v>
      </c>
      <c r="AO56" s="40" t="str">
        <f t="shared" si="31"/>
        <v xml:space="preserve"> </v>
      </c>
      <c r="AP56" s="40" t="str">
        <f t="shared" si="31"/>
        <v xml:space="preserve"> </v>
      </c>
      <c r="AQ56" s="40" t="str">
        <f t="shared" si="31"/>
        <v xml:space="preserve"> </v>
      </c>
      <c r="AR56" s="41">
        <f t="shared" si="8"/>
        <v>40</v>
      </c>
      <c r="AS56" s="38"/>
      <c r="AT56" s="164"/>
      <c r="AU56" s="38"/>
      <c r="AV56" s="38"/>
      <c r="AW56" s="38"/>
      <c r="AX56" s="38"/>
      <c r="AY56" s="38"/>
      <c r="AZ56" s="38"/>
      <c r="BA56" s="38"/>
      <c r="BB56" s="38"/>
      <c r="BC56" s="42">
        <f t="shared" si="34"/>
        <v>40</v>
      </c>
      <c r="BD56" s="42">
        <f t="shared" si="34"/>
        <v>40</v>
      </c>
      <c r="BE56" s="42" t="str">
        <f t="shared" si="34"/>
        <v xml:space="preserve"> </v>
      </c>
      <c r="BF56" s="42" t="str">
        <f t="shared" si="34"/>
        <v xml:space="preserve"> </v>
      </c>
      <c r="BG56" s="42" t="str">
        <f t="shared" si="34"/>
        <v xml:space="preserve"> </v>
      </c>
      <c r="BH56" s="42" t="str">
        <f t="shared" si="32"/>
        <v xml:space="preserve"> </v>
      </c>
      <c r="BI56" s="42" t="str">
        <f t="shared" si="32"/>
        <v xml:space="preserve"> </v>
      </c>
      <c r="BJ56" s="42" t="str">
        <f t="shared" si="32"/>
        <v xml:space="preserve"> </v>
      </c>
      <c r="BK56" s="42" t="str">
        <f t="shared" si="32"/>
        <v xml:space="preserve"> </v>
      </c>
      <c r="BL56" s="42" t="str">
        <f t="shared" si="32"/>
        <v xml:space="preserve"> </v>
      </c>
      <c r="BM56" s="43">
        <f t="shared" si="10"/>
        <v>40</v>
      </c>
      <c r="BN56" s="38"/>
      <c r="BO56" s="44">
        <f t="shared" si="11"/>
        <v>40</v>
      </c>
      <c r="BP56" s="20"/>
      <c r="BQ56" s="39">
        <f t="shared" si="39"/>
        <v>40</v>
      </c>
      <c r="BR56" s="23" t="str">
        <f t="shared" si="22"/>
        <v>FAILED</v>
      </c>
      <c r="BS56" s="45"/>
      <c r="BT56" s="46"/>
      <c r="BU56" s="46"/>
      <c r="BV56" s="46"/>
      <c r="BW56" s="21" t="str">
        <f t="shared" si="36"/>
        <v/>
      </c>
      <c r="BX56" s="22" t="str">
        <f t="shared" si="36"/>
        <v/>
      </c>
      <c r="BY56" s="22" t="str">
        <f t="shared" si="36"/>
        <v/>
      </c>
      <c r="BZ56" s="22" t="str">
        <f t="shared" si="36"/>
        <v/>
      </c>
      <c r="CA56" s="22" t="str">
        <f t="shared" si="36"/>
        <v/>
      </c>
      <c r="CB56" s="22" t="str">
        <f t="shared" si="36"/>
        <v/>
      </c>
      <c r="CC56" s="22" t="str">
        <f t="shared" si="36"/>
        <v/>
      </c>
      <c r="CD56" s="22" t="str">
        <f t="shared" si="36"/>
        <v/>
      </c>
      <c r="CE56" s="22" t="str">
        <f t="shared" si="36"/>
        <v/>
      </c>
      <c r="CF56" s="22" t="str">
        <f t="shared" si="36"/>
        <v/>
      </c>
      <c r="CG56" s="22" t="str">
        <f t="shared" si="36"/>
        <v/>
      </c>
      <c r="CH56" s="22" t="str">
        <f t="shared" si="36"/>
        <v/>
      </c>
      <c r="CI56" s="22" t="str">
        <f t="shared" si="36"/>
        <v/>
      </c>
      <c r="CJ56" s="22" t="str">
        <f t="shared" si="36"/>
        <v/>
      </c>
      <c r="CK56" s="22" t="str">
        <f t="shared" si="36"/>
        <v/>
      </c>
      <c r="CL56" s="22" t="str">
        <f t="shared" si="24"/>
        <v/>
      </c>
      <c r="CM56" s="22" t="str">
        <f t="shared" si="24"/>
        <v/>
      </c>
      <c r="CN56" s="22" t="str">
        <f t="shared" si="24"/>
        <v/>
      </c>
      <c r="CO56" s="22" t="str">
        <f t="shared" si="24"/>
        <v/>
      </c>
      <c r="CP56" s="22" t="str">
        <f t="shared" si="24"/>
        <v/>
      </c>
      <c r="CQ56" s="22">
        <f t="shared" si="23"/>
        <v>0</v>
      </c>
      <c r="CR56" s="22">
        <f t="shared" si="3"/>
        <v>11</v>
      </c>
      <c r="CS56" s="22" t="str">
        <f t="shared" si="37"/>
        <v/>
      </c>
      <c r="CT56" s="22" t="str">
        <f t="shared" si="37"/>
        <v/>
      </c>
      <c r="CU56" s="22" t="str">
        <f t="shared" si="37"/>
        <v/>
      </c>
      <c r="CV56" s="22" t="str">
        <f t="shared" si="37"/>
        <v/>
      </c>
      <c r="CW56" s="22" t="str">
        <f t="shared" si="37"/>
        <v/>
      </c>
      <c r="CX56" s="22" t="str">
        <f t="shared" si="37"/>
        <v/>
      </c>
      <c r="CY56" s="22" t="str">
        <f t="shared" si="37"/>
        <v/>
      </c>
      <c r="CZ56" s="22" t="str">
        <f t="shared" si="37"/>
        <v/>
      </c>
      <c r="DA56" s="22" t="str">
        <f t="shared" si="37"/>
        <v/>
      </c>
      <c r="DB56" s="22" t="str">
        <f t="shared" si="37"/>
        <v/>
      </c>
      <c r="DC56" s="22" t="str">
        <f t="shared" si="37"/>
        <v/>
      </c>
      <c r="DD56" s="22" t="str">
        <f t="shared" si="37"/>
        <v/>
      </c>
      <c r="DE56" s="22" t="str">
        <f t="shared" si="37"/>
        <v/>
      </c>
      <c r="DF56" s="22" t="str">
        <f t="shared" si="37"/>
        <v/>
      </c>
      <c r="DG56" s="22" t="str">
        <f t="shared" si="37"/>
        <v/>
      </c>
      <c r="DH56" s="22" t="str">
        <f t="shared" si="25"/>
        <v/>
      </c>
      <c r="DI56" s="22" t="str">
        <f t="shared" si="25"/>
        <v/>
      </c>
      <c r="DJ56" s="22" t="str">
        <f t="shared" si="25"/>
        <v/>
      </c>
      <c r="DK56" s="22" t="str">
        <f t="shared" si="25"/>
        <v/>
      </c>
      <c r="DL56" s="22" t="str">
        <f t="shared" si="25"/>
        <v/>
      </c>
      <c r="DM56" s="22">
        <f t="shared" si="16"/>
        <v>0</v>
      </c>
      <c r="DN56" s="36">
        <f t="shared" si="35"/>
        <v>10</v>
      </c>
      <c r="DO56" s="36">
        <f t="shared" si="35"/>
        <v>10</v>
      </c>
      <c r="DP56" s="36">
        <f t="shared" si="35"/>
        <v>10</v>
      </c>
      <c r="DQ56" s="36">
        <f t="shared" si="35"/>
        <v>10</v>
      </c>
      <c r="DR56" s="36">
        <f t="shared" si="35"/>
        <v>10</v>
      </c>
      <c r="DS56" s="36">
        <f t="shared" si="35"/>
        <v>10</v>
      </c>
      <c r="DT56" s="36">
        <f t="shared" si="35"/>
        <v>10</v>
      </c>
      <c r="DU56" s="36">
        <f t="shared" si="35"/>
        <v>0</v>
      </c>
      <c r="DV56" s="36">
        <f t="shared" si="35"/>
        <v>0</v>
      </c>
      <c r="DW56" s="36">
        <f t="shared" si="35"/>
        <v>0</v>
      </c>
      <c r="DX56" s="23">
        <f t="shared" si="35"/>
        <v>7</v>
      </c>
      <c r="DY56" s="23">
        <f t="shared" si="35"/>
        <v>100</v>
      </c>
      <c r="DZ56" s="23">
        <f t="shared" si="35"/>
        <v>100</v>
      </c>
      <c r="EA56" s="23">
        <f t="shared" si="35"/>
        <v>0</v>
      </c>
      <c r="EB56" s="23">
        <f t="shared" si="35"/>
        <v>0</v>
      </c>
      <c r="EC56" s="23">
        <f t="shared" si="35"/>
        <v>0</v>
      </c>
      <c r="ED56" s="23">
        <f t="shared" si="38"/>
        <v>0</v>
      </c>
      <c r="EE56" s="23">
        <f t="shared" si="38"/>
        <v>0</v>
      </c>
      <c r="EF56" s="23">
        <f t="shared" si="38"/>
        <v>0</v>
      </c>
      <c r="EG56" s="23">
        <f t="shared" si="38"/>
        <v>0</v>
      </c>
      <c r="EH56" s="23">
        <f t="shared" si="38"/>
        <v>0</v>
      </c>
      <c r="EI56" s="23">
        <f t="shared" si="38"/>
        <v>2</v>
      </c>
      <c r="EJ56" s="23">
        <f t="shared" si="38"/>
        <v>100</v>
      </c>
    </row>
    <row r="57" spans="1:140" ht="9.9" customHeight="1" x14ac:dyDescent="0.3">
      <c r="A57" s="23">
        <v>48</v>
      </c>
      <c r="B57" s="50" t="str">
        <f>IF(PRELIM!B57="","",PRELIM!B57)</f>
        <v/>
      </c>
      <c r="C57" s="69"/>
      <c r="D57" s="69"/>
      <c r="E57" s="69"/>
      <c r="F57" s="69"/>
      <c r="G57" s="69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9">
        <f t="shared" si="6"/>
        <v>40</v>
      </c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40">
        <f t="shared" si="33"/>
        <v>40</v>
      </c>
      <c r="AI57" s="40">
        <f t="shared" si="33"/>
        <v>40</v>
      </c>
      <c r="AJ57" s="40">
        <f t="shared" si="33"/>
        <v>40</v>
      </c>
      <c r="AK57" s="40">
        <f t="shared" si="33"/>
        <v>40</v>
      </c>
      <c r="AL57" s="40">
        <f t="shared" si="33"/>
        <v>40</v>
      </c>
      <c r="AM57" s="40">
        <f t="shared" si="31"/>
        <v>40</v>
      </c>
      <c r="AN57" s="40">
        <f t="shared" si="31"/>
        <v>40</v>
      </c>
      <c r="AO57" s="40" t="str">
        <f t="shared" si="31"/>
        <v xml:space="preserve"> </v>
      </c>
      <c r="AP57" s="40" t="str">
        <f t="shared" si="31"/>
        <v xml:space="preserve"> </v>
      </c>
      <c r="AQ57" s="40" t="str">
        <f t="shared" si="31"/>
        <v xml:space="preserve"> </v>
      </c>
      <c r="AR57" s="41">
        <f t="shared" si="8"/>
        <v>40</v>
      </c>
      <c r="AS57" s="38"/>
      <c r="AT57" s="164"/>
      <c r="AU57" s="38"/>
      <c r="AV57" s="38"/>
      <c r="AW57" s="38"/>
      <c r="AX57" s="38"/>
      <c r="AY57" s="38"/>
      <c r="AZ57" s="38"/>
      <c r="BA57" s="38"/>
      <c r="BB57" s="38"/>
      <c r="BC57" s="42">
        <f t="shared" si="34"/>
        <v>40</v>
      </c>
      <c r="BD57" s="42">
        <f t="shared" si="34"/>
        <v>40</v>
      </c>
      <c r="BE57" s="42" t="str">
        <f t="shared" si="34"/>
        <v xml:space="preserve"> </v>
      </c>
      <c r="BF57" s="42" t="str">
        <f t="shared" si="34"/>
        <v xml:space="preserve"> </v>
      </c>
      <c r="BG57" s="42" t="str">
        <f t="shared" si="34"/>
        <v xml:space="preserve"> </v>
      </c>
      <c r="BH57" s="42" t="str">
        <f t="shared" si="32"/>
        <v xml:space="preserve"> </v>
      </c>
      <c r="BI57" s="42" t="str">
        <f t="shared" si="32"/>
        <v xml:space="preserve"> </v>
      </c>
      <c r="BJ57" s="42" t="str">
        <f t="shared" si="32"/>
        <v xml:space="preserve"> </v>
      </c>
      <c r="BK57" s="42" t="str">
        <f t="shared" si="32"/>
        <v xml:space="preserve"> </v>
      </c>
      <c r="BL57" s="42" t="str">
        <f t="shared" si="32"/>
        <v xml:space="preserve"> </v>
      </c>
      <c r="BM57" s="43">
        <f t="shared" si="10"/>
        <v>40</v>
      </c>
      <c r="BN57" s="38"/>
      <c r="BO57" s="44">
        <f t="shared" si="11"/>
        <v>40</v>
      </c>
      <c r="BP57" s="20"/>
      <c r="BQ57" s="39">
        <f t="shared" si="39"/>
        <v>40</v>
      </c>
      <c r="BR57" s="23" t="str">
        <f t="shared" si="22"/>
        <v>FAILED</v>
      </c>
      <c r="BS57" s="45"/>
      <c r="BT57" s="46"/>
      <c r="BU57" s="46"/>
      <c r="BV57" s="46"/>
      <c r="BW57" s="21" t="str">
        <f t="shared" si="36"/>
        <v/>
      </c>
      <c r="BX57" s="22" t="str">
        <f t="shared" si="36"/>
        <v/>
      </c>
      <c r="BY57" s="22" t="str">
        <f t="shared" si="36"/>
        <v/>
      </c>
      <c r="BZ57" s="22" t="str">
        <f t="shared" si="36"/>
        <v/>
      </c>
      <c r="CA57" s="22" t="str">
        <f t="shared" si="36"/>
        <v/>
      </c>
      <c r="CB57" s="22" t="str">
        <f t="shared" si="36"/>
        <v/>
      </c>
      <c r="CC57" s="22" t="str">
        <f t="shared" si="36"/>
        <v/>
      </c>
      <c r="CD57" s="22" t="str">
        <f t="shared" si="36"/>
        <v/>
      </c>
      <c r="CE57" s="22" t="str">
        <f t="shared" si="36"/>
        <v/>
      </c>
      <c r="CF57" s="22" t="str">
        <f t="shared" si="36"/>
        <v/>
      </c>
      <c r="CG57" s="22" t="str">
        <f t="shared" si="36"/>
        <v/>
      </c>
      <c r="CH57" s="22" t="str">
        <f t="shared" si="36"/>
        <v/>
      </c>
      <c r="CI57" s="22" t="str">
        <f t="shared" si="36"/>
        <v/>
      </c>
      <c r="CJ57" s="22" t="str">
        <f t="shared" si="36"/>
        <v/>
      </c>
      <c r="CK57" s="22" t="str">
        <f t="shared" si="36"/>
        <v/>
      </c>
      <c r="CL57" s="22" t="str">
        <f t="shared" si="36"/>
        <v/>
      </c>
      <c r="CM57" s="22" t="str">
        <f t="shared" ref="CM57:CP59" si="40">IF(S57="P",1,IF(S57="L",1,""))</f>
        <v/>
      </c>
      <c r="CN57" s="22" t="str">
        <f t="shared" si="40"/>
        <v/>
      </c>
      <c r="CO57" s="22" t="str">
        <f t="shared" si="40"/>
        <v/>
      </c>
      <c r="CP57" s="22" t="str">
        <f t="shared" si="40"/>
        <v/>
      </c>
      <c r="CQ57" s="22">
        <f t="shared" si="23"/>
        <v>0</v>
      </c>
      <c r="CR57" s="22">
        <f t="shared" si="3"/>
        <v>11</v>
      </c>
      <c r="CS57" s="22" t="str">
        <f t="shared" si="37"/>
        <v/>
      </c>
      <c r="CT57" s="22" t="str">
        <f t="shared" si="37"/>
        <v/>
      </c>
      <c r="CU57" s="22" t="str">
        <f t="shared" si="37"/>
        <v/>
      </c>
      <c r="CV57" s="22" t="str">
        <f t="shared" si="37"/>
        <v/>
      </c>
      <c r="CW57" s="22" t="str">
        <f t="shared" si="37"/>
        <v/>
      </c>
      <c r="CX57" s="22" t="str">
        <f t="shared" si="37"/>
        <v/>
      </c>
      <c r="CY57" s="22" t="str">
        <f t="shared" si="37"/>
        <v/>
      </c>
      <c r="CZ57" s="22" t="str">
        <f t="shared" si="37"/>
        <v/>
      </c>
      <c r="DA57" s="22" t="str">
        <f t="shared" si="37"/>
        <v/>
      </c>
      <c r="DB57" s="22" t="str">
        <f t="shared" si="37"/>
        <v/>
      </c>
      <c r="DC57" s="22" t="str">
        <f t="shared" si="37"/>
        <v/>
      </c>
      <c r="DD57" s="22" t="str">
        <f t="shared" si="37"/>
        <v/>
      </c>
      <c r="DE57" s="22" t="str">
        <f t="shared" si="37"/>
        <v/>
      </c>
      <c r="DF57" s="22" t="str">
        <f t="shared" si="37"/>
        <v/>
      </c>
      <c r="DG57" s="22" t="str">
        <f t="shared" si="37"/>
        <v/>
      </c>
      <c r="DH57" s="22" t="str">
        <f t="shared" si="37"/>
        <v/>
      </c>
      <c r="DI57" s="22" t="str">
        <f t="shared" ref="DI57:DL59" si="41">IF(S57="l",1,"")</f>
        <v/>
      </c>
      <c r="DJ57" s="22" t="str">
        <f t="shared" si="41"/>
        <v/>
      </c>
      <c r="DK57" s="22" t="str">
        <f t="shared" si="41"/>
        <v/>
      </c>
      <c r="DL57" s="22" t="str">
        <f t="shared" si="41"/>
        <v/>
      </c>
      <c r="DM57" s="22">
        <f t="shared" si="16"/>
        <v>0</v>
      </c>
      <c r="DN57" s="36">
        <f t="shared" si="35"/>
        <v>10</v>
      </c>
      <c r="DO57" s="36">
        <f t="shared" si="35"/>
        <v>10</v>
      </c>
      <c r="DP57" s="36">
        <f t="shared" si="35"/>
        <v>10</v>
      </c>
      <c r="DQ57" s="36">
        <f t="shared" si="35"/>
        <v>10</v>
      </c>
      <c r="DR57" s="36">
        <f t="shared" si="35"/>
        <v>10</v>
      </c>
      <c r="DS57" s="36">
        <f t="shared" si="35"/>
        <v>10</v>
      </c>
      <c r="DT57" s="36">
        <f t="shared" si="35"/>
        <v>10</v>
      </c>
      <c r="DU57" s="36">
        <f t="shared" si="35"/>
        <v>0</v>
      </c>
      <c r="DV57" s="36">
        <f t="shared" si="35"/>
        <v>0</v>
      </c>
      <c r="DW57" s="36">
        <f t="shared" si="35"/>
        <v>0</v>
      </c>
      <c r="DX57" s="23">
        <f t="shared" si="35"/>
        <v>7</v>
      </c>
      <c r="DY57" s="23">
        <f t="shared" si="35"/>
        <v>100</v>
      </c>
      <c r="DZ57" s="23">
        <f t="shared" si="35"/>
        <v>100</v>
      </c>
      <c r="EA57" s="23">
        <f t="shared" si="35"/>
        <v>0</v>
      </c>
      <c r="EB57" s="23">
        <f t="shared" si="35"/>
        <v>0</v>
      </c>
      <c r="EC57" s="23">
        <f>EC56</f>
        <v>0</v>
      </c>
      <c r="ED57" s="23">
        <f t="shared" si="38"/>
        <v>0</v>
      </c>
      <c r="EE57" s="23">
        <f t="shared" si="38"/>
        <v>0</v>
      </c>
      <c r="EF57" s="23">
        <f t="shared" si="38"/>
        <v>0</v>
      </c>
      <c r="EG57" s="23">
        <f t="shared" si="38"/>
        <v>0</v>
      </c>
      <c r="EH57" s="23">
        <f t="shared" si="38"/>
        <v>0</v>
      </c>
      <c r="EI57" s="23">
        <f t="shared" si="38"/>
        <v>2</v>
      </c>
      <c r="EJ57" s="23">
        <f t="shared" si="38"/>
        <v>100</v>
      </c>
    </row>
    <row r="58" spans="1:140" ht="9.9" customHeight="1" x14ac:dyDescent="0.3">
      <c r="A58" s="23">
        <v>49</v>
      </c>
      <c r="B58" s="50" t="str">
        <f>IF(PRELIM!B58="","",PRELIM!B58)</f>
        <v/>
      </c>
      <c r="C58" s="69"/>
      <c r="D58" s="69"/>
      <c r="E58" s="69"/>
      <c r="F58" s="69"/>
      <c r="G58" s="69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9">
        <f t="shared" si="6"/>
        <v>40</v>
      </c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40">
        <f t="shared" si="33"/>
        <v>40</v>
      </c>
      <c r="AI58" s="40">
        <f t="shared" si="33"/>
        <v>40</v>
      </c>
      <c r="AJ58" s="40">
        <f t="shared" si="33"/>
        <v>40</v>
      </c>
      <c r="AK58" s="40">
        <f t="shared" si="33"/>
        <v>40</v>
      </c>
      <c r="AL58" s="40">
        <f t="shared" si="33"/>
        <v>40</v>
      </c>
      <c r="AM58" s="40">
        <f t="shared" si="31"/>
        <v>40</v>
      </c>
      <c r="AN58" s="40">
        <f t="shared" si="31"/>
        <v>40</v>
      </c>
      <c r="AO58" s="40" t="str">
        <f t="shared" si="31"/>
        <v xml:space="preserve"> </v>
      </c>
      <c r="AP58" s="40" t="str">
        <f t="shared" si="31"/>
        <v xml:space="preserve"> </v>
      </c>
      <c r="AQ58" s="40" t="str">
        <f t="shared" si="31"/>
        <v xml:space="preserve"> </v>
      </c>
      <c r="AR58" s="41">
        <f t="shared" si="8"/>
        <v>40</v>
      </c>
      <c r="AS58" s="38"/>
      <c r="AT58" s="164"/>
      <c r="AU58" s="38"/>
      <c r="AV58" s="38"/>
      <c r="AW58" s="38"/>
      <c r="AX58" s="38"/>
      <c r="AY58" s="38"/>
      <c r="AZ58" s="38"/>
      <c r="BA58" s="38"/>
      <c r="BB58" s="38"/>
      <c r="BC58" s="42">
        <f t="shared" si="34"/>
        <v>40</v>
      </c>
      <c r="BD58" s="42">
        <f t="shared" si="34"/>
        <v>40</v>
      </c>
      <c r="BE58" s="42" t="str">
        <f t="shared" si="34"/>
        <v xml:space="preserve"> </v>
      </c>
      <c r="BF58" s="42" t="str">
        <f t="shared" si="34"/>
        <v xml:space="preserve"> </v>
      </c>
      <c r="BG58" s="42" t="str">
        <f t="shared" si="34"/>
        <v xml:space="preserve"> </v>
      </c>
      <c r="BH58" s="42" t="str">
        <f t="shared" si="32"/>
        <v xml:space="preserve"> </v>
      </c>
      <c r="BI58" s="42" t="str">
        <f t="shared" si="32"/>
        <v xml:space="preserve"> </v>
      </c>
      <c r="BJ58" s="42" t="str">
        <f t="shared" si="32"/>
        <v xml:space="preserve"> </v>
      </c>
      <c r="BK58" s="42" t="str">
        <f t="shared" si="32"/>
        <v xml:space="preserve"> </v>
      </c>
      <c r="BL58" s="42" t="str">
        <f t="shared" si="32"/>
        <v xml:space="preserve"> </v>
      </c>
      <c r="BM58" s="43">
        <f t="shared" si="10"/>
        <v>40</v>
      </c>
      <c r="BN58" s="38"/>
      <c r="BO58" s="44">
        <f t="shared" si="11"/>
        <v>40</v>
      </c>
      <c r="BP58" s="20"/>
      <c r="BQ58" s="39">
        <f t="shared" si="39"/>
        <v>40</v>
      </c>
      <c r="BR58" s="23" t="str">
        <f t="shared" si="22"/>
        <v>FAILED</v>
      </c>
      <c r="BS58" s="45"/>
      <c r="BT58" s="46"/>
      <c r="BU58" s="46"/>
      <c r="BV58" s="46"/>
      <c r="BW58" s="21" t="str">
        <f t="shared" si="36"/>
        <v/>
      </c>
      <c r="BX58" s="22" t="str">
        <f t="shared" si="36"/>
        <v/>
      </c>
      <c r="BY58" s="22" t="str">
        <f t="shared" si="36"/>
        <v/>
      </c>
      <c r="BZ58" s="22" t="str">
        <f t="shared" si="36"/>
        <v/>
      </c>
      <c r="CA58" s="22" t="str">
        <f t="shared" si="36"/>
        <v/>
      </c>
      <c r="CB58" s="22" t="str">
        <f t="shared" si="36"/>
        <v/>
      </c>
      <c r="CC58" s="22" t="str">
        <f t="shared" si="36"/>
        <v/>
      </c>
      <c r="CD58" s="22" t="str">
        <f t="shared" si="36"/>
        <v/>
      </c>
      <c r="CE58" s="22" t="str">
        <f t="shared" si="36"/>
        <v/>
      </c>
      <c r="CF58" s="22" t="str">
        <f t="shared" si="36"/>
        <v/>
      </c>
      <c r="CG58" s="22" t="str">
        <f t="shared" si="36"/>
        <v/>
      </c>
      <c r="CH58" s="22" t="str">
        <f t="shared" si="36"/>
        <v/>
      </c>
      <c r="CI58" s="22" t="str">
        <f t="shared" si="36"/>
        <v/>
      </c>
      <c r="CJ58" s="22" t="str">
        <f t="shared" si="36"/>
        <v/>
      </c>
      <c r="CK58" s="22" t="str">
        <f t="shared" si="36"/>
        <v/>
      </c>
      <c r="CL58" s="22" t="str">
        <f t="shared" si="36"/>
        <v/>
      </c>
      <c r="CM58" s="22" t="str">
        <f t="shared" si="40"/>
        <v/>
      </c>
      <c r="CN58" s="22" t="str">
        <f t="shared" si="40"/>
        <v/>
      </c>
      <c r="CO58" s="22" t="str">
        <f t="shared" si="40"/>
        <v/>
      </c>
      <c r="CP58" s="22" t="str">
        <f t="shared" si="40"/>
        <v/>
      </c>
      <c r="CQ58" s="22">
        <f t="shared" si="23"/>
        <v>0</v>
      </c>
      <c r="CR58" s="22">
        <f t="shared" si="3"/>
        <v>11</v>
      </c>
      <c r="CS58" s="22" t="str">
        <f t="shared" si="37"/>
        <v/>
      </c>
      <c r="CT58" s="22" t="str">
        <f t="shared" si="37"/>
        <v/>
      </c>
      <c r="CU58" s="22" t="str">
        <f t="shared" si="37"/>
        <v/>
      </c>
      <c r="CV58" s="22" t="str">
        <f t="shared" si="37"/>
        <v/>
      </c>
      <c r="CW58" s="22" t="str">
        <f t="shared" si="37"/>
        <v/>
      </c>
      <c r="CX58" s="22" t="str">
        <f t="shared" si="37"/>
        <v/>
      </c>
      <c r="CY58" s="22" t="str">
        <f t="shared" si="37"/>
        <v/>
      </c>
      <c r="CZ58" s="22" t="str">
        <f t="shared" si="37"/>
        <v/>
      </c>
      <c r="DA58" s="22" t="str">
        <f t="shared" si="37"/>
        <v/>
      </c>
      <c r="DB58" s="22" t="str">
        <f t="shared" si="37"/>
        <v/>
      </c>
      <c r="DC58" s="22" t="str">
        <f t="shared" si="37"/>
        <v/>
      </c>
      <c r="DD58" s="22" t="str">
        <f t="shared" si="37"/>
        <v/>
      </c>
      <c r="DE58" s="22" t="str">
        <f t="shared" si="37"/>
        <v/>
      </c>
      <c r="DF58" s="22" t="str">
        <f t="shared" si="37"/>
        <v/>
      </c>
      <c r="DG58" s="22" t="str">
        <f t="shared" si="37"/>
        <v/>
      </c>
      <c r="DH58" s="22" t="str">
        <f t="shared" si="37"/>
        <v/>
      </c>
      <c r="DI58" s="22" t="str">
        <f t="shared" si="41"/>
        <v/>
      </c>
      <c r="DJ58" s="22" t="str">
        <f t="shared" si="41"/>
        <v/>
      </c>
      <c r="DK58" s="22" t="str">
        <f t="shared" si="41"/>
        <v/>
      </c>
      <c r="DL58" s="22" t="str">
        <f t="shared" si="41"/>
        <v/>
      </c>
      <c r="DM58" s="22">
        <f t="shared" si="16"/>
        <v>0</v>
      </c>
      <c r="DN58" s="36">
        <f t="shared" ref="DN58:EB59" si="42">DN57</f>
        <v>10</v>
      </c>
      <c r="DO58" s="36">
        <f t="shared" si="42"/>
        <v>10</v>
      </c>
      <c r="DP58" s="36">
        <f t="shared" si="42"/>
        <v>10</v>
      </c>
      <c r="DQ58" s="36">
        <f t="shared" si="42"/>
        <v>10</v>
      </c>
      <c r="DR58" s="36">
        <f t="shared" si="42"/>
        <v>10</v>
      </c>
      <c r="DS58" s="36">
        <f t="shared" si="42"/>
        <v>10</v>
      </c>
      <c r="DT58" s="36">
        <f t="shared" si="42"/>
        <v>10</v>
      </c>
      <c r="DU58" s="36">
        <f t="shared" si="42"/>
        <v>0</v>
      </c>
      <c r="DV58" s="36">
        <f t="shared" si="42"/>
        <v>0</v>
      </c>
      <c r="DW58" s="36">
        <f t="shared" si="42"/>
        <v>0</v>
      </c>
      <c r="DX58" s="23">
        <f t="shared" si="42"/>
        <v>7</v>
      </c>
      <c r="DY58" s="23">
        <f t="shared" si="42"/>
        <v>100</v>
      </c>
      <c r="DZ58" s="23">
        <f t="shared" si="42"/>
        <v>100</v>
      </c>
      <c r="EA58" s="23">
        <f t="shared" si="42"/>
        <v>0</v>
      </c>
      <c r="EB58" s="23">
        <f t="shared" si="42"/>
        <v>0</v>
      </c>
      <c r="EC58" s="23">
        <f>EC57</f>
        <v>0</v>
      </c>
      <c r="ED58" s="23">
        <f t="shared" si="38"/>
        <v>0</v>
      </c>
      <c r="EE58" s="23">
        <f t="shared" si="38"/>
        <v>0</v>
      </c>
      <c r="EF58" s="23">
        <f t="shared" si="38"/>
        <v>0</v>
      </c>
      <c r="EG58" s="23">
        <f t="shared" si="38"/>
        <v>0</v>
      </c>
      <c r="EH58" s="23">
        <f t="shared" si="38"/>
        <v>0</v>
      </c>
      <c r="EI58" s="23">
        <f t="shared" si="38"/>
        <v>2</v>
      </c>
      <c r="EJ58" s="23">
        <f t="shared" si="38"/>
        <v>100</v>
      </c>
    </row>
    <row r="59" spans="1:140" ht="9.9" customHeight="1" x14ac:dyDescent="0.3">
      <c r="A59" s="23">
        <v>50</v>
      </c>
      <c r="B59" s="50" t="str">
        <f>IF(PRELIM!B59="","",PRELIM!B59)</f>
        <v/>
      </c>
      <c r="C59" s="69"/>
      <c r="D59" s="69"/>
      <c r="E59" s="69"/>
      <c r="F59" s="69"/>
      <c r="G59" s="69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9">
        <f t="shared" si="6"/>
        <v>40</v>
      </c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40">
        <f t="shared" si="33"/>
        <v>40</v>
      </c>
      <c r="AI59" s="40">
        <f t="shared" si="33"/>
        <v>40</v>
      </c>
      <c r="AJ59" s="40">
        <f t="shared" si="33"/>
        <v>40</v>
      </c>
      <c r="AK59" s="40">
        <f t="shared" si="33"/>
        <v>40</v>
      </c>
      <c r="AL59" s="40">
        <f t="shared" si="33"/>
        <v>40</v>
      </c>
      <c r="AM59" s="40">
        <f t="shared" si="31"/>
        <v>40</v>
      </c>
      <c r="AN59" s="40">
        <f t="shared" si="31"/>
        <v>40</v>
      </c>
      <c r="AO59" s="40" t="str">
        <f t="shared" si="31"/>
        <v xml:space="preserve"> </v>
      </c>
      <c r="AP59" s="40" t="str">
        <f t="shared" si="31"/>
        <v xml:space="preserve"> </v>
      </c>
      <c r="AQ59" s="40" t="str">
        <f t="shared" si="31"/>
        <v xml:space="preserve"> </v>
      </c>
      <c r="AR59" s="41">
        <f t="shared" si="8"/>
        <v>40</v>
      </c>
      <c r="AS59" s="38"/>
      <c r="AT59" s="164"/>
      <c r="AU59" s="38"/>
      <c r="AV59" s="38"/>
      <c r="AW59" s="38"/>
      <c r="AX59" s="38"/>
      <c r="AY59" s="38"/>
      <c r="AZ59" s="38"/>
      <c r="BA59" s="38"/>
      <c r="BB59" s="38"/>
      <c r="BC59" s="42">
        <f t="shared" si="34"/>
        <v>40</v>
      </c>
      <c r="BD59" s="42">
        <f t="shared" si="34"/>
        <v>40</v>
      </c>
      <c r="BE59" s="42" t="str">
        <f t="shared" si="34"/>
        <v xml:space="preserve"> </v>
      </c>
      <c r="BF59" s="42" t="str">
        <f t="shared" si="34"/>
        <v xml:space="preserve"> </v>
      </c>
      <c r="BG59" s="42" t="str">
        <f t="shared" si="34"/>
        <v xml:space="preserve"> </v>
      </c>
      <c r="BH59" s="42" t="str">
        <f t="shared" si="32"/>
        <v xml:space="preserve"> </v>
      </c>
      <c r="BI59" s="42" t="str">
        <f t="shared" si="32"/>
        <v xml:space="preserve"> </v>
      </c>
      <c r="BJ59" s="42" t="str">
        <f t="shared" si="32"/>
        <v xml:space="preserve"> </v>
      </c>
      <c r="BK59" s="42" t="str">
        <f t="shared" si="32"/>
        <v xml:space="preserve"> </v>
      </c>
      <c r="BL59" s="42" t="str">
        <f t="shared" si="32"/>
        <v xml:space="preserve"> </v>
      </c>
      <c r="BM59" s="43">
        <f t="shared" si="10"/>
        <v>40</v>
      </c>
      <c r="BN59" s="38"/>
      <c r="BO59" s="44">
        <f t="shared" si="11"/>
        <v>40</v>
      </c>
      <c r="BP59" s="20"/>
      <c r="BQ59" s="39">
        <f t="shared" si="39"/>
        <v>40</v>
      </c>
      <c r="BR59" s="23" t="str">
        <f t="shared" si="22"/>
        <v>FAILED</v>
      </c>
      <c r="BS59" s="45"/>
      <c r="BT59" s="46"/>
      <c r="BU59" s="46"/>
      <c r="BV59" s="46"/>
      <c r="BW59" s="21" t="str">
        <f t="shared" si="36"/>
        <v/>
      </c>
      <c r="BX59" s="22" t="str">
        <f t="shared" si="36"/>
        <v/>
      </c>
      <c r="BY59" s="22" t="str">
        <f t="shared" si="36"/>
        <v/>
      </c>
      <c r="BZ59" s="22" t="str">
        <f t="shared" si="36"/>
        <v/>
      </c>
      <c r="CA59" s="22" t="str">
        <f t="shared" si="36"/>
        <v/>
      </c>
      <c r="CB59" s="22" t="str">
        <f t="shared" si="36"/>
        <v/>
      </c>
      <c r="CC59" s="22" t="str">
        <f t="shared" si="36"/>
        <v/>
      </c>
      <c r="CD59" s="22" t="str">
        <f t="shared" si="36"/>
        <v/>
      </c>
      <c r="CE59" s="22" t="str">
        <f t="shared" si="36"/>
        <v/>
      </c>
      <c r="CF59" s="22" t="str">
        <f t="shared" si="36"/>
        <v/>
      </c>
      <c r="CG59" s="22" t="str">
        <f t="shared" si="36"/>
        <v/>
      </c>
      <c r="CH59" s="22" t="str">
        <f t="shared" si="36"/>
        <v/>
      </c>
      <c r="CI59" s="22" t="str">
        <f t="shared" si="36"/>
        <v/>
      </c>
      <c r="CJ59" s="22" t="str">
        <f>IF(P59="P",1,IF(P59="L",1,""))</f>
        <v/>
      </c>
      <c r="CK59" s="22" t="str">
        <f>IF(Q59="P",1,IF(Q59="L",1,""))</f>
        <v/>
      </c>
      <c r="CL59" s="22" t="str">
        <f>IF(R59="P",1,IF(R59="L",1,""))</f>
        <v/>
      </c>
      <c r="CM59" s="22" t="str">
        <f t="shared" si="40"/>
        <v/>
      </c>
      <c r="CN59" s="22" t="str">
        <f t="shared" si="40"/>
        <v/>
      </c>
      <c r="CO59" s="22" t="str">
        <f t="shared" si="40"/>
        <v/>
      </c>
      <c r="CP59" s="22" t="str">
        <f t="shared" si="40"/>
        <v/>
      </c>
      <c r="CQ59" s="22">
        <f t="shared" si="23"/>
        <v>0</v>
      </c>
      <c r="CR59" s="22">
        <f t="shared" si="3"/>
        <v>11</v>
      </c>
      <c r="CS59" s="22" t="str">
        <f t="shared" si="37"/>
        <v/>
      </c>
      <c r="CT59" s="22" t="str">
        <f t="shared" si="37"/>
        <v/>
      </c>
      <c r="CU59" s="22" t="str">
        <f t="shared" si="37"/>
        <v/>
      </c>
      <c r="CV59" s="22" t="str">
        <f t="shared" si="37"/>
        <v/>
      </c>
      <c r="CW59" s="22" t="str">
        <f t="shared" si="37"/>
        <v/>
      </c>
      <c r="CX59" s="22" t="str">
        <f t="shared" si="37"/>
        <v/>
      </c>
      <c r="CY59" s="22" t="str">
        <f t="shared" si="37"/>
        <v/>
      </c>
      <c r="CZ59" s="22" t="str">
        <f t="shared" si="37"/>
        <v/>
      </c>
      <c r="DA59" s="22" t="str">
        <f t="shared" si="37"/>
        <v/>
      </c>
      <c r="DB59" s="22" t="str">
        <f t="shared" si="37"/>
        <v/>
      </c>
      <c r="DC59" s="22" t="str">
        <f t="shared" si="37"/>
        <v/>
      </c>
      <c r="DD59" s="22" t="str">
        <f t="shared" si="37"/>
        <v/>
      </c>
      <c r="DE59" s="22" t="str">
        <f t="shared" si="37"/>
        <v/>
      </c>
      <c r="DF59" s="22" t="str">
        <f>IF(P59="l",1,"")</f>
        <v/>
      </c>
      <c r="DG59" s="22" t="str">
        <f>IF(Q59="l",1,"")</f>
        <v/>
      </c>
      <c r="DH59" s="22" t="str">
        <f>IF(R59="l",1,"")</f>
        <v/>
      </c>
      <c r="DI59" s="22" t="str">
        <f t="shared" si="41"/>
        <v/>
      </c>
      <c r="DJ59" s="22" t="str">
        <f t="shared" si="41"/>
        <v/>
      </c>
      <c r="DK59" s="22" t="str">
        <f t="shared" si="41"/>
        <v/>
      </c>
      <c r="DL59" s="22" t="str">
        <f t="shared" si="41"/>
        <v/>
      </c>
      <c r="DM59" s="22">
        <f t="shared" si="16"/>
        <v>0</v>
      </c>
      <c r="DN59" s="36">
        <f t="shared" si="42"/>
        <v>10</v>
      </c>
      <c r="DO59" s="36">
        <f t="shared" si="42"/>
        <v>10</v>
      </c>
      <c r="DP59" s="36">
        <f t="shared" si="42"/>
        <v>10</v>
      </c>
      <c r="DQ59" s="36">
        <f t="shared" si="42"/>
        <v>10</v>
      </c>
      <c r="DR59" s="36">
        <f t="shared" si="42"/>
        <v>10</v>
      </c>
      <c r="DS59" s="36">
        <f t="shared" si="42"/>
        <v>10</v>
      </c>
      <c r="DT59" s="36">
        <f t="shared" si="42"/>
        <v>10</v>
      </c>
      <c r="DU59" s="36">
        <f t="shared" si="42"/>
        <v>0</v>
      </c>
      <c r="DV59" s="36">
        <f t="shared" si="42"/>
        <v>0</v>
      </c>
      <c r="DW59" s="36">
        <f t="shared" si="42"/>
        <v>0</v>
      </c>
      <c r="DX59" s="23">
        <f t="shared" si="42"/>
        <v>7</v>
      </c>
      <c r="DY59" s="23">
        <f t="shared" si="42"/>
        <v>100</v>
      </c>
      <c r="DZ59" s="23">
        <f t="shared" si="42"/>
        <v>100</v>
      </c>
      <c r="EA59" s="23">
        <f t="shared" si="42"/>
        <v>0</v>
      </c>
      <c r="EB59" s="23">
        <f t="shared" si="42"/>
        <v>0</v>
      </c>
      <c r="EC59" s="23">
        <f>EC58</f>
        <v>0</v>
      </c>
      <c r="ED59" s="23">
        <f t="shared" ref="ED59:EJ59" si="43">ED58</f>
        <v>0</v>
      </c>
      <c r="EE59" s="23">
        <f t="shared" si="43"/>
        <v>0</v>
      </c>
      <c r="EF59" s="23">
        <f t="shared" si="43"/>
        <v>0</v>
      </c>
      <c r="EG59" s="23">
        <f t="shared" si="43"/>
        <v>0</v>
      </c>
      <c r="EH59" s="23">
        <f t="shared" si="43"/>
        <v>0</v>
      </c>
      <c r="EI59" s="23">
        <f t="shared" si="43"/>
        <v>2</v>
      </c>
      <c r="EJ59" s="23">
        <f t="shared" si="43"/>
        <v>100</v>
      </c>
    </row>
    <row r="60" spans="1:140" ht="9.9" customHeight="1" x14ac:dyDescent="0.3">
      <c r="W60" s="14"/>
      <c r="AH60" s="12"/>
      <c r="AI60" s="12"/>
      <c r="AJ60" s="12"/>
      <c r="AR60" s="12"/>
      <c r="BM60" s="12"/>
      <c r="BO60" s="12"/>
      <c r="BQ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</row>
    <row r="61" spans="1:140" ht="9.9" customHeight="1" x14ac:dyDescent="0.3">
      <c r="W61" s="14"/>
      <c r="AH61" s="12"/>
      <c r="AI61" s="12"/>
      <c r="AJ61" s="12"/>
      <c r="AR61" s="12"/>
      <c r="BM61" s="12"/>
      <c r="BO61" s="12"/>
      <c r="BQ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</row>
    <row r="62" spans="1:140" ht="9.9" customHeight="1" x14ac:dyDescent="0.3">
      <c r="W62" s="14"/>
      <c r="AH62" s="12"/>
      <c r="AI62" s="12"/>
      <c r="AJ62" s="12"/>
      <c r="AR62" s="12"/>
      <c r="BM62" s="12"/>
      <c r="BO62" s="12"/>
      <c r="BQ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</row>
    <row r="63" spans="1:140" ht="9.9" customHeight="1" x14ac:dyDescent="0.3">
      <c r="W63" s="14"/>
      <c r="AH63" s="12"/>
      <c r="AI63" s="12"/>
      <c r="AJ63" s="12"/>
      <c r="AR63" s="12"/>
      <c r="BM63" s="12"/>
      <c r="BO63" s="12"/>
      <c r="BQ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</row>
    <row r="64" spans="1:140" ht="9.9" customHeight="1" x14ac:dyDescent="0.3">
      <c r="W64" s="14"/>
      <c r="AH64" s="12"/>
      <c r="AI64" s="12"/>
      <c r="AJ64" s="12"/>
      <c r="AR64" s="12"/>
      <c r="BM64" s="12"/>
      <c r="BO64" s="12"/>
      <c r="BQ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</row>
    <row r="65" spans="2:127" ht="9.9" customHeight="1" x14ac:dyDescent="0.3">
      <c r="W65" s="14"/>
      <c r="AH65" s="12"/>
      <c r="AI65" s="12"/>
      <c r="AJ65" s="12"/>
      <c r="AR65" s="12"/>
      <c r="BM65" s="12"/>
      <c r="BO65" s="12"/>
      <c r="BQ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</row>
    <row r="66" spans="2:127" x14ac:dyDescent="0.3">
      <c r="B66" s="12"/>
      <c r="W66" s="14"/>
      <c r="AH66" s="12"/>
      <c r="AI66" s="12"/>
      <c r="AJ66" s="12"/>
      <c r="AR66" s="12"/>
      <c r="BM66" s="12"/>
      <c r="BO66" s="12"/>
      <c r="BQ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</row>
    <row r="67" spans="2:127" x14ac:dyDescent="0.3">
      <c r="B67" s="12"/>
      <c r="W67" s="14"/>
      <c r="AH67" s="12"/>
      <c r="AI67" s="12"/>
      <c r="AJ67" s="12"/>
      <c r="AR67" s="12"/>
      <c r="BM67" s="12"/>
      <c r="BO67" s="12"/>
      <c r="BQ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</row>
    <row r="68" spans="2:127" x14ac:dyDescent="0.3">
      <c r="B68" s="12"/>
      <c r="W68" s="14"/>
      <c r="AH68" s="12"/>
      <c r="AI68" s="12"/>
      <c r="AJ68" s="12"/>
      <c r="AR68" s="12"/>
      <c r="BM68" s="12"/>
      <c r="BO68" s="12"/>
      <c r="BQ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</row>
    <row r="69" spans="2:127" x14ac:dyDescent="0.3">
      <c r="B69" s="12"/>
      <c r="W69" s="14"/>
      <c r="AH69" s="12"/>
      <c r="AI69" s="12"/>
      <c r="AJ69" s="12"/>
      <c r="AR69" s="12"/>
      <c r="BM69" s="12"/>
      <c r="BO69" s="12"/>
      <c r="BQ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</row>
    <row r="70" spans="2:127" x14ac:dyDescent="0.3">
      <c r="B70" s="12"/>
      <c r="W70" s="14"/>
      <c r="AH70" s="12"/>
      <c r="AI70" s="12"/>
      <c r="AJ70" s="12"/>
      <c r="AR70" s="12"/>
      <c r="BM70" s="12"/>
      <c r="BO70" s="12"/>
      <c r="BQ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</row>
    <row r="71" spans="2:127" x14ac:dyDescent="0.3">
      <c r="B71" s="12"/>
      <c r="W71" s="14"/>
      <c r="AH71" s="12"/>
      <c r="AI71" s="12"/>
      <c r="AJ71" s="12"/>
      <c r="AR71" s="12"/>
      <c r="BM71" s="12"/>
      <c r="BO71" s="12"/>
      <c r="BQ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</row>
    <row r="72" spans="2:127" x14ac:dyDescent="0.3">
      <c r="B72" s="12"/>
      <c r="W72" s="14"/>
      <c r="AH72" s="12"/>
      <c r="AI72" s="12"/>
      <c r="AJ72" s="12"/>
      <c r="AR72" s="12"/>
      <c r="BM72" s="12"/>
      <c r="BO72" s="12"/>
      <c r="BQ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</row>
    <row r="73" spans="2:127" x14ac:dyDescent="0.3">
      <c r="B73" s="12"/>
      <c r="W73" s="14"/>
      <c r="AH73" s="12"/>
      <c r="AI73" s="12"/>
      <c r="AJ73" s="12"/>
      <c r="AR73" s="12"/>
      <c r="BM73" s="12"/>
      <c r="BO73" s="12"/>
      <c r="BQ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</row>
    <row r="74" spans="2:127" x14ac:dyDescent="0.3">
      <c r="B74" s="12"/>
      <c r="W74" s="14"/>
      <c r="AH74" s="12"/>
      <c r="AI74" s="12"/>
      <c r="AJ74" s="12"/>
      <c r="AR74" s="12"/>
      <c r="BM74" s="12"/>
      <c r="BO74" s="12"/>
      <c r="BQ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</row>
    <row r="75" spans="2:127" x14ac:dyDescent="0.3">
      <c r="B75" s="12"/>
      <c r="W75" s="14"/>
      <c r="AH75" s="12"/>
      <c r="AI75" s="12"/>
      <c r="AJ75" s="12"/>
      <c r="AR75" s="12"/>
      <c r="BM75" s="12"/>
      <c r="BO75" s="12"/>
      <c r="BQ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</row>
    <row r="76" spans="2:127" x14ac:dyDescent="0.3">
      <c r="B76" s="12"/>
      <c r="W76" s="14"/>
      <c r="AH76" s="12"/>
      <c r="AI76" s="12"/>
      <c r="AJ76" s="12"/>
      <c r="AR76" s="12"/>
      <c r="BM76" s="12"/>
      <c r="BO76" s="12"/>
      <c r="BQ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</row>
    <row r="77" spans="2:127" x14ac:dyDescent="0.3">
      <c r="B77" s="12"/>
      <c r="W77" s="14"/>
      <c r="AH77" s="12"/>
      <c r="AI77" s="12"/>
      <c r="AJ77" s="12"/>
      <c r="AR77" s="12"/>
      <c r="BM77" s="12"/>
      <c r="BO77" s="12"/>
      <c r="BQ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</row>
    <row r="78" spans="2:127" x14ac:dyDescent="0.3">
      <c r="B78" s="12"/>
      <c r="W78" s="14"/>
      <c r="AH78" s="12"/>
      <c r="AI78" s="12"/>
      <c r="AJ78" s="12"/>
      <c r="AR78" s="12"/>
      <c r="BM78" s="12"/>
      <c r="BO78" s="12"/>
      <c r="BQ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</row>
    <row r="79" spans="2:127" x14ac:dyDescent="0.3">
      <c r="B79" s="12"/>
      <c r="W79" s="14"/>
      <c r="AH79" s="12"/>
      <c r="AI79" s="12"/>
      <c r="AJ79" s="12"/>
      <c r="AR79" s="12"/>
      <c r="BM79" s="12"/>
      <c r="BO79" s="12"/>
      <c r="BQ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</row>
    <row r="80" spans="2:127" x14ac:dyDescent="0.3">
      <c r="B80" s="12"/>
      <c r="W80" s="14"/>
      <c r="AH80" s="12"/>
      <c r="AI80" s="12"/>
      <c r="AJ80" s="12"/>
      <c r="AR80" s="12"/>
      <c r="BM80" s="12"/>
      <c r="BO80" s="12"/>
      <c r="BQ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</row>
    <row r="81" spans="23:23" s="12" customFormat="1" x14ac:dyDescent="0.3">
      <c r="W81" s="14"/>
    </row>
    <row r="82" spans="23:23" s="12" customFormat="1" x14ac:dyDescent="0.3">
      <c r="W82" s="14"/>
    </row>
    <row r="83" spans="23:23" s="12" customFormat="1" x14ac:dyDescent="0.3">
      <c r="W83" s="14"/>
    </row>
    <row r="84" spans="23:23" s="12" customFormat="1" x14ac:dyDescent="0.3">
      <c r="W84" s="14"/>
    </row>
    <row r="85" spans="23:23" s="12" customFormat="1" x14ac:dyDescent="0.3">
      <c r="W85" s="14"/>
    </row>
    <row r="86" spans="23:23" s="12" customFormat="1" x14ac:dyDescent="0.3">
      <c r="W86" s="14"/>
    </row>
    <row r="87" spans="23:23" s="12" customFormat="1" x14ac:dyDescent="0.3">
      <c r="W87" s="14"/>
    </row>
    <row r="88" spans="23:23" s="12" customFormat="1" x14ac:dyDescent="0.3">
      <c r="W88" s="14"/>
    </row>
    <row r="89" spans="23:23" s="12" customFormat="1" x14ac:dyDescent="0.3">
      <c r="W89" s="14"/>
    </row>
    <row r="90" spans="23:23" s="12" customFormat="1" x14ac:dyDescent="0.3">
      <c r="W90" s="14"/>
    </row>
    <row r="91" spans="23:23" s="12" customFormat="1" x14ac:dyDescent="0.3">
      <c r="W91" s="14"/>
    </row>
    <row r="92" spans="23:23" s="12" customFormat="1" x14ac:dyDescent="0.3">
      <c r="W92" s="14"/>
    </row>
    <row r="93" spans="23:23" s="12" customFormat="1" x14ac:dyDescent="0.3">
      <c r="W93" s="14"/>
    </row>
    <row r="94" spans="23:23" s="12" customFormat="1" x14ac:dyDescent="0.3">
      <c r="W94" s="14"/>
    </row>
    <row r="95" spans="23:23" s="12" customFormat="1" x14ac:dyDescent="0.3">
      <c r="W95" s="14"/>
    </row>
    <row r="96" spans="23:23" s="12" customFormat="1" x14ac:dyDescent="0.3">
      <c r="W96" s="14"/>
    </row>
    <row r="97" spans="23:23" s="12" customFormat="1" x14ac:dyDescent="0.3">
      <c r="W97" s="14"/>
    </row>
    <row r="98" spans="23:23" s="12" customFormat="1" x14ac:dyDescent="0.3">
      <c r="W98" s="14"/>
    </row>
    <row r="99" spans="23:23" s="12" customFormat="1" x14ac:dyDescent="0.3">
      <c r="W99" s="14"/>
    </row>
    <row r="100" spans="23:23" s="12" customFormat="1" x14ac:dyDescent="0.3">
      <c r="W100" s="14"/>
    </row>
    <row r="101" spans="23:23" s="12" customFormat="1" x14ac:dyDescent="0.3">
      <c r="W101" s="14"/>
    </row>
    <row r="102" spans="23:23" s="12" customFormat="1" x14ac:dyDescent="0.3">
      <c r="W102" s="14"/>
    </row>
    <row r="103" spans="23:23" s="12" customFormat="1" x14ac:dyDescent="0.3">
      <c r="W103" s="14"/>
    </row>
    <row r="104" spans="23:23" s="12" customFormat="1" x14ac:dyDescent="0.3">
      <c r="W104" s="14"/>
    </row>
    <row r="105" spans="23:23" s="12" customFormat="1" x14ac:dyDescent="0.3">
      <c r="W105" s="14"/>
    </row>
    <row r="106" spans="23:23" s="12" customFormat="1" x14ac:dyDescent="0.3">
      <c r="W106" s="14"/>
    </row>
    <row r="107" spans="23:23" s="12" customFormat="1" x14ac:dyDescent="0.3">
      <c r="W107" s="14"/>
    </row>
    <row r="108" spans="23:23" s="12" customFormat="1" x14ac:dyDescent="0.3">
      <c r="W108" s="14"/>
    </row>
    <row r="109" spans="23:23" s="12" customFormat="1" x14ac:dyDescent="0.3">
      <c r="W109" s="14"/>
    </row>
    <row r="110" spans="23:23" s="12" customFormat="1" x14ac:dyDescent="0.3">
      <c r="W110" s="14"/>
    </row>
    <row r="111" spans="23:23" s="12" customFormat="1" x14ac:dyDescent="0.3">
      <c r="W111" s="14"/>
    </row>
    <row r="112" spans="23:23" s="12" customFormat="1" x14ac:dyDescent="0.3">
      <c r="W112" s="14"/>
    </row>
    <row r="113" spans="23:23" s="12" customFormat="1" x14ac:dyDescent="0.3">
      <c r="W113" s="14"/>
    </row>
    <row r="114" spans="23:23" s="12" customFormat="1" x14ac:dyDescent="0.3">
      <c r="W114" s="14"/>
    </row>
    <row r="115" spans="23:23" s="12" customFormat="1" x14ac:dyDescent="0.3">
      <c r="W115" s="14"/>
    </row>
    <row r="116" spans="23:23" s="12" customFormat="1" x14ac:dyDescent="0.3">
      <c r="W116" s="14"/>
    </row>
    <row r="117" spans="23:23" s="12" customFormat="1" x14ac:dyDescent="0.3">
      <c r="W117" s="14"/>
    </row>
    <row r="118" spans="23:23" s="12" customFormat="1" x14ac:dyDescent="0.3">
      <c r="W118" s="14"/>
    </row>
    <row r="119" spans="23:23" s="12" customFormat="1" x14ac:dyDescent="0.3">
      <c r="W119" s="14"/>
    </row>
    <row r="120" spans="23:23" s="12" customFormat="1" x14ac:dyDescent="0.3">
      <c r="W120" s="14"/>
    </row>
    <row r="121" spans="23:23" s="12" customFormat="1" x14ac:dyDescent="0.3">
      <c r="W121" s="14"/>
    </row>
    <row r="122" spans="23:23" s="12" customFormat="1" x14ac:dyDescent="0.3">
      <c r="W122" s="14"/>
    </row>
    <row r="123" spans="23:23" s="12" customFormat="1" x14ac:dyDescent="0.3">
      <c r="W123" s="14"/>
    </row>
    <row r="124" spans="23:23" s="12" customFormat="1" x14ac:dyDescent="0.3">
      <c r="W124" s="14"/>
    </row>
    <row r="125" spans="23:23" s="12" customFormat="1" x14ac:dyDescent="0.3">
      <c r="W125" s="14"/>
    </row>
    <row r="126" spans="23:23" s="12" customFormat="1" x14ac:dyDescent="0.3">
      <c r="W126" s="14"/>
    </row>
    <row r="127" spans="23:23" s="12" customFormat="1" x14ac:dyDescent="0.3">
      <c r="W127" s="14"/>
    </row>
    <row r="128" spans="23:23" s="12" customFormat="1" x14ac:dyDescent="0.3">
      <c r="W128" s="14"/>
    </row>
    <row r="129" spans="23:23" s="12" customFormat="1" x14ac:dyDescent="0.3">
      <c r="W129" s="14"/>
    </row>
    <row r="130" spans="23:23" s="12" customFormat="1" x14ac:dyDescent="0.3">
      <c r="W130" s="14"/>
    </row>
    <row r="131" spans="23:23" s="12" customFormat="1" x14ac:dyDescent="0.3">
      <c r="W131" s="14"/>
    </row>
    <row r="132" spans="23:23" s="12" customFormat="1" x14ac:dyDescent="0.3">
      <c r="W132" s="14"/>
    </row>
    <row r="133" spans="23:23" s="12" customFormat="1" x14ac:dyDescent="0.3">
      <c r="W133" s="14"/>
    </row>
    <row r="134" spans="23:23" s="12" customFormat="1" x14ac:dyDescent="0.3">
      <c r="W134" s="14"/>
    </row>
    <row r="135" spans="23:23" s="12" customFormat="1" x14ac:dyDescent="0.3">
      <c r="W135" s="14"/>
    </row>
    <row r="136" spans="23:23" s="12" customFormat="1" x14ac:dyDescent="0.3">
      <c r="W136" s="14"/>
    </row>
    <row r="137" spans="23:23" s="12" customFormat="1" x14ac:dyDescent="0.3">
      <c r="W137" s="14"/>
    </row>
    <row r="138" spans="23:23" s="12" customFormat="1" x14ac:dyDescent="0.3">
      <c r="W138" s="14"/>
    </row>
    <row r="139" spans="23:23" s="12" customFormat="1" x14ac:dyDescent="0.3">
      <c r="W139" s="14"/>
    </row>
    <row r="140" spans="23:23" s="12" customFormat="1" x14ac:dyDescent="0.3">
      <c r="W140" s="14"/>
    </row>
    <row r="141" spans="23:23" s="12" customFormat="1" x14ac:dyDescent="0.3">
      <c r="W141" s="14"/>
    </row>
    <row r="142" spans="23:23" s="12" customFormat="1" x14ac:dyDescent="0.3">
      <c r="W142" s="14"/>
    </row>
    <row r="143" spans="23:23" s="12" customFormat="1" x14ac:dyDescent="0.3">
      <c r="W143" s="14"/>
    </row>
    <row r="144" spans="23:23" s="12" customFormat="1" x14ac:dyDescent="0.3">
      <c r="W144" s="14"/>
    </row>
    <row r="145" spans="23:23" s="12" customFormat="1" x14ac:dyDescent="0.3">
      <c r="W145" s="14"/>
    </row>
    <row r="146" spans="23:23" s="12" customFormat="1" x14ac:dyDescent="0.3">
      <c r="W146" s="14"/>
    </row>
    <row r="147" spans="23:23" s="12" customFormat="1" x14ac:dyDescent="0.3">
      <c r="W147" s="14"/>
    </row>
    <row r="148" spans="23:23" s="12" customFormat="1" x14ac:dyDescent="0.3">
      <c r="W148" s="14"/>
    </row>
    <row r="149" spans="23:23" s="12" customFormat="1" x14ac:dyDescent="0.3">
      <c r="W149" s="14"/>
    </row>
    <row r="150" spans="23:23" s="12" customFormat="1" x14ac:dyDescent="0.3">
      <c r="W150" s="14"/>
    </row>
    <row r="151" spans="23:23" s="12" customFormat="1" x14ac:dyDescent="0.3">
      <c r="W151" s="14"/>
    </row>
    <row r="152" spans="23:23" s="12" customFormat="1" x14ac:dyDescent="0.3">
      <c r="W152" s="14"/>
    </row>
    <row r="153" spans="23:23" s="12" customFormat="1" x14ac:dyDescent="0.3">
      <c r="W153" s="14"/>
    </row>
    <row r="154" spans="23:23" s="12" customFormat="1" x14ac:dyDescent="0.3">
      <c r="W154" s="14"/>
    </row>
    <row r="155" spans="23:23" s="12" customFormat="1" x14ac:dyDescent="0.3">
      <c r="W155" s="14"/>
    </row>
    <row r="156" spans="23:23" s="12" customFormat="1" x14ac:dyDescent="0.3">
      <c r="W156" s="14"/>
    </row>
    <row r="157" spans="23:23" s="12" customFormat="1" x14ac:dyDescent="0.3">
      <c r="W157" s="14"/>
    </row>
    <row r="158" spans="23:23" s="12" customFormat="1" x14ac:dyDescent="0.3">
      <c r="W158" s="14"/>
    </row>
    <row r="159" spans="23:23" s="12" customFormat="1" x14ac:dyDescent="0.3">
      <c r="W159" s="14"/>
    </row>
    <row r="160" spans="23:23" s="12" customFormat="1" x14ac:dyDescent="0.3">
      <c r="W160" s="14"/>
    </row>
    <row r="161" spans="23:23" s="12" customFormat="1" x14ac:dyDescent="0.3">
      <c r="W161" s="14"/>
    </row>
    <row r="162" spans="23:23" s="12" customFormat="1" x14ac:dyDescent="0.3">
      <c r="W162" s="14"/>
    </row>
    <row r="163" spans="23:23" s="12" customFormat="1" x14ac:dyDescent="0.3">
      <c r="W163" s="14"/>
    </row>
    <row r="164" spans="23:23" s="12" customFormat="1" x14ac:dyDescent="0.3">
      <c r="W164" s="14"/>
    </row>
    <row r="165" spans="23:23" s="12" customFormat="1" x14ac:dyDescent="0.3">
      <c r="W165" s="14"/>
    </row>
    <row r="166" spans="23:23" s="12" customFormat="1" x14ac:dyDescent="0.3">
      <c r="W166" s="14"/>
    </row>
    <row r="167" spans="23:23" s="12" customFormat="1" x14ac:dyDescent="0.3">
      <c r="W167" s="14"/>
    </row>
    <row r="168" spans="23:23" s="12" customFormat="1" x14ac:dyDescent="0.3">
      <c r="W168" s="14"/>
    </row>
    <row r="169" spans="23:23" s="12" customFormat="1" x14ac:dyDescent="0.3">
      <c r="W169" s="14"/>
    </row>
    <row r="170" spans="23:23" s="12" customFormat="1" x14ac:dyDescent="0.3">
      <c r="W170" s="14"/>
    </row>
    <row r="171" spans="23:23" s="12" customFormat="1" x14ac:dyDescent="0.3">
      <c r="W171" s="14"/>
    </row>
    <row r="172" spans="23:23" s="12" customFormat="1" x14ac:dyDescent="0.3">
      <c r="W172" s="14"/>
    </row>
    <row r="173" spans="23:23" s="12" customFormat="1" x14ac:dyDescent="0.3">
      <c r="W173" s="14"/>
    </row>
    <row r="174" spans="23:23" s="12" customFormat="1" x14ac:dyDescent="0.3">
      <c r="W174" s="14"/>
    </row>
    <row r="175" spans="23:23" s="12" customFormat="1" x14ac:dyDescent="0.3">
      <c r="W175" s="14"/>
    </row>
    <row r="176" spans="23:23" s="12" customFormat="1" x14ac:dyDescent="0.3">
      <c r="W176" s="14"/>
    </row>
    <row r="177" spans="23:23" s="12" customFormat="1" x14ac:dyDescent="0.3">
      <c r="W177" s="14"/>
    </row>
    <row r="178" spans="23:23" s="12" customFormat="1" x14ac:dyDescent="0.3">
      <c r="W178" s="14"/>
    </row>
    <row r="179" spans="23:23" s="12" customFormat="1" x14ac:dyDescent="0.3">
      <c r="W179" s="14"/>
    </row>
    <row r="180" spans="23:23" s="12" customFormat="1" x14ac:dyDescent="0.3">
      <c r="W180" s="14"/>
    </row>
    <row r="181" spans="23:23" s="12" customFormat="1" x14ac:dyDescent="0.3">
      <c r="W181" s="14"/>
    </row>
    <row r="182" spans="23:23" s="12" customFormat="1" x14ac:dyDescent="0.3">
      <c r="W182" s="14"/>
    </row>
    <row r="183" spans="23:23" s="12" customFormat="1" x14ac:dyDescent="0.3">
      <c r="W183" s="14"/>
    </row>
    <row r="184" spans="23:23" s="12" customFormat="1" x14ac:dyDescent="0.3">
      <c r="W184" s="14"/>
    </row>
    <row r="185" spans="23:23" s="12" customFormat="1" x14ac:dyDescent="0.3">
      <c r="W185" s="14"/>
    </row>
    <row r="186" spans="23:23" s="12" customFormat="1" x14ac:dyDescent="0.3">
      <c r="W186" s="14"/>
    </row>
    <row r="187" spans="23:23" s="12" customFormat="1" x14ac:dyDescent="0.3">
      <c r="W187" s="14"/>
    </row>
    <row r="188" spans="23:23" s="12" customFormat="1" x14ac:dyDescent="0.3">
      <c r="W188" s="14"/>
    </row>
    <row r="189" spans="23:23" s="12" customFormat="1" x14ac:dyDescent="0.3">
      <c r="W189" s="14"/>
    </row>
    <row r="190" spans="23:23" s="12" customFormat="1" x14ac:dyDescent="0.3">
      <c r="W190" s="14"/>
    </row>
    <row r="191" spans="23:23" s="12" customFormat="1" x14ac:dyDescent="0.3">
      <c r="W191" s="14"/>
    </row>
    <row r="192" spans="23:23" s="12" customFormat="1" x14ac:dyDescent="0.3">
      <c r="W192" s="14"/>
    </row>
    <row r="193" spans="23:23" s="12" customFormat="1" x14ac:dyDescent="0.3">
      <c r="W193" s="14"/>
    </row>
    <row r="194" spans="23:23" s="12" customFormat="1" x14ac:dyDescent="0.3">
      <c r="W194" s="14"/>
    </row>
    <row r="195" spans="23:23" s="12" customFormat="1" x14ac:dyDescent="0.3">
      <c r="W195" s="14"/>
    </row>
    <row r="196" spans="23:23" s="12" customFormat="1" x14ac:dyDescent="0.3">
      <c r="W196" s="14"/>
    </row>
    <row r="197" spans="23:23" s="12" customFormat="1" x14ac:dyDescent="0.3">
      <c r="W197" s="14"/>
    </row>
    <row r="198" spans="23:23" s="12" customFormat="1" x14ac:dyDescent="0.3">
      <c r="W198" s="14"/>
    </row>
    <row r="199" spans="23:23" s="12" customFormat="1" x14ac:dyDescent="0.3">
      <c r="W199" s="14"/>
    </row>
    <row r="200" spans="23:23" s="12" customFormat="1" x14ac:dyDescent="0.3">
      <c r="W200" s="14"/>
    </row>
    <row r="201" spans="23:23" s="12" customFormat="1" x14ac:dyDescent="0.3">
      <c r="W201" s="14"/>
    </row>
    <row r="202" spans="23:23" s="12" customFormat="1" x14ac:dyDescent="0.3">
      <c r="W202" s="14"/>
    </row>
    <row r="203" spans="23:23" s="12" customFormat="1" x14ac:dyDescent="0.3">
      <c r="W203" s="14"/>
    </row>
    <row r="204" spans="23:23" s="12" customFormat="1" x14ac:dyDescent="0.3">
      <c r="W204" s="14"/>
    </row>
    <row r="205" spans="23:23" s="12" customFormat="1" x14ac:dyDescent="0.3">
      <c r="W205" s="14"/>
    </row>
    <row r="206" spans="23:23" s="12" customFormat="1" x14ac:dyDescent="0.3">
      <c r="W206" s="14"/>
    </row>
    <row r="207" spans="23:23" s="12" customFormat="1" x14ac:dyDescent="0.3">
      <c r="W207" s="14"/>
    </row>
    <row r="208" spans="23:23" s="12" customFormat="1" x14ac:dyDescent="0.3">
      <c r="W208" s="14"/>
    </row>
    <row r="209" spans="23:23" s="12" customFormat="1" x14ac:dyDescent="0.3">
      <c r="W209" s="14"/>
    </row>
    <row r="210" spans="23:23" s="12" customFormat="1" x14ac:dyDescent="0.3">
      <c r="W210" s="14"/>
    </row>
    <row r="211" spans="23:23" s="12" customFormat="1" x14ac:dyDescent="0.3">
      <c r="W211" s="14"/>
    </row>
    <row r="212" spans="23:23" s="12" customFormat="1" x14ac:dyDescent="0.3">
      <c r="W212" s="14"/>
    </row>
    <row r="213" spans="23:23" s="12" customFormat="1" x14ac:dyDescent="0.3">
      <c r="W213" s="14"/>
    </row>
    <row r="214" spans="23:23" s="12" customFormat="1" x14ac:dyDescent="0.3">
      <c r="W214" s="14"/>
    </row>
    <row r="215" spans="23:23" s="12" customFormat="1" x14ac:dyDescent="0.3">
      <c r="W215" s="14"/>
    </row>
    <row r="216" spans="23:23" s="12" customFormat="1" x14ac:dyDescent="0.3">
      <c r="W216" s="14"/>
    </row>
    <row r="217" spans="23:23" s="12" customFormat="1" x14ac:dyDescent="0.3">
      <c r="W217" s="14"/>
    </row>
    <row r="218" spans="23:23" s="12" customFormat="1" x14ac:dyDescent="0.3">
      <c r="W218" s="14"/>
    </row>
    <row r="219" spans="23:23" s="12" customFormat="1" x14ac:dyDescent="0.3">
      <c r="W219" s="14"/>
    </row>
    <row r="220" spans="23:23" s="12" customFormat="1" x14ac:dyDescent="0.3">
      <c r="W220" s="14"/>
    </row>
    <row r="221" spans="23:23" s="12" customFormat="1" x14ac:dyDescent="0.3">
      <c r="W221" s="14"/>
    </row>
    <row r="222" spans="23:23" s="12" customFormat="1" x14ac:dyDescent="0.3">
      <c r="W222" s="14"/>
    </row>
    <row r="223" spans="23:23" s="12" customFormat="1" x14ac:dyDescent="0.3">
      <c r="W223" s="14"/>
    </row>
    <row r="224" spans="23:23" s="12" customFormat="1" x14ac:dyDescent="0.3">
      <c r="W224" s="14"/>
    </row>
    <row r="225" spans="23:23" s="12" customFormat="1" x14ac:dyDescent="0.3">
      <c r="W225" s="14"/>
    </row>
    <row r="226" spans="23:23" s="12" customFormat="1" x14ac:dyDescent="0.3">
      <c r="W226" s="14"/>
    </row>
    <row r="227" spans="23:23" s="12" customFormat="1" x14ac:dyDescent="0.3">
      <c r="W227" s="14"/>
    </row>
    <row r="228" spans="23:23" s="12" customFormat="1" x14ac:dyDescent="0.3">
      <c r="W228" s="14"/>
    </row>
    <row r="229" spans="23:23" s="12" customFormat="1" x14ac:dyDescent="0.3">
      <c r="W229" s="14"/>
    </row>
    <row r="230" spans="23:23" s="12" customFormat="1" x14ac:dyDescent="0.3">
      <c r="W230" s="14"/>
    </row>
    <row r="231" spans="23:23" s="12" customFormat="1" x14ac:dyDescent="0.3">
      <c r="W231" s="14"/>
    </row>
    <row r="232" spans="23:23" s="12" customFormat="1" x14ac:dyDescent="0.3">
      <c r="W232" s="14"/>
    </row>
    <row r="233" spans="23:23" s="12" customFormat="1" x14ac:dyDescent="0.3">
      <c r="W233" s="14"/>
    </row>
    <row r="234" spans="23:23" s="12" customFormat="1" x14ac:dyDescent="0.3">
      <c r="W234" s="14"/>
    </row>
    <row r="235" spans="23:23" s="12" customFormat="1" x14ac:dyDescent="0.3">
      <c r="W235" s="14"/>
    </row>
    <row r="236" spans="23:23" s="12" customFormat="1" x14ac:dyDescent="0.3">
      <c r="W236" s="14"/>
    </row>
    <row r="237" spans="23:23" s="12" customFormat="1" x14ac:dyDescent="0.3">
      <c r="W237" s="14"/>
    </row>
    <row r="238" spans="23:23" s="12" customFormat="1" x14ac:dyDescent="0.3">
      <c r="W238" s="14"/>
    </row>
    <row r="239" spans="23:23" s="12" customFormat="1" x14ac:dyDescent="0.3">
      <c r="W239" s="14"/>
    </row>
    <row r="240" spans="23:23" s="12" customFormat="1" x14ac:dyDescent="0.3">
      <c r="W240" s="14"/>
    </row>
    <row r="241" spans="23:23" s="12" customFormat="1" x14ac:dyDescent="0.3">
      <c r="W241" s="14"/>
    </row>
    <row r="242" spans="23:23" s="12" customFormat="1" x14ac:dyDescent="0.3">
      <c r="W242" s="14"/>
    </row>
    <row r="243" spans="23:23" s="12" customFormat="1" x14ac:dyDescent="0.3">
      <c r="W243" s="14"/>
    </row>
    <row r="244" spans="23:23" s="12" customFormat="1" x14ac:dyDescent="0.3">
      <c r="W244" s="14"/>
    </row>
    <row r="245" spans="23:23" s="12" customFormat="1" x14ac:dyDescent="0.3">
      <c r="W245" s="14"/>
    </row>
    <row r="246" spans="23:23" s="12" customFormat="1" x14ac:dyDescent="0.3">
      <c r="W246" s="14"/>
    </row>
    <row r="247" spans="23:23" s="12" customFormat="1" x14ac:dyDescent="0.3">
      <c r="W247" s="14"/>
    </row>
    <row r="248" spans="23:23" s="12" customFormat="1" x14ac:dyDescent="0.3">
      <c r="W248" s="14"/>
    </row>
    <row r="249" spans="23:23" s="12" customFormat="1" x14ac:dyDescent="0.3">
      <c r="W249" s="14"/>
    </row>
    <row r="250" spans="23:23" s="12" customFormat="1" x14ac:dyDescent="0.3">
      <c r="W250" s="14"/>
    </row>
    <row r="251" spans="23:23" s="12" customFormat="1" x14ac:dyDescent="0.3">
      <c r="W251" s="14"/>
    </row>
    <row r="252" spans="23:23" s="12" customFormat="1" x14ac:dyDescent="0.3">
      <c r="W252" s="14"/>
    </row>
    <row r="253" spans="23:23" s="12" customFormat="1" x14ac:dyDescent="0.3">
      <c r="W253" s="14"/>
    </row>
    <row r="254" spans="23:23" s="12" customFormat="1" x14ac:dyDescent="0.3">
      <c r="W254" s="14"/>
    </row>
    <row r="255" spans="23:23" s="12" customFormat="1" x14ac:dyDescent="0.3">
      <c r="W255" s="14"/>
    </row>
    <row r="256" spans="23:23" s="12" customFormat="1" x14ac:dyDescent="0.3">
      <c r="W256" s="14"/>
    </row>
    <row r="257" spans="23:23" s="12" customFormat="1" x14ac:dyDescent="0.3">
      <c r="W257" s="14"/>
    </row>
    <row r="258" spans="23:23" s="12" customFormat="1" x14ac:dyDescent="0.3">
      <c r="W258" s="14"/>
    </row>
    <row r="259" spans="23:23" s="12" customFormat="1" x14ac:dyDescent="0.3">
      <c r="W259" s="14"/>
    </row>
    <row r="260" spans="23:23" s="12" customFormat="1" x14ac:dyDescent="0.3">
      <c r="W260" s="14"/>
    </row>
    <row r="261" spans="23:23" s="12" customFormat="1" x14ac:dyDescent="0.3">
      <c r="W261" s="14"/>
    </row>
    <row r="262" spans="23:23" s="12" customFormat="1" x14ac:dyDescent="0.3">
      <c r="W262" s="14"/>
    </row>
    <row r="263" spans="23:23" s="12" customFormat="1" x14ac:dyDescent="0.3">
      <c r="W263" s="14"/>
    </row>
    <row r="264" spans="23:23" s="12" customFormat="1" x14ac:dyDescent="0.3">
      <c r="W264" s="14"/>
    </row>
    <row r="265" spans="23:23" s="12" customFormat="1" x14ac:dyDescent="0.3">
      <c r="W265" s="14"/>
    </row>
    <row r="266" spans="23:23" s="12" customFormat="1" x14ac:dyDescent="0.3">
      <c r="W266" s="14"/>
    </row>
    <row r="267" spans="23:23" s="12" customFormat="1" x14ac:dyDescent="0.3">
      <c r="W267" s="14"/>
    </row>
    <row r="268" spans="23:23" s="12" customFormat="1" x14ac:dyDescent="0.3">
      <c r="W268" s="14"/>
    </row>
    <row r="269" spans="23:23" s="12" customFormat="1" x14ac:dyDescent="0.3">
      <c r="W269" s="14"/>
    </row>
    <row r="270" spans="23:23" s="12" customFormat="1" x14ac:dyDescent="0.3">
      <c r="W270" s="14"/>
    </row>
    <row r="271" spans="23:23" s="12" customFormat="1" x14ac:dyDescent="0.3">
      <c r="W271" s="14"/>
    </row>
    <row r="272" spans="23:23" s="12" customFormat="1" x14ac:dyDescent="0.3">
      <c r="W272" s="14"/>
    </row>
    <row r="273" spans="23:23" s="12" customFormat="1" x14ac:dyDescent="0.3">
      <c r="W273" s="14"/>
    </row>
    <row r="274" spans="23:23" s="12" customFormat="1" x14ac:dyDescent="0.3">
      <c r="W274" s="14"/>
    </row>
    <row r="275" spans="23:23" s="12" customFormat="1" x14ac:dyDescent="0.3">
      <c r="W275" s="14"/>
    </row>
    <row r="276" spans="23:23" s="12" customFormat="1" x14ac:dyDescent="0.3">
      <c r="W276" s="14"/>
    </row>
    <row r="277" spans="23:23" s="12" customFormat="1" x14ac:dyDescent="0.3">
      <c r="W277" s="14"/>
    </row>
    <row r="278" spans="23:23" s="12" customFormat="1" x14ac:dyDescent="0.3">
      <c r="W278" s="14"/>
    </row>
    <row r="279" spans="23:23" s="12" customFormat="1" x14ac:dyDescent="0.3">
      <c r="W279" s="14"/>
    </row>
    <row r="280" spans="23:23" s="12" customFormat="1" x14ac:dyDescent="0.3">
      <c r="W280" s="14"/>
    </row>
    <row r="281" spans="23:23" s="12" customFormat="1" x14ac:dyDescent="0.3">
      <c r="W281" s="14"/>
    </row>
    <row r="282" spans="23:23" s="12" customFormat="1" x14ac:dyDescent="0.3">
      <c r="W282" s="14"/>
    </row>
    <row r="283" spans="23:23" s="12" customFormat="1" x14ac:dyDescent="0.3">
      <c r="W283" s="14"/>
    </row>
    <row r="284" spans="23:23" s="12" customFormat="1" x14ac:dyDescent="0.3">
      <c r="W284" s="14"/>
    </row>
    <row r="285" spans="23:23" s="12" customFormat="1" x14ac:dyDescent="0.3">
      <c r="W285" s="14"/>
    </row>
    <row r="286" spans="23:23" s="12" customFormat="1" x14ac:dyDescent="0.3">
      <c r="W286" s="14"/>
    </row>
    <row r="287" spans="23:23" s="12" customFormat="1" x14ac:dyDescent="0.3">
      <c r="W287" s="14"/>
    </row>
    <row r="288" spans="23:23" s="12" customFormat="1" x14ac:dyDescent="0.3">
      <c r="W288" s="14"/>
    </row>
    <row r="289" spans="23:23" s="12" customFormat="1" x14ac:dyDescent="0.3">
      <c r="W289" s="14"/>
    </row>
    <row r="290" spans="23:23" s="12" customFormat="1" x14ac:dyDescent="0.3">
      <c r="W290" s="14"/>
    </row>
    <row r="291" spans="23:23" s="12" customFormat="1" x14ac:dyDescent="0.3">
      <c r="W291" s="14"/>
    </row>
    <row r="292" spans="23:23" s="12" customFormat="1" x14ac:dyDescent="0.3">
      <c r="W292" s="14"/>
    </row>
    <row r="293" spans="23:23" s="12" customFormat="1" x14ac:dyDescent="0.3">
      <c r="W293" s="14"/>
    </row>
    <row r="294" spans="23:23" s="12" customFormat="1" x14ac:dyDescent="0.3">
      <c r="W294" s="14"/>
    </row>
    <row r="295" spans="23:23" s="12" customFormat="1" x14ac:dyDescent="0.3">
      <c r="W295" s="14"/>
    </row>
    <row r="296" spans="23:23" s="12" customFormat="1" x14ac:dyDescent="0.3">
      <c r="W296" s="14"/>
    </row>
    <row r="297" spans="23:23" s="12" customFormat="1" x14ac:dyDescent="0.3">
      <c r="W297" s="14"/>
    </row>
    <row r="298" spans="23:23" s="12" customFormat="1" x14ac:dyDescent="0.3">
      <c r="W298" s="14"/>
    </row>
    <row r="299" spans="23:23" s="12" customFormat="1" x14ac:dyDescent="0.3">
      <c r="W299" s="14"/>
    </row>
    <row r="300" spans="23:23" s="12" customFormat="1" x14ac:dyDescent="0.3">
      <c r="W300" s="14"/>
    </row>
    <row r="301" spans="23:23" s="12" customFormat="1" x14ac:dyDescent="0.3">
      <c r="W301" s="14"/>
    </row>
    <row r="302" spans="23:23" s="12" customFormat="1" x14ac:dyDescent="0.3">
      <c r="W302" s="14"/>
    </row>
    <row r="303" spans="23:23" s="12" customFormat="1" x14ac:dyDescent="0.3">
      <c r="W303" s="14"/>
    </row>
    <row r="304" spans="23:23" s="12" customFormat="1" x14ac:dyDescent="0.3">
      <c r="W304" s="14"/>
    </row>
    <row r="305" spans="23:23" s="12" customFormat="1" x14ac:dyDescent="0.3">
      <c r="W305" s="14"/>
    </row>
    <row r="306" spans="23:23" s="12" customFormat="1" x14ac:dyDescent="0.3">
      <c r="W306" s="14"/>
    </row>
    <row r="307" spans="23:23" s="12" customFormat="1" x14ac:dyDescent="0.3">
      <c r="W307" s="14"/>
    </row>
    <row r="308" spans="23:23" s="12" customFormat="1" x14ac:dyDescent="0.3">
      <c r="W308" s="14"/>
    </row>
    <row r="309" spans="23:23" s="12" customFormat="1" x14ac:dyDescent="0.3">
      <c r="W309" s="14"/>
    </row>
    <row r="310" spans="23:23" s="12" customFormat="1" x14ac:dyDescent="0.3">
      <c r="W310" s="14"/>
    </row>
    <row r="311" spans="23:23" s="12" customFormat="1" x14ac:dyDescent="0.3">
      <c r="W311" s="14"/>
    </row>
    <row r="312" spans="23:23" s="12" customFormat="1" x14ac:dyDescent="0.3">
      <c r="W312" s="14"/>
    </row>
    <row r="313" spans="23:23" s="12" customFormat="1" x14ac:dyDescent="0.3">
      <c r="W313" s="14"/>
    </row>
    <row r="314" spans="23:23" s="12" customFormat="1" x14ac:dyDescent="0.3">
      <c r="W314" s="14"/>
    </row>
    <row r="315" spans="23:23" s="12" customFormat="1" x14ac:dyDescent="0.3">
      <c r="W315" s="14"/>
    </row>
    <row r="316" spans="23:23" s="12" customFormat="1" x14ac:dyDescent="0.3">
      <c r="W316" s="14"/>
    </row>
    <row r="317" spans="23:23" s="12" customFormat="1" x14ac:dyDescent="0.3">
      <c r="W317" s="14"/>
    </row>
    <row r="318" spans="23:23" s="12" customFormat="1" x14ac:dyDescent="0.3">
      <c r="W318" s="14"/>
    </row>
    <row r="319" spans="23:23" s="12" customFormat="1" x14ac:dyDescent="0.3">
      <c r="W319" s="14"/>
    </row>
    <row r="320" spans="23:23" s="12" customFormat="1" x14ac:dyDescent="0.3">
      <c r="W320" s="14"/>
    </row>
    <row r="321" spans="23:23" s="12" customFormat="1" x14ac:dyDescent="0.3">
      <c r="W321" s="14"/>
    </row>
    <row r="322" spans="23:23" s="12" customFormat="1" x14ac:dyDescent="0.3">
      <c r="W322" s="14"/>
    </row>
    <row r="323" spans="23:23" s="12" customFormat="1" x14ac:dyDescent="0.3">
      <c r="W323" s="14"/>
    </row>
    <row r="324" spans="23:23" s="12" customFormat="1" x14ac:dyDescent="0.3">
      <c r="W324" s="14"/>
    </row>
    <row r="325" spans="23:23" s="12" customFormat="1" x14ac:dyDescent="0.3">
      <c r="W325" s="14"/>
    </row>
    <row r="326" spans="23:23" s="12" customFormat="1" x14ac:dyDescent="0.3">
      <c r="W326" s="14"/>
    </row>
    <row r="327" spans="23:23" s="12" customFormat="1" x14ac:dyDescent="0.3">
      <c r="W327" s="14"/>
    </row>
    <row r="328" spans="23:23" s="12" customFormat="1" x14ac:dyDescent="0.3">
      <c r="W328" s="14"/>
    </row>
    <row r="329" spans="23:23" s="12" customFormat="1" x14ac:dyDescent="0.3">
      <c r="W329" s="14"/>
    </row>
    <row r="330" spans="23:23" s="12" customFormat="1" x14ac:dyDescent="0.3">
      <c r="W330" s="14"/>
    </row>
    <row r="331" spans="23:23" s="12" customFormat="1" x14ac:dyDescent="0.3">
      <c r="W331" s="14"/>
    </row>
    <row r="332" spans="23:23" s="12" customFormat="1" x14ac:dyDescent="0.3">
      <c r="W332" s="14"/>
    </row>
    <row r="333" spans="23:23" s="12" customFormat="1" x14ac:dyDescent="0.3">
      <c r="W333" s="14"/>
    </row>
    <row r="334" spans="23:23" s="12" customFormat="1" x14ac:dyDescent="0.3">
      <c r="W334" s="14"/>
    </row>
    <row r="335" spans="23:23" s="12" customFormat="1" x14ac:dyDescent="0.3">
      <c r="W335" s="14"/>
    </row>
    <row r="336" spans="23:23" s="12" customFormat="1" x14ac:dyDescent="0.3">
      <c r="W336" s="14"/>
    </row>
    <row r="337" spans="23:23" s="12" customFormat="1" x14ac:dyDescent="0.3">
      <c r="W337" s="14"/>
    </row>
    <row r="338" spans="23:23" s="12" customFormat="1" x14ac:dyDescent="0.3">
      <c r="W338" s="14"/>
    </row>
    <row r="339" spans="23:23" s="12" customFormat="1" x14ac:dyDescent="0.3">
      <c r="W339" s="14"/>
    </row>
    <row r="340" spans="23:23" s="12" customFormat="1" x14ac:dyDescent="0.3">
      <c r="W340" s="14"/>
    </row>
    <row r="341" spans="23:23" s="12" customFormat="1" x14ac:dyDescent="0.3">
      <c r="W341" s="14"/>
    </row>
    <row r="342" spans="23:23" s="12" customFormat="1" x14ac:dyDescent="0.3">
      <c r="W342" s="14"/>
    </row>
    <row r="343" spans="23:23" s="12" customFormat="1" x14ac:dyDescent="0.3">
      <c r="W343" s="14"/>
    </row>
    <row r="344" spans="23:23" s="12" customFormat="1" x14ac:dyDescent="0.3">
      <c r="W344" s="14"/>
    </row>
    <row r="345" spans="23:23" s="12" customFormat="1" x14ac:dyDescent="0.3">
      <c r="W345" s="14"/>
    </row>
    <row r="346" spans="23:23" s="12" customFormat="1" x14ac:dyDescent="0.3">
      <c r="W346" s="14"/>
    </row>
    <row r="347" spans="23:23" s="12" customFormat="1" x14ac:dyDescent="0.3">
      <c r="W347" s="14"/>
    </row>
    <row r="348" spans="23:23" s="12" customFormat="1" x14ac:dyDescent="0.3">
      <c r="W348" s="14"/>
    </row>
    <row r="349" spans="23:23" s="12" customFormat="1" x14ac:dyDescent="0.3">
      <c r="W349" s="14"/>
    </row>
    <row r="350" spans="23:23" s="12" customFormat="1" x14ac:dyDescent="0.3">
      <c r="W350" s="14"/>
    </row>
    <row r="351" spans="23:23" s="12" customFormat="1" x14ac:dyDescent="0.3">
      <c r="W351" s="14"/>
    </row>
    <row r="352" spans="23:23" s="12" customFormat="1" x14ac:dyDescent="0.3">
      <c r="W352" s="14"/>
    </row>
    <row r="353" spans="23:23" s="12" customFormat="1" x14ac:dyDescent="0.3">
      <c r="W353" s="14"/>
    </row>
    <row r="354" spans="23:23" s="12" customFormat="1" x14ac:dyDescent="0.3">
      <c r="W354" s="14"/>
    </row>
    <row r="355" spans="23:23" s="12" customFormat="1" x14ac:dyDescent="0.3">
      <c r="W355" s="14"/>
    </row>
    <row r="356" spans="23:23" s="12" customFormat="1" x14ac:dyDescent="0.3">
      <c r="W356" s="14"/>
    </row>
    <row r="357" spans="23:23" s="12" customFormat="1" x14ac:dyDescent="0.3">
      <c r="W357" s="14"/>
    </row>
    <row r="358" spans="23:23" s="12" customFormat="1" x14ac:dyDescent="0.3">
      <c r="W358" s="14"/>
    </row>
    <row r="359" spans="23:23" s="12" customFormat="1" x14ac:dyDescent="0.3">
      <c r="W359" s="14"/>
    </row>
    <row r="360" spans="23:23" s="12" customFormat="1" x14ac:dyDescent="0.3">
      <c r="W360" s="14"/>
    </row>
    <row r="361" spans="23:23" s="12" customFormat="1" x14ac:dyDescent="0.3">
      <c r="W361" s="14"/>
    </row>
    <row r="362" spans="23:23" s="12" customFormat="1" x14ac:dyDescent="0.3">
      <c r="W362" s="14"/>
    </row>
    <row r="363" spans="23:23" s="12" customFormat="1" x14ac:dyDescent="0.3">
      <c r="W363" s="14"/>
    </row>
    <row r="364" spans="23:23" s="12" customFormat="1" x14ac:dyDescent="0.3">
      <c r="W364" s="14"/>
    </row>
    <row r="365" spans="23:23" s="12" customFormat="1" x14ac:dyDescent="0.3">
      <c r="W365" s="14"/>
    </row>
    <row r="366" spans="23:23" s="12" customFormat="1" x14ac:dyDescent="0.3">
      <c r="W366" s="14"/>
    </row>
    <row r="367" spans="23:23" s="12" customFormat="1" x14ac:dyDescent="0.3">
      <c r="W367" s="14"/>
    </row>
    <row r="368" spans="23:23" s="12" customFormat="1" x14ac:dyDescent="0.3">
      <c r="W368" s="14"/>
    </row>
    <row r="369" spans="23:23" s="12" customFormat="1" x14ac:dyDescent="0.3">
      <c r="W369" s="14"/>
    </row>
    <row r="370" spans="23:23" s="12" customFormat="1" x14ac:dyDescent="0.3">
      <c r="W370" s="14"/>
    </row>
    <row r="371" spans="23:23" s="12" customFormat="1" x14ac:dyDescent="0.3">
      <c r="W371" s="14"/>
    </row>
    <row r="372" spans="23:23" s="12" customFormat="1" x14ac:dyDescent="0.3">
      <c r="W372" s="14"/>
    </row>
    <row r="373" spans="23:23" s="12" customFormat="1" x14ac:dyDescent="0.3">
      <c r="W373" s="14"/>
    </row>
    <row r="374" spans="23:23" s="12" customFormat="1" x14ac:dyDescent="0.3">
      <c r="W374" s="14"/>
    </row>
    <row r="375" spans="23:23" s="12" customFormat="1" x14ac:dyDescent="0.3">
      <c r="W375" s="14"/>
    </row>
    <row r="376" spans="23:23" s="12" customFormat="1" x14ac:dyDescent="0.3">
      <c r="W376" s="14"/>
    </row>
    <row r="377" spans="23:23" s="12" customFormat="1" x14ac:dyDescent="0.3">
      <c r="W377" s="14"/>
    </row>
    <row r="378" spans="23:23" s="12" customFormat="1" x14ac:dyDescent="0.3">
      <c r="W378" s="14"/>
    </row>
    <row r="379" spans="23:23" s="12" customFormat="1" x14ac:dyDescent="0.3">
      <c r="W379" s="14"/>
    </row>
    <row r="380" spans="23:23" s="12" customFormat="1" x14ac:dyDescent="0.3">
      <c r="W380" s="14"/>
    </row>
    <row r="381" spans="23:23" s="12" customFormat="1" x14ac:dyDescent="0.3">
      <c r="W381" s="14"/>
    </row>
    <row r="382" spans="23:23" s="12" customFormat="1" x14ac:dyDescent="0.3">
      <c r="W382" s="14"/>
    </row>
    <row r="383" spans="23:23" s="12" customFormat="1" x14ac:dyDescent="0.3">
      <c r="W383" s="14"/>
    </row>
    <row r="384" spans="23:23" s="12" customFormat="1" x14ac:dyDescent="0.3">
      <c r="W384" s="14"/>
    </row>
    <row r="385" spans="23:23" s="12" customFormat="1" x14ac:dyDescent="0.3">
      <c r="W385" s="14"/>
    </row>
    <row r="386" spans="23:23" s="12" customFormat="1" x14ac:dyDescent="0.3">
      <c r="W386" s="14"/>
    </row>
    <row r="387" spans="23:23" s="12" customFormat="1" x14ac:dyDescent="0.3">
      <c r="W387" s="14"/>
    </row>
    <row r="388" spans="23:23" s="12" customFormat="1" x14ac:dyDescent="0.3">
      <c r="W388" s="14"/>
    </row>
    <row r="389" spans="23:23" s="12" customFormat="1" x14ac:dyDescent="0.3">
      <c r="W389" s="14"/>
    </row>
    <row r="390" spans="23:23" s="12" customFormat="1" x14ac:dyDescent="0.3">
      <c r="W390" s="14"/>
    </row>
    <row r="391" spans="23:23" s="12" customFormat="1" x14ac:dyDescent="0.3">
      <c r="W391" s="14"/>
    </row>
    <row r="392" spans="23:23" s="12" customFormat="1" x14ac:dyDescent="0.3">
      <c r="W392" s="14"/>
    </row>
    <row r="393" spans="23:23" s="12" customFormat="1" x14ac:dyDescent="0.3">
      <c r="W393" s="14"/>
    </row>
    <row r="394" spans="23:23" s="12" customFormat="1" x14ac:dyDescent="0.3">
      <c r="W394" s="14"/>
    </row>
    <row r="395" spans="23:23" s="12" customFormat="1" x14ac:dyDescent="0.3">
      <c r="W395" s="14"/>
    </row>
    <row r="396" spans="23:23" s="12" customFormat="1" x14ac:dyDescent="0.3">
      <c r="W396" s="14"/>
    </row>
    <row r="397" spans="23:23" s="12" customFormat="1" x14ac:dyDescent="0.3">
      <c r="W397" s="14"/>
    </row>
    <row r="398" spans="23:23" s="12" customFormat="1" x14ac:dyDescent="0.3">
      <c r="W398" s="14"/>
    </row>
    <row r="399" spans="23:23" s="12" customFormat="1" x14ac:dyDescent="0.3">
      <c r="W399" s="14"/>
    </row>
    <row r="400" spans="23:23" s="12" customFormat="1" x14ac:dyDescent="0.3">
      <c r="W400" s="14"/>
    </row>
    <row r="401" spans="23:23" s="12" customFormat="1" x14ac:dyDescent="0.3">
      <c r="W401" s="14"/>
    </row>
    <row r="402" spans="23:23" s="12" customFormat="1" x14ac:dyDescent="0.3">
      <c r="W402" s="14"/>
    </row>
    <row r="403" spans="23:23" s="12" customFormat="1" x14ac:dyDescent="0.3">
      <c r="W403" s="14"/>
    </row>
    <row r="404" spans="23:23" s="12" customFormat="1" x14ac:dyDescent="0.3">
      <c r="W404" s="14"/>
    </row>
    <row r="405" spans="23:23" s="12" customFormat="1" x14ac:dyDescent="0.3">
      <c r="W405" s="14"/>
    </row>
    <row r="406" spans="23:23" s="12" customFormat="1" x14ac:dyDescent="0.3">
      <c r="W406" s="14"/>
    </row>
    <row r="407" spans="23:23" s="12" customFormat="1" x14ac:dyDescent="0.3">
      <c r="W407" s="14"/>
    </row>
    <row r="408" spans="23:23" s="12" customFormat="1" x14ac:dyDescent="0.3">
      <c r="W408" s="14"/>
    </row>
    <row r="409" spans="23:23" s="12" customFormat="1" x14ac:dyDescent="0.3">
      <c r="W409" s="14"/>
    </row>
    <row r="410" spans="23:23" s="12" customFormat="1" x14ac:dyDescent="0.3">
      <c r="W410" s="14"/>
    </row>
    <row r="411" spans="23:23" s="12" customFormat="1" x14ac:dyDescent="0.3">
      <c r="W411" s="14"/>
    </row>
    <row r="412" spans="23:23" s="12" customFormat="1" x14ac:dyDescent="0.3">
      <c r="W412" s="14"/>
    </row>
    <row r="413" spans="23:23" s="12" customFormat="1" x14ac:dyDescent="0.3">
      <c r="W413" s="14"/>
    </row>
    <row r="414" spans="23:23" s="12" customFormat="1" x14ac:dyDescent="0.3">
      <c r="W414" s="14"/>
    </row>
    <row r="415" spans="23:23" s="12" customFormat="1" x14ac:dyDescent="0.3">
      <c r="W415" s="14"/>
    </row>
    <row r="416" spans="23:23" s="12" customFormat="1" x14ac:dyDescent="0.3">
      <c r="W416" s="14"/>
    </row>
    <row r="417" spans="23:23" s="12" customFormat="1" x14ac:dyDescent="0.3">
      <c r="W417" s="14"/>
    </row>
    <row r="418" spans="23:23" s="12" customFormat="1" x14ac:dyDescent="0.3">
      <c r="W418" s="14"/>
    </row>
    <row r="419" spans="23:23" s="12" customFormat="1" x14ac:dyDescent="0.3">
      <c r="W419" s="14"/>
    </row>
    <row r="420" spans="23:23" s="12" customFormat="1" x14ac:dyDescent="0.3">
      <c r="W420" s="14"/>
    </row>
    <row r="421" spans="23:23" s="12" customFormat="1" x14ac:dyDescent="0.3">
      <c r="W421" s="14"/>
    </row>
    <row r="422" spans="23:23" s="12" customFormat="1" x14ac:dyDescent="0.3">
      <c r="W422" s="14"/>
    </row>
    <row r="423" spans="23:23" s="12" customFormat="1" x14ac:dyDescent="0.3">
      <c r="W423" s="14"/>
    </row>
    <row r="424" spans="23:23" s="12" customFormat="1" x14ac:dyDescent="0.3">
      <c r="W424" s="14"/>
    </row>
    <row r="425" spans="23:23" s="12" customFormat="1" x14ac:dyDescent="0.3">
      <c r="W425" s="14"/>
    </row>
    <row r="426" spans="23:23" s="12" customFormat="1" x14ac:dyDescent="0.3">
      <c r="W426" s="14"/>
    </row>
    <row r="427" spans="23:23" s="12" customFormat="1" x14ac:dyDescent="0.3">
      <c r="W427" s="14"/>
    </row>
    <row r="428" spans="23:23" s="12" customFormat="1" x14ac:dyDescent="0.3">
      <c r="W428" s="14"/>
    </row>
    <row r="429" spans="23:23" s="12" customFormat="1" x14ac:dyDescent="0.3">
      <c r="W429" s="14"/>
    </row>
    <row r="430" spans="23:23" s="12" customFormat="1" x14ac:dyDescent="0.3">
      <c r="W430" s="14"/>
    </row>
    <row r="431" spans="23:23" s="12" customFormat="1" x14ac:dyDescent="0.3">
      <c r="W431" s="14"/>
    </row>
    <row r="432" spans="23:23" s="12" customFormat="1" x14ac:dyDescent="0.3">
      <c r="W432" s="14"/>
    </row>
    <row r="433" spans="23:23" s="12" customFormat="1" x14ac:dyDescent="0.3">
      <c r="W433" s="14"/>
    </row>
    <row r="434" spans="23:23" s="12" customFormat="1" x14ac:dyDescent="0.3">
      <c r="W434" s="14"/>
    </row>
    <row r="435" spans="23:23" s="12" customFormat="1" x14ac:dyDescent="0.3">
      <c r="W435" s="14"/>
    </row>
    <row r="436" spans="23:23" s="12" customFormat="1" x14ac:dyDescent="0.3">
      <c r="W436" s="14"/>
    </row>
    <row r="437" spans="23:23" s="12" customFormat="1" x14ac:dyDescent="0.3">
      <c r="W437" s="14"/>
    </row>
    <row r="438" spans="23:23" s="12" customFormat="1" x14ac:dyDescent="0.3">
      <c r="W438" s="14"/>
    </row>
    <row r="439" spans="23:23" s="12" customFormat="1" x14ac:dyDescent="0.3">
      <c r="W439" s="14"/>
    </row>
    <row r="440" spans="23:23" s="12" customFormat="1" x14ac:dyDescent="0.3">
      <c r="W440" s="14"/>
    </row>
    <row r="441" spans="23:23" s="12" customFormat="1" x14ac:dyDescent="0.3">
      <c r="W441" s="14"/>
    </row>
    <row r="442" spans="23:23" s="12" customFormat="1" x14ac:dyDescent="0.3">
      <c r="W442" s="14"/>
    </row>
    <row r="443" spans="23:23" s="12" customFormat="1" x14ac:dyDescent="0.3">
      <c r="W443" s="14"/>
    </row>
    <row r="444" spans="23:23" s="12" customFormat="1" x14ac:dyDescent="0.3">
      <c r="W444" s="14"/>
    </row>
    <row r="445" spans="23:23" s="12" customFormat="1" x14ac:dyDescent="0.3">
      <c r="W445" s="14"/>
    </row>
    <row r="446" spans="23:23" s="12" customFormat="1" x14ac:dyDescent="0.3">
      <c r="W446" s="14"/>
    </row>
    <row r="447" spans="23:23" s="12" customFormat="1" x14ac:dyDescent="0.3">
      <c r="W447" s="14"/>
    </row>
    <row r="448" spans="23:23" s="12" customFormat="1" x14ac:dyDescent="0.3">
      <c r="W448" s="14"/>
    </row>
    <row r="449" spans="23:23" s="12" customFormat="1" x14ac:dyDescent="0.3">
      <c r="W449" s="14"/>
    </row>
    <row r="450" spans="23:23" s="12" customFormat="1" x14ac:dyDescent="0.3">
      <c r="W450" s="14"/>
    </row>
    <row r="451" spans="23:23" s="12" customFormat="1" x14ac:dyDescent="0.3">
      <c r="W451" s="14"/>
    </row>
    <row r="452" spans="23:23" s="12" customFormat="1" x14ac:dyDescent="0.3">
      <c r="W452" s="14"/>
    </row>
    <row r="453" spans="23:23" s="12" customFormat="1" x14ac:dyDescent="0.3">
      <c r="W453" s="14"/>
    </row>
    <row r="454" spans="23:23" s="12" customFormat="1" x14ac:dyDescent="0.3">
      <c r="W454" s="14"/>
    </row>
    <row r="455" spans="23:23" s="12" customFormat="1" x14ac:dyDescent="0.3">
      <c r="W455" s="14"/>
    </row>
    <row r="456" spans="23:23" s="12" customFormat="1" x14ac:dyDescent="0.3">
      <c r="W456" s="14"/>
    </row>
    <row r="457" spans="23:23" s="12" customFormat="1" x14ac:dyDescent="0.3">
      <c r="W457" s="14"/>
    </row>
    <row r="458" spans="23:23" s="12" customFormat="1" x14ac:dyDescent="0.3">
      <c r="W458" s="14"/>
    </row>
    <row r="459" spans="23:23" s="12" customFormat="1" x14ac:dyDescent="0.3">
      <c r="W459" s="14"/>
    </row>
    <row r="460" spans="23:23" s="12" customFormat="1" x14ac:dyDescent="0.3">
      <c r="W460" s="14"/>
    </row>
    <row r="461" spans="23:23" s="12" customFormat="1" x14ac:dyDescent="0.3">
      <c r="W461" s="14"/>
    </row>
    <row r="462" spans="23:23" s="12" customFormat="1" x14ac:dyDescent="0.3">
      <c r="W462" s="14"/>
    </row>
    <row r="463" spans="23:23" s="12" customFormat="1" x14ac:dyDescent="0.3">
      <c r="W463" s="14"/>
    </row>
    <row r="464" spans="23:23" s="12" customFormat="1" x14ac:dyDescent="0.3">
      <c r="W464" s="14"/>
    </row>
    <row r="465" spans="23:23" s="12" customFormat="1" x14ac:dyDescent="0.3">
      <c r="W465" s="14"/>
    </row>
    <row r="466" spans="23:23" s="12" customFormat="1" x14ac:dyDescent="0.3">
      <c r="W466" s="14"/>
    </row>
    <row r="467" spans="23:23" s="12" customFormat="1" x14ac:dyDescent="0.3">
      <c r="W467" s="14"/>
    </row>
    <row r="468" spans="23:23" s="12" customFormat="1" x14ac:dyDescent="0.3">
      <c r="W468" s="14"/>
    </row>
    <row r="469" spans="23:23" s="12" customFormat="1" x14ac:dyDescent="0.3">
      <c r="W469" s="14"/>
    </row>
    <row r="470" spans="23:23" s="12" customFormat="1" x14ac:dyDescent="0.3">
      <c r="W470" s="14"/>
    </row>
    <row r="471" spans="23:23" s="12" customFormat="1" x14ac:dyDescent="0.3">
      <c r="W471" s="14"/>
    </row>
    <row r="472" spans="23:23" s="12" customFormat="1" x14ac:dyDescent="0.3">
      <c r="W472" s="14"/>
    </row>
    <row r="473" spans="23:23" s="12" customFormat="1" x14ac:dyDescent="0.3">
      <c r="W473" s="14"/>
    </row>
    <row r="474" spans="23:23" s="12" customFormat="1" x14ac:dyDescent="0.3">
      <c r="W474" s="14"/>
    </row>
    <row r="475" spans="23:23" s="12" customFormat="1" x14ac:dyDescent="0.3">
      <c r="W475" s="14"/>
    </row>
    <row r="476" spans="23:23" s="12" customFormat="1" x14ac:dyDescent="0.3">
      <c r="W476" s="14"/>
    </row>
    <row r="477" spans="23:23" s="12" customFormat="1" x14ac:dyDescent="0.3">
      <c r="W477" s="14"/>
    </row>
    <row r="478" spans="23:23" s="12" customFormat="1" x14ac:dyDescent="0.3">
      <c r="W478" s="14"/>
    </row>
    <row r="479" spans="23:23" s="12" customFormat="1" x14ac:dyDescent="0.3">
      <c r="W479" s="14"/>
    </row>
    <row r="480" spans="23:23" s="12" customFormat="1" x14ac:dyDescent="0.3">
      <c r="W480" s="14"/>
    </row>
    <row r="481" spans="23:23" s="12" customFormat="1" x14ac:dyDescent="0.3">
      <c r="W481" s="14"/>
    </row>
    <row r="482" spans="23:23" s="12" customFormat="1" x14ac:dyDescent="0.3">
      <c r="W482" s="14"/>
    </row>
    <row r="483" spans="23:23" s="12" customFormat="1" x14ac:dyDescent="0.3">
      <c r="W483" s="14"/>
    </row>
    <row r="484" spans="23:23" s="12" customFormat="1" x14ac:dyDescent="0.3">
      <c r="W484" s="14"/>
    </row>
    <row r="485" spans="23:23" s="12" customFormat="1" x14ac:dyDescent="0.3">
      <c r="W485" s="14"/>
    </row>
    <row r="486" spans="23:23" s="12" customFormat="1" x14ac:dyDescent="0.3">
      <c r="W486" s="14"/>
    </row>
    <row r="487" spans="23:23" s="12" customFormat="1" x14ac:dyDescent="0.3">
      <c r="W487" s="14"/>
    </row>
    <row r="488" spans="23:23" s="12" customFormat="1" x14ac:dyDescent="0.3">
      <c r="W488" s="14"/>
    </row>
    <row r="489" spans="23:23" s="12" customFormat="1" x14ac:dyDescent="0.3">
      <c r="W489" s="14"/>
    </row>
    <row r="490" spans="23:23" s="12" customFormat="1" x14ac:dyDescent="0.3">
      <c r="W490" s="14"/>
    </row>
    <row r="491" spans="23:23" s="12" customFormat="1" x14ac:dyDescent="0.3">
      <c r="W491" s="14"/>
    </row>
    <row r="492" spans="23:23" s="12" customFormat="1" x14ac:dyDescent="0.3">
      <c r="W492" s="14"/>
    </row>
    <row r="493" spans="23:23" s="12" customFormat="1" x14ac:dyDescent="0.3">
      <c r="W493" s="14"/>
    </row>
    <row r="494" spans="23:23" s="12" customFormat="1" x14ac:dyDescent="0.3">
      <c r="W494" s="14"/>
    </row>
    <row r="495" spans="23:23" s="12" customFormat="1" x14ac:dyDescent="0.3">
      <c r="W495" s="14"/>
    </row>
    <row r="496" spans="23:23" s="12" customFormat="1" x14ac:dyDescent="0.3">
      <c r="W496" s="14"/>
    </row>
    <row r="497" spans="23:23" s="12" customFormat="1" x14ac:dyDescent="0.3">
      <c r="W497" s="14"/>
    </row>
    <row r="498" spans="23:23" s="12" customFormat="1" x14ac:dyDescent="0.3">
      <c r="W498" s="14"/>
    </row>
    <row r="499" spans="23:23" s="12" customFormat="1" x14ac:dyDescent="0.3">
      <c r="W499" s="14"/>
    </row>
    <row r="500" spans="23:23" s="12" customFormat="1" x14ac:dyDescent="0.3">
      <c r="W500" s="14"/>
    </row>
    <row r="501" spans="23:23" s="12" customFormat="1" x14ac:dyDescent="0.3">
      <c r="W501" s="14"/>
    </row>
    <row r="502" spans="23:23" s="12" customFormat="1" x14ac:dyDescent="0.3">
      <c r="W502" s="14"/>
    </row>
    <row r="503" spans="23:23" s="12" customFormat="1" x14ac:dyDescent="0.3">
      <c r="W503" s="14"/>
    </row>
    <row r="504" spans="23:23" s="12" customFormat="1" x14ac:dyDescent="0.3">
      <c r="W504" s="14"/>
    </row>
    <row r="505" spans="23:23" s="12" customFormat="1" x14ac:dyDescent="0.3">
      <c r="W505" s="14"/>
    </row>
    <row r="506" spans="23:23" s="12" customFormat="1" x14ac:dyDescent="0.3">
      <c r="W506" s="14"/>
    </row>
    <row r="507" spans="23:23" s="12" customFormat="1" x14ac:dyDescent="0.3">
      <c r="W507" s="14"/>
    </row>
    <row r="508" spans="23:23" s="12" customFormat="1" x14ac:dyDescent="0.3">
      <c r="W508" s="14"/>
    </row>
    <row r="509" spans="23:23" s="12" customFormat="1" x14ac:dyDescent="0.3">
      <c r="W509" s="14"/>
    </row>
    <row r="510" spans="23:23" s="12" customFormat="1" x14ac:dyDescent="0.3">
      <c r="W510" s="14"/>
    </row>
    <row r="511" spans="23:23" s="12" customFormat="1" x14ac:dyDescent="0.3">
      <c r="W511" s="14"/>
    </row>
    <row r="512" spans="23:23" s="12" customFormat="1" x14ac:dyDescent="0.3">
      <c r="W512" s="14"/>
    </row>
    <row r="513" spans="23:23" s="12" customFormat="1" x14ac:dyDescent="0.3">
      <c r="W513" s="14"/>
    </row>
    <row r="514" spans="23:23" s="12" customFormat="1" x14ac:dyDescent="0.3">
      <c r="W514" s="14"/>
    </row>
    <row r="515" spans="23:23" s="12" customFormat="1" x14ac:dyDescent="0.3">
      <c r="W515" s="14"/>
    </row>
    <row r="516" spans="23:23" s="12" customFormat="1" x14ac:dyDescent="0.3">
      <c r="W516" s="14"/>
    </row>
    <row r="517" spans="23:23" s="12" customFormat="1" x14ac:dyDescent="0.3">
      <c r="W517" s="14"/>
    </row>
    <row r="518" spans="23:23" s="12" customFormat="1" x14ac:dyDescent="0.3">
      <c r="W518" s="14"/>
    </row>
    <row r="519" spans="23:23" s="12" customFormat="1" x14ac:dyDescent="0.3">
      <c r="W519" s="14"/>
    </row>
    <row r="520" spans="23:23" s="12" customFormat="1" x14ac:dyDescent="0.3">
      <c r="W520" s="14"/>
    </row>
    <row r="521" spans="23:23" s="12" customFormat="1" x14ac:dyDescent="0.3">
      <c r="W521" s="14"/>
    </row>
    <row r="522" spans="23:23" s="12" customFormat="1" x14ac:dyDescent="0.3">
      <c r="W522" s="14"/>
    </row>
    <row r="523" spans="23:23" s="12" customFormat="1" x14ac:dyDescent="0.3">
      <c r="W523" s="14"/>
    </row>
    <row r="524" spans="23:23" s="12" customFormat="1" x14ac:dyDescent="0.3">
      <c r="W524" s="14"/>
    </row>
    <row r="525" spans="23:23" s="12" customFormat="1" x14ac:dyDescent="0.3">
      <c r="W525" s="14"/>
    </row>
    <row r="526" spans="23:23" s="12" customFormat="1" x14ac:dyDescent="0.3">
      <c r="W526" s="14"/>
    </row>
    <row r="527" spans="23:23" s="12" customFormat="1" x14ac:dyDescent="0.3">
      <c r="W527" s="14"/>
    </row>
    <row r="528" spans="23:23" s="12" customFormat="1" x14ac:dyDescent="0.3">
      <c r="W528" s="14"/>
    </row>
    <row r="529" spans="23:23" s="12" customFormat="1" x14ac:dyDescent="0.3">
      <c r="W529" s="14"/>
    </row>
    <row r="530" spans="23:23" s="12" customFormat="1" x14ac:dyDescent="0.3">
      <c r="W530" s="14"/>
    </row>
    <row r="531" spans="23:23" s="12" customFormat="1" x14ac:dyDescent="0.3">
      <c r="W531" s="14"/>
    </row>
    <row r="532" spans="23:23" s="12" customFormat="1" x14ac:dyDescent="0.3">
      <c r="W532" s="14"/>
    </row>
    <row r="533" spans="23:23" s="12" customFormat="1" x14ac:dyDescent="0.3">
      <c r="W533" s="14"/>
    </row>
    <row r="534" spans="23:23" s="12" customFormat="1" x14ac:dyDescent="0.3">
      <c r="W534" s="14"/>
    </row>
    <row r="535" spans="23:23" s="12" customFormat="1" x14ac:dyDescent="0.3">
      <c r="W535" s="14"/>
    </row>
    <row r="536" spans="23:23" s="12" customFormat="1" x14ac:dyDescent="0.3">
      <c r="W536" s="14"/>
    </row>
    <row r="537" spans="23:23" s="12" customFormat="1" x14ac:dyDescent="0.3">
      <c r="W537" s="14"/>
    </row>
    <row r="538" spans="23:23" s="12" customFormat="1" x14ac:dyDescent="0.3">
      <c r="W538" s="14"/>
    </row>
    <row r="539" spans="23:23" s="12" customFormat="1" x14ac:dyDescent="0.3">
      <c r="W539" s="14"/>
    </row>
    <row r="540" spans="23:23" s="12" customFormat="1" x14ac:dyDescent="0.3">
      <c r="W540" s="14"/>
    </row>
    <row r="541" spans="23:23" s="12" customFormat="1" x14ac:dyDescent="0.3">
      <c r="W541" s="14"/>
    </row>
    <row r="542" spans="23:23" s="12" customFormat="1" x14ac:dyDescent="0.3">
      <c r="W542" s="14"/>
    </row>
    <row r="543" spans="23:23" s="12" customFormat="1" x14ac:dyDescent="0.3">
      <c r="W543" s="14"/>
    </row>
    <row r="544" spans="23:23" s="12" customFormat="1" x14ac:dyDescent="0.3">
      <c r="W544" s="14"/>
    </row>
    <row r="545" spans="23:23" s="12" customFormat="1" x14ac:dyDescent="0.3">
      <c r="W545" s="14"/>
    </row>
    <row r="546" spans="23:23" s="12" customFormat="1" x14ac:dyDescent="0.3">
      <c r="W546" s="14"/>
    </row>
    <row r="547" spans="23:23" s="12" customFormat="1" x14ac:dyDescent="0.3">
      <c r="W547" s="14"/>
    </row>
    <row r="548" spans="23:23" s="12" customFormat="1" x14ac:dyDescent="0.3">
      <c r="W548" s="14"/>
    </row>
    <row r="549" spans="23:23" s="12" customFormat="1" x14ac:dyDescent="0.3">
      <c r="W549" s="14"/>
    </row>
    <row r="550" spans="23:23" s="12" customFormat="1" x14ac:dyDescent="0.3">
      <c r="W550" s="14"/>
    </row>
    <row r="551" spans="23:23" s="12" customFormat="1" x14ac:dyDescent="0.3">
      <c r="W551" s="14"/>
    </row>
    <row r="552" spans="23:23" s="12" customFormat="1" x14ac:dyDescent="0.3">
      <c r="W552" s="14"/>
    </row>
    <row r="553" spans="23:23" s="12" customFormat="1" x14ac:dyDescent="0.3">
      <c r="W553" s="14"/>
    </row>
    <row r="554" spans="23:23" s="12" customFormat="1" x14ac:dyDescent="0.3">
      <c r="W554" s="14"/>
    </row>
    <row r="555" spans="23:23" s="12" customFormat="1" x14ac:dyDescent="0.3">
      <c r="W555" s="14"/>
    </row>
    <row r="556" spans="23:23" s="12" customFormat="1" x14ac:dyDescent="0.3">
      <c r="W556" s="14"/>
    </row>
    <row r="557" spans="23:23" s="12" customFormat="1" x14ac:dyDescent="0.3">
      <c r="W557" s="14"/>
    </row>
    <row r="558" spans="23:23" s="12" customFormat="1" x14ac:dyDescent="0.3">
      <c r="W558" s="14"/>
    </row>
    <row r="559" spans="23:23" s="12" customFormat="1" x14ac:dyDescent="0.3">
      <c r="W559" s="14"/>
    </row>
    <row r="560" spans="23:23" s="12" customFormat="1" x14ac:dyDescent="0.3">
      <c r="W560" s="14"/>
    </row>
    <row r="561" spans="23:23" s="12" customFormat="1" x14ac:dyDescent="0.3">
      <c r="W561" s="14"/>
    </row>
    <row r="562" spans="23:23" s="12" customFormat="1" x14ac:dyDescent="0.3">
      <c r="W562" s="14"/>
    </row>
    <row r="563" spans="23:23" s="12" customFormat="1" x14ac:dyDescent="0.3">
      <c r="W563" s="14"/>
    </row>
    <row r="564" spans="23:23" s="12" customFormat="1" x14ac:dyDescent="0.3">
      <c r="W564" s="14"/>
    </row>
    <row r="565" spans="23:23" s="12" customFormat="1" x14ac:dyDescent="0.3">
      <c r="W565" s="14"/>
    </row>
    <row r="566" spans="23:23" s="12" customFormat="1" x14ac:dyDescent="0.3">
      <c r="W566" s="14"/>
    </row>
    <row r="567" spans="23:23" s="12" customFormat="1" x14ac:dyDescent="0.3">
      <c r="W567" s="14"/>
    </row>
    <row r="568" spans="23:23" s="12" customFormat="1" x14ac:dyDescent="0.3">
      <c r="W568" s="14"/>
    </row>
    <row r="569" spans="23:23" s="12" customFormat="1" x14ac:dyDescent="0.3">
      <c r="W569" s="14"/>
    </row>
    <row r="570" spans="23:23" s="12" customFormat="1" x14ac:dyDescent="0.3">
      <c r="W570" s="14"/>
    </row>
    <row r="571" spans="23:23" s="12" customFormat="1" x14ac:dyDescent="0.3">
      <c r="W571" s="14"/>
    </row>
    <row r="572" spans="23:23" s="12" customFormat="1" x14ac:dyDescent="0.3">
      <c r="W572" s="14"/>
    </row>
    <row r="573" spans="23:23" s="12" customFormat="1" x14ac:dyDescent="0.3">
      <c r="W573" s="14"/>
    </row>
    <row r="574" spans="23:23" s="12" customFormat="1" x14ac:dyDescent="0.3">
      <c r="W574" s="14"/>
    </row>
    <row r="575" spans="23:23" s="12" customFormat="1" x14ac:dyDescent="0.3">
      <c r="W575" s="14"/>
    </row>
    <row r="576" spans="23:23" s="12" customFormat="1" x14ac:dyDescent="0.3">
      <c r="W576" s="14"/>
    </row>
    <row r="577" spans="23:23" s="12" customFormat="1" x14ac:dyDescent="0.3">
      <c r="W577" s="14"/>
    </row>
    <row r="578" spans="23:23" s="12" customFormat="1" x14ac:dyDescent="0.3">
      <c r="W578" s="14"/>
    </row>
    <row r="579" spans="23:23" s="12" customFormat="1" x14ac:dyDescent="0.3">
      <c r="W579" s="14"/>
    </row>
    <row r="580" spans="23:23" s="12" customFormat="1" x14ac:dyDescent="0.3">
      <c r="W580" s="14"/>
    </row>
    <row r="581" spans="23:23" s="12" customFormat="1" x14ac:dyDescent="0.3">
      <c r="W581" s="14"/>
    </row>
    <row r="582" spans="23:23" s="12" customFormat="1" x14ac:dyDescent="0.3">
      <c r="W582" s="14"/>
    </row>
    <row r="583" spans="23:23" s="12" customFormat="1" x14ac:dyDescent="0.3">
      <c r="W583" s="14"/>
    </row>
    <row r="584" spans="23:23" s="12" customFormat="1" x14ac:dyDescent="0.3">
      <c r="W584" s="14"/>
    </row>
    <row r="585" spans="23:23" s="12" customFormat="1" x14ac:dyDescent="0.3">
      <c r="W585" s="14"/>
    </row>
    <row r="586" spans="23:23" s="12" customFormat="1" x14ac:dyDescent="0.3">
      <c r="W586" s="14"/>
    </row>
    <row r="587" spans="23:23" s="12" customFormat="1" x14ac:dyDescent="0.3">
      <c r="W587" s="14"/>
    </row>
    <row r="588" spans="23:23" s="12" customFormat="1" x14ac:dyDescent="0.3">
      <c r="W588" s="14"/>
    </row>
    <row r="589" spans="23:23" s="12" customFormat="1" x14ac:dyDescent="0.3">
      <c r="W589" s="14"/>
    </row>
    <row r="590" spans="23:23" s="12" customFormat="1" x14ac:dyDescent="0.3">
      <c r="W590" s="14"/>
    </row>
    <row r="591" spans="23:23" s="12" customFormat="1" x14ac:dyDescent="0.3">
      <c r="W591" s="14"/>
    </row>
    <row r="592" spans="23:23" s="12" customFormat="1" x14ac:dyDescent="0.3">
      <c r="W592" s="14"/>
    </row>
    <row r="593" spans="23:23" s="12" customFormat="1" x14ac:dyDescent="0.3">
      <c r="W593" s="14"/>
    </row>
    <row r="594" spans="23:23" s="12" customFormat="1" x14ac:dyDescent="0.3">
      <c r="W594" s="14"/>
    </row>
    <row r="595" spans="23:23" s="12" customFormat="1" x14ac:dyDescent="0.3">
      <c r="W595" s="14"/>
    </row>
    <row r="596" spans="23:23" s="12" customFormat="1" x14ac:dyDescent="0.3">
      <c r="W596" s="14"/>
    </row>
    <row r="597" spans="23:23" s="12" customFormat="1" x14ac:dyDescent="0.3">
      <c r="W597" s="14"/>
    </row>
    <row r="598" spans="23:23" s="12" customFormat="1" x14ac:dyDescent="0.3">
      <c r="W598" s="14"/>
    </row>
    <row r="599" spans="23:23" s="12" customFormat="1" x14ac:dyDescent="0.3">
      <c r="W599" s="14"/>
    </row>
    <row r="600" spans="23:23" s="12" customFormat="1" x14ac:dyDescent="0.3">
      <c r="W600" s="14"/>
    </row>
    <row r="601" spans="23:23" s="12" customFormat="1" x14ac:dyDescent="0.3">
      <c r="W601" s="14"/>
    </row>
    <row r="602" spans="23:23" s="12" customFormat="1" x14ac:dyDescent="0.3">
      <c r="W602" s="14"/>
    </row>
    <row r="603" spans="23:23" s="12" customFormat="1" x14ac:dyDescent="0.3">
      <c r="W603" s="14"/>
    </row>
    <row r="604" spans="23:23" s="12" customFormat="1" x14ac:dyDescent="0.3">
      <c r="W604" s="14"/>
    </row>
    <row r="605" spans="23:23" s="12" customFormat="1" x14ac:dyDescent="0.3">
      <c r="W605" s="14"/>
    </row>
    <row r="606" spans="23:23" s="12" customFormat="1" x14ac:dyDescent="0.3">
      <c r="W606" s="14"/>
    </row>
    <row r="607" spans="23:23" s="12" customFormat="1" x14ac:dyDescent="0.3">
      <c r="W607" s="14"/>
    </row>
    <row r="608" spans="23:23" s="12" customFormat="1" x14ac:dyDescent="0.3">
      <c r="W608" s="14"/>
    </row>
    <row r="609" spans="23:23" s="12" customFormat="1" x14ac:dyDescent="0.3">
      <c r="W609" s="14"/>
    </row>
    <row r="610" spans="23:23" s="12" customFormat="1" x14ac:dyDescent="0.3">
      <c r="W610" s="14"/>
    </row>
    <row r="611" spans="23:23" s="12" customFormat="1" x14ac:dyDescent="0.3">
      <c r="W611" s="14"/>
    </row>
    <row r="612" spans="23:23" s="12" customFormat="1" x14ac:dyDescent="0.3">
      <c r="W612" s="14"/>
    </row>
    <row r="613" spans="23:23" s="12" customFormat="1" x14ac:dyDescent="0.3">
      <c r="W613" s="14"/>
    </row>
    <row r="614" spans="23:23" s="12" customFormat="1" x14ac:dyDescent="0.3">
      <c r="W614" s="14"/>
    </row>
    <row r="615" spans="23:23" s="12" customFormat="1" x14ac:dyDescent="0.3">
      <c r="W615" s="14"/>
    </row>
    <row r="616" spans="23:23" s="12" customFormat="1" x14ac:dyDescent="0.3">
      <c r="W616" s="14"/>
    </row>
    <row r="617" spans="23:23" s="12" customFormat="1" x14ac:dyDescent="0.3">
      <c r="W617" s="14"/>
    </row>
    <row r="618" spans="23:23" s="12" customFormat="1" x14ac:dyDescent="0.3">
      <c r="W618" s="14"/>
    </row>
    <row r="619" spans="23:23" s="12" customFormat="1" x14ac:dyDescent="0.3">
      <c r="W619" s="14"/>
    </row>
    <row r="620" spans="23:23" s="12" customFormat="1" x14ac:dyDescent="0.3">
      <c r="W620" s="14"/>
    </row>
    <row r="621" spans="23:23" s="12" customFormat="1" x14ac:dyDescent="0.3">
      <c r="W621" s="14"/>
    </row>
    <row r="622" spans="23:23" s="12" customFormat="1" x14ac:dyDescent="0.3">
      <c r="W622" s="14"/>
    </row>
    <row r="623" spans="23:23" s="12" customFormat="1" x14ac:dyDescent="0.3">
      <c r="W623" s="14"/>
    </row>
    <row r="624" spans="23:23" s="12" customFormat="1" x14ac:dyDescent="0.3">
      <c r="W624" s="14"/>
    </row>
    <row r="625" spans="23:23" s="12" customFormat="1" x14ac:dyDescent="0.3">
      <c r="W625" s="14"/>
    </row>
    <row r="626" spans="23:23" s="12" customFormat="1" x14ac:dyDescent="0.3">
      <c r="W626" s="14"/>
    </row>
    <row r="627" spans="23:23" s="12" customFormat="1" x14ac:dyDescent="0.3">
      <c r="W627" s="14"/>
    </row>
    <row r="628" spans="23:23" s="12" customFormat="1" x14ac:dyDescent="0.3">
      <c r="W628" s="14"/>
    </row>
    <row r="629" spans="23:23" s="12" customFormat="1" x14ac:dyDescent="0.3">
      <c r="W629" s="14"/>
    </row>
    <row r="630" spans="23:23" s="12" customFormat="1" x14ac:dyDescent="0.3">
      <c r="W630" s="14"/>
    </row>
    <row r="631" spans="23:23" s="12" customFormat="1" x14ac:dyDescent="0.3">
      <c r="W631" s="14"/>
    </row>
    <row r="632" spans="23:23" s="12" customFormat="1" x14ac:dyDescent="0.3">
      <c r="W632" s="14"/>
    </row>
    <row r="633" spans="23:23" s="12" customFormat="1" x14ac:dyDescent="0.3">
      <c r="W633" s="14"/>
    </row>
    <row r="634" spans="23:23" s="12" customFormat="1" x14ac:dyDescent="0.3">
      <c r="W634" s="14"/>
    </row>
    <row r="635" spans="23:23" s="12" customFormat="1" x14ac:dyDescent="0.3">
      <c r="W635" s="14"/>
    </row>
    <row r="636" spans="23:23" s="12" customFormat="1" x14ac:dyDescent="0.3">
      <c r="W636" s="14"/>
    </row>
    <row r="637" spans="23:23" s="12" customFormat="1" x14ac:dyDescent="0.3">
      <c r="W637" s="14"/>
    </row>
    <row r="638" spans="23:23" s="12" customFormat="1" x14ac:dyDescent="0.3">
      <c r="W638" s="14"/>
    </row>
    <row r="639" spans="23:23" s="12" customFormat="1" x14ac:dyDescent="0.3">
      <c r="W639" s="14"/>
    </row>
    <row r="640" spans="23:23" s="12" customFormat="1" x14ac:dyDescent="0.3">
      <c r="W640" s="14"/>
    </row>
    <row r="641" spans="23:23" s="12" customFormat="1" x14ac:dyDescent="0.3">
      <c r="W641" s="14"/>
    </row>
    <row r="642" spans="23:23" s="12" customFormat="1" x14ac:dyDescent="0.3">
      <c r="W642" s="14"/>
    </row>
    <row r="643" spans="23:23" s="12" customFormat="1" x14ac:dyDescent="0.3">
      <c r="W643" s="14"/>
    </row>
    <row r="644" spans="23:23" s="12" customFormat="1" x14ac:dyDescent="0.3">
      <c r="W644" s="14"/>
    </row>
    <row r="645" spans="23:23" s="12" customFormat="1" x14ac:dyDescent="0.3">
      <c r="W645" s="14"/>
    </row>
    <row r="646" spans="23:23" s="12" customFormat="1" x14ac:dyDescent="0.3">
      <c r="W646" s="14"/>
    </row>
    <row r="647" spans="23:23" s="12" customFormat="1" x14ac:dyDescent="0.3">
      <c r="W647" s="14"/>
    </row>
    <row r="648" spans="23:23" s="12" customFormat="1" x14ac:dyDescent="0.3">
      <c r="W648" s="14"/>
    </row>
    <row r="649" spans="23:23" s="12" customFormat="1" x14ac:dyDescent="0.3">
      <c r="W649" s="14"/>
    </row>
    <row r="650" spans="23:23" s="12" customFormat="1" x14ac:dyDescent="0.3">
      <c r="W650" s="14"/>
    </row>
    <row r="651" spans="23:23" s="12" customFormat="1" x14ac:dyDescent="0.3">
      <c r="W651" s="14"/>
    </row>
    <row r="652" spans="23:23" s="12" customFormat="1" x14ac:dyDescent="0.3">
      <c r="W652" s="14"/>
    </row>
    <row r="653" spans="23:23" s="12" customFormat="1" x14ac:dyDescent="0.3">
      <c r="W653" s="14"/>
    </row>
    <row r="654" spans="23:23" s="12" customFormat="1" x14ac:dyDescent="0.3">
      <c r="W654" s="14"/>
    </row>
    <row r="655" spans="23:23" s="12" customFormat="1" x14ac:dyDescent="0.3">
      <c r="W655" s="14"/>
    </row>
    <row r="656" spans="23:23" s="12" customFormat="1" x14ac:dyDescent="0.3">
      <c r="W656" s="14"/>
    </row>
    <row r="657" spans="23:23" s="12" customFormat="1" x14ac:dyDescent="0.3">
      <c r="W657" s="14"/>
    </row>
    <row r="658" spans="23:23" s="12" customFormat="1" x14ac:dyDescent="0.3">
      <c r="W658" s="14"/>
    </row>
    <row r="659" spans="23:23" s="12" customFormat="1" x14ac:dyDescent="0.3">
      <c r="W659" s="14"/>
    </row>
    <row r="660" spans="23:23" s="12" customFormat="1" x14ac:dyDescent="0.3">
      <c r="W660" s="14"/>
    </row>
    <row r="661" spans="23:23" s="12" customFormat="1" x14ac:dyDescent="0.3">
      <c r="W661" s="14"/>
    </row>
    <row r="662" spans="23:23" s="12" customFormat="1" x14ac:dyDescent="0.3">
      <c r="W662" s="14"/>
    </row>
    <row r="663" spans="23:23" s="12" customFormat="1" x14ac:dyDescent="0.3">
      <c r="W663" s="14"/>
    </row>
  </sheetData>
  <mergeCells count="62">
    <mergeCell ref="A6:A9"/>
    <mergeCell ref="B6:B9"/>
    <mergeCell ref="C6:V6"/>
    <mergeCell ref="W6:W9"/>
    <mergeCell ref="V7:V8"/>
    <mergeCell ref="P7:P8"/>
    <mergeCell ref="U7:U8"/>
    <mergeCell ref="Q7:Q8"/>
    <mergeCell ref="R7:R8"/>
    <mergeCell ref="S7:S8"/>
    <mergeCell ref="T7:T8"/>
    <mergeCell ref="L7:L8"/>
    <mergeCell ref="M7:M8"/>
    <mergeCell ref="N7:N8"/>
    <mergeCell ref="O7:O8"/>
    <mergeCell ref="J7:J8"/>
    <mergeCell ref="K7:K8"/>
    <mergeCell ref="BR6:BR9"/>
    <mergeCell ref="BD7:BD8"/>
    <mergeCell ref="BE7:BE8"/>
    <mergeCell ref="BF7:BF8"/>
    <mergeCell ref="BG7:BG8"/>
    <mergeCell ref="BI7:BI8"/>
    <mergeCell ref="BJ7:BJ8"/>
    <mergeCell ref="BO6:BO9"/>
    <mergeCell ref="BQ6:BQ9"/>
    <mergeCell ref="BN6:BN7"/>
    <mergeCell ref="BS6:BS9"/>
    <mergeCell ref="C7:C8"/>
    <mergeCell ref="D7:D8"/>
    <mergeCell ref="E7:E8"/>
    <mergeCell ref="F7:F8"/>
    <mergeCell ref="G7:G8"/>
    <mergeCell ref="H7:H8"/>
    <mergeCell ref="I7:I8"/>
    <mergeCell ref="AK7:AK8"/>
    <mergeCell ref="BL7:BL8"/>
    <mergeCell ref="AS6:BG6"/>
    <mergeCell ref="X6:AL6"/>
    <mergeCell ref="AH7:AH8"/>
    <mergeCell ref="BM6:BM7"/>
    <mergeCell ref="BH7:BH8"/>
    <mergeCell ref="BK7:BK8"/>
    <mergeCell ref="AI1:BD1"/>
    <mergeCell ref="AI2:BD2"/>
    <mergeCell ref="AM7:AM8"/>
    <mergeCell ref="AN7:AN8"/>
    <mergeCell ref="AO7:AO8"/>
    <mergeCell ref="AQ7:AQ8"/>
    <mergeCell ref="BC7:BC8"/>
    <mergeCell ref="AL7:AL8"/>
    <mergeCell ref="AR6:AR7"/>
    <mergeCell ref="AI5:BD5"/>
    <mergeCell ref="AI7:AI8"/>
    <mergeCell ref="AJ7:AJ8"/>
    <mergeCell ref="AP7:AP8"/>
    <mergeCell ref="C3:L3"/>
    <mergeCell ref="BQ3:BR3"/>
    <mergeCell ref="C4:L4"/>
    <mergeCell ref="AH4:BE4"/>
    <mergeCell ref="BQ4:BR4"/>
    <mergeCell ref="AR3:AW3"/>
  </mergeCells>
  <phoneticPr fontId="0" type="noConversion"/>
  <conditionalFormatting sqref="X9">
    <cfRule type="cellIs" dxfId="44" priority="24" operator="greaterThan">
      <formula>$X$9</formula>
    </cfRule>
  </conditionalFormatting>
  <conditionalFormatting sqref="Z9">
    <cfRule type="cellIs" dxfId="43" priority="23" operator="greaterThan">
      <formula>$Z$9</formula>
    </cfRule>
  </conditionalFormatting>
  <conditionalFormatting sqref="AA9">
    <cfRule type="cellIs" dxfId="42" priority="22" operator="greaterThan">
      <formula>$AA$9</formula>
    </cfRule>
  </conditionalFormatting>
  <conditionalFormatting sqref="AB9">
    <cfRule type="cellIs" dxfId="41" priority="21" operator="greaterThan">
      <formula>$AB$9</formula>
    </cfRule>
  </conditionalFormatting>
  <conditionalFormatting sqref="AC9">
    <cfRule type="cellIs" dxfId="40" priority="20" operator="greaterThan">
      <formula>$AC$9</formula>
    </cfRule>
  </conditionalFormatting>
  <conditionalFormatting sqref="AD9">
    <cfRule type="cellIs" dxfId="39" priority="19" operator="greaterThan">
      <formula>$AD$9</formula>
    </cfRule>
  </conditionalFormatting>
  <conditionalFormatting sqref="AE9">
    <cfRule type="cellIs" dxfId="38" priority="18" operator="greaterThan">
      <formula>$AE$9</formula>
    </cfRule>
  </conditionalFormatting>
  <conditionalFormatting sqref="AF9">
    <cfRule type="cellIs" dxfId="37" priority="17" operator="greaterThan">
      <formula>$AF$9</formula>
    </cfRule>
  </conditionalFormatting>
  <conditionalFormatting sqref="AG9">
    <cfRule type="cellIs" dxfId="36" priority="16" operator="greaterThan">
      <formula>$AG$9</formula>
    </cfRule>
  </conditionalFormatting>
  <conditionalFormatting sqref="AS9">
    <cfRule type="cellIs" dxfId="35" priority="15" operator="greaterThan">
      <formula>$AS$9</formula>
    </cfRule>
  </conditionalFormatting>
  <conditionalFormatting sqref="AT9">
    <cfRule type="cellIs" dxfId="34" priority="14" operator="greaterThan">
      <formula>$AT$9</formula>
    </cfRule>
  </conditionalFormatting>
  <conditionalFormatting sqref="AU9">
    <cfRule type="cellIs" dxfId="33" priority="13" operator="greaterThan">
      <formula>$AU$9</formula>
    </cfRule>
  </conditionalFormatting>
  <conditionalFormatting sqref="AV9">
    <cfRule type="cellIs" dxfId="32" priority="12" operator="greaterThan">
      <formula>$AV$9</formula>
    </cfRule>
  </conditionalFormatting>
  <conditionalFormatting sqref="AW9">
    <cfRule type="cellIs" dxfId="31" priority="11" operator="greaterThan">
      <formula>$AW$9</formula>
    </cfRule>
  </conditionalFormatting>
  <conditionalFormatting sqref="AX9">
    <cfRule type="cellIs" dxfId="30" priority="10" operator="greaterThan">
      <formula>$AX$9</formula>
    </cfRule>
  </conditionalFormatting>
  <conditionalFormatting sqref="AY9">
    <cfRule type="cellIs" dxfId="29" priority="9" operator="greaterThan">
      <formula>$AY$9</formula>
    </cfRule>
  </conditionalFormatting>
  <conditionalFormatting sqref="AZ9">
    <cfRule type="cellIs" dxfId="28" priority="8" operator="greaterThan">
      <formula>$AZ$9</formula>
    </cfRule>
  </conditionalFormatting>
  <conditionalFormatting sqref="BA9">
    <cfRule type="cellIs" dxfId="27" priority="7" operator="greaterThan">
      <formula>$BA$9</formula>
    </cfRule>
  </conditionalFormatting>
  <conditionalFormatting sqref="BB9">
    <cfRule type="cellIs" dxfId="26" priority="6" operator="greaterThan">
      <formula>$BB$9</formula>
    </cfRule>
  </conditionalFormatting>
  <conditionalFormatting sqref="BN9:BN59">
    <cfRule type="cellIs" dxfId="25" priority="5" operator="greaterThan">
      <formula>$BN$9</formula>
    </cfRule>
  </conditionalFormatting>
  <conditionalFormatting sqref="BR6:BR59">
    <cfRule type="containsText" dxfId="24" priority="4" operator="containsText" text="failed">
      <formula>NOT(ISERROR(SEARCH("failed",BR6)))</formula>
    </cfRule>
  </conditionalFormatting>
  <conditionalFormatting sqref="Y9">
    <cfRule type="cellIs" dxfId="23" priority="3" operator="greaterThan">
      <formula>$Y$9</formula>
    </cfRule>
  </conditionalFormatting>
  <conditionalFormatting sqref="X10:AG59">
    <cfRule type="expression" priority="2">
      <formula>X$9</formula>
    </cfRule>
  </conditionalFormatting>
  <conditionalFormatting sqref="AS10:BB59">
    <cfRule type="expression" priority="1">
      <formula>AS$9</formula>
    </cfRule>
  </conditionalFormatting>
  <pageMargins left="0.7" right="0.7" top="0.75" bottom="0.75" header="0.3" footer="0.3"/>
  <pageSetup paperSize="256" orientation="landscape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J663"/>
  <sheetViews>
    <sheetView topLeftCell="A6" zoomScale="220" zoomScaleNormal="220" workbookViewId="0">
      <pane xSplit="2" ySplit="1" topLeftCell="C7" activePane="bottomRight" state="frozen"/>
      <selection activeCell="A6" sqref="A6"/>
      <selection pane="topRight" activeCell="C6" sqref="C6"/>
      <selection pane="bottomLeft" activeCell="A7" sqref="A7"/>
      <selection pane="bottomRight" activeCell="B6" sqref="B6:B9"/>
    </sheetView>
  </sheetViews>
  <sheetFormatPr defaultColWidth="9.109375" defaultRowHeight="9.6" x14ac:dyDescent="0.3"/>
  <cols>
    <col min="1" max="1" width="2.33203125" style="12" customWidth="1"/>
    <col min="2" max="2" width="16.6640625" style="13" customWidth="1"/>
    <col min="3" max="18" width="1.44140625" style="12" customWidth="1"/>
    <col min="19" max="22" width="2.6640625" style="12" customWidth="1"/>
    <col min="23" max="23" width="3.6640625" style="47" customWidth="1"/>
    <col min="24" max="33" width="1.6640625" style="12" customWidth="1"/>
    <col min="34" max="36" width="3.33203125" style="14" customWidth="1"/>
    <col min="37" max="43" width="3.33203125" style="12" customWidth="1"/>
    <col min="44" max="44" width="3.6640625" style="48" customWidth="1"/>
    <col min="45" max="54" width="1.6640625" style="12" customWidth="1"/>
    <col min="55" max="64" width="3.33203125" style="12" customWidth="1"/>
    <col min="65" max="65" width="3.6640625" style="14" customWidth="1"/>
    <col min="66" max="66" width="3.6640625" style="12" customWidth="1"/>
    <col min="67" max="67" width="3.6640625" style="14" customWidth="1"/>
    <col min="68" max="68" width="0.88671875" style="12" customWidth="1"/>
    <col min="69" max="69" width="3.6640625" style="14" customWidth="1"/>
    <col min="70" max="70" width="4.33203125" style="12" customWidth="1"/>
    <col min="71" max="71" width="16.6640625" style="12" customWidth="1"/>
    <col min="72" max="74" width="25.6640625" style="12" customWidth="1"/>
    <col min="75" max="94" width="2.6640625" style="49" hidden="1" customWidth="1"/>
    <col min="95" max="95" width="7.88671875" style="49" hidden="1" customWidth="1"/>
    <col min="96" max="117" width="9.109375" style="49" hidden="1" customWidth="1"/>
    <col min="118" max="127" width="3.6640625" style="15" hidden="1" customWidth="1"/>
    <col min="128" max="128" width="9.109375" style="12" hidden="1" customWidth="1"/>
    <col min="129" max="138" width="3.6640625" style="12" hidden="1" customWidth="1"/>
    <col min="139" max="140" width="9.109375" style="12" hidden="1" customWidth="1"/>
    <col min="141" max="16384" width="9.109375" style="12"/>
  </cols>
  <sheetData>
    <row r="1" spans="1:140" ht="11.7" customHeight="1" x14ac:dyDescent="0.2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196" t="s">
        <v>107</v>
      </c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</row>
    <row r="2" spans="1:140" ht="11.7" customHeight="1" x14ac:dyDescent="0.3">
      <c r="W2" s="14"/>
      <c r="AI2" s="198" t="s">
        <v>74</v>
      </c>
      <c r="AJ2" s="198"/>
      <c r="AK2" s="198"/>
      <c r="AL2" s="198"/>
      <c r="AM2" s="198"/>
      <c r="AN2" s="198"/>
      <c r="AO2" s="198"/>
      <c r="AP2" s="198"/>
      <c r="AQ2" s="198"/>
      <c r="AR2" s="198"/>
      <c r="AS2" s="198"/>
      <c r="AT2" s="198"/>
      <c r="AU2" s="198"/>
      <c r="AV2" s="198"/>
      <c r="AW2" s="198"/>
      <c r="AX2" s="198"/>
      <c r="AY2" s="198"/>
      <c r="AZ2" s="198"/>
      <c r="BA2" s="198"/>
      <c r="BB2" s="198"/>
      <c r="BC2" s="198"/>
      <c r="BD2" s="198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</row>
    <row r="3" spans="1:140" ht="11.7" customHeight="1" x14ac:dyDescent="0.3">
      <c r="B3" s="113" t="s">
        <v>109</v>
      </c>
      <c r="C3" s="184" t="str">
        <f>IF(PRELIM!C3="","",PRELIM!C3)</f>
        <v>2506B</v>
      </c>
      <c r="D3" s="184"/>
      <c r="E3" s="184"/>
      <c r="F3" s="184"/>
      <c r="G3" s="184"/>
      <c r="H3" s="184"/>
      <c r="I3" s="184"/>
      <c r="J3" s="184"/>
      <c r="K3" s="184"/>
      <c r="L3" s="184"/>
      <c r="W3" s="14"/>
      <c r="AK3" s="114" t="str">
        <f>IF(PRELIM!AK3="","",PRELIM!AK3)</f>
        <v>SUMMER</v>
      </c>
      <c r="AL3" s="113" t="s">
        <v>119</v>
      </c>
      <c r="AR3" s="183" t="str">
        <f>IF(PRELIM!AR3="","",PRELIM!AR3)</f>
        <v>2024-2025</v>
      </c>
      <c r="AS3" s="183"/>
      <c r="AT3" s="183"/>
      <c r="AU3" s="183"/>
      <c r="AV3" s="183"/>
      <c r="AW3" s="183"/>
      <c r="BQ3" s="182" t="s">
        <v>111</v>
      </c>
      <c r="BR3" s="182"/>
      <c r="BS3" s="13" t="e">
        <f>IF(PRELIM!BS3="","",PRELIM!BS3)</f>
        <v>#REF!</v>
      </c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</row>
    <row r="4" spans="1:140" ht="11.7" customHeight="1" x14ac:dyDescent="0.3">
      <c r="B4" s="113" t="s">
        <v>108</v>
      </c>
      <c r="C4" s="184" t="str">
        <f>IF(PRELIM!C4="","",PRELIM!C4)</f>
        <v>BACC104</v>
      </c>
      <c r="D4" s="184"/>
      <c r="E4" s="184"/>
      <c r="F4" s="184"/>
      <c r="G4" s="184"/>
      <c r="H4" s="184"/>
      <c r="I4" s="184"/>
      <c r="J4" s="184"/>
      <c r="K4" s="184"/>
      <c r="L4" s="184"/>
      <c r="W4" s="14"/>
      <c r="AH4" s="194" t="str">
        <f>IF(PRELIM!AH4="","",PRELIM!AH4)</f>
        <v>INTERNATIONAL BUSINESS AND TRADE</v>
      </c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Q4" s="182" t="s">
        <v>112</v>
      </c>
      <c r="BR4" s="182"/>
      <c r="BS4" s="13" t="e">
        <f>IF(PRELIM!BS4="","",PRELIM!BS4)</f>
        <v>#REF!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</row>
    <row r="5" spans="1:140" ht="11.7" customHeight="1" x14ac:dyDescent="0.3">
      <c r="W5" s="14"/>
      <c r="AI5" s="195" t="s">
        <v>110</v>
      </c>
      <c r="AJ5" s="195"/>
      <c r="AK5" s="195"/>
      <c r="AL5" s="195"/>
      <c r="AM5" s="195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</row>
    <row r="6" spans="1:140" ht="15" customHeight="1" x14ac:dyDescent="0.3">
      <c r="A6" s="208"/>
      <c r="B6" s="228" t="s">
        <v>0</v>
      </c>
      <c r="C6" s="231" t="s">
        <v>1</v>
      </c>
      <c r="D6" s="231"/>
      <c r="E6" s="231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02" t="s">
        <v>3</v>
      </c>
      <c r="X6" s="219" t="s">
        <v>36</v>
      </c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16"/>
      <c r="AN6" s="16"/>
      <c r="AO6" s="16"/>
      <c r="AP6" s="16"/>
      <c r="AQ6" s="17"/>
      <c r="AR6" s="224" t="s">
        <v>106</v>
      </c>
      <c r="AS6" s="221" t="s">
        <v>127</v>
      </c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18"/>
      <c r="BI6" s="18"/>
      <c r="BJ6" s="18"/>
      <c r="BK6" s="18"/>
      <c r="BL6" s="19"/>
      <c r="BM6" s="225" t="s">
        <v>106</v>
      </c>
      <c r="BN6" s="227" t="s">
        <v>2</v>
      </c>
      <c r="BO6" s="226" t="s">
        <v>37</v>
      </c>
      <c r="BP6" s="20"/>
      <c r="BQ6" s="202" t="s">
        <v>52</v>
      </c>
      <c r="BR6" s="203" t="s">
        <v>35</v>
      </c>
      <c r="BS6" s="199" t="s">
        <v>72</v>
      </c>
      <c r="BW6" s="21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23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23"/>
      <c r="EJ6" s="23"/>
    </row>
    <row r="7" spans="1:140" ht="15" customHeight="1" x14ac:dyDescent="0.3">
      <c r="A7" s="208"/>
      <c r="B7" s="229"/>
      <c r="C7" s="232">
        <v>45845</v>
      </c>
      <c r="D7" s="232">
        <v>45846</v>
      </c>
      <c r="E7" s="232">
        <v>45847</v>
      </c>
      <c r="F7" s="232">
        <v>45849</v>
      </c>
      <c r="G7" s="232">
        <v>45853</v>
      </c>
      <c r="H7" s="232">
        <v>45854</v>
      </c>
      <c r="I7" s="232">
        <v>45855</v>
      </c>
      <c r="J7" s="232">
        <v>45856</v>
      </c>
      <c r="K7" s="232">
        <v>45859</v>
      </c>
      <c r="L7" s="232">
        <v>45860</v>
      </c>
      <c r="M7" s="232">
        <v>45861</v>
      </c>
      <c r="N7" s="232"/>
      <c r="O7" s="232"/>
      <c r="P7" s="232"/>
      <c r="Q7" s="232"/>
      <c r="R7" s="232"/>
      <c r="S7" s="232"/>
      <c r="T7" s="232"/>
      <c r="U7" s="232"/>
      <c r="V7" s="232"/>
      <c r="W7" s="202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23" t="s">
        <v>38</v>
      </c>
      <c r="AI7" s="223" t="s">
        <v>39</v>
      </c>
      <c r="AJ7" s="223" t="s">
        <v>40</v>
      </c>
      <c r="AK7" s="203" t="s">
        <v>41</v>
      </c>
      <c r="AL7" s="203" t="s">
        <v>42</v>
      </c>
      <c r="AM7" s="203" t="s">
        <v>43</v>
      </c>
      <c r="AN7" s="223" t="s">
        <v>44</v>
      </c>
      <c r="AO7" s="223" t="s">
        <v>45</v>
      </c>
      <c r="AP7" s="203" t="s">
        <v>56</v>
      </c>
      <c r="AQ7" s="203" t="s">
        <v>57</v>
      </c>
      <c r="AR7" s="224"/>
      <c r="AS7" s="25"/>
      <c r="AT7" s="24"/>
      <c r="AU7" s="25"/>
      <c r="AV7" s="24"/>
      <c r="AW7" s="24"/>
      <c r="AX7" s="24"/>
      <c r="AY7" s="24"/>
      <c r="AZ7" s="24"/>
      <c r="BA7" s="24"/>
      <c r="BB7" s="24"/>
      <c r="BC7" s="203" t="s">
        <v>46</v>
      </c>
      <c r="BD7" s="203" t="s">
        <v>47</v>
      </c>
      <c r="BE7" s="203" t="s">
        <v>48</v>
      </c>
      <c r="BF7" s="203" t="s">
        <v>49</v>
      </c>
      <c r="BG7" s="203" t="s">
        <v>50</v>
      </c>
      <c r="BH7" s="203" t="s">
        <v>51</v>
      </c>
      <c r="BI7" s="203" t="s">
        <v>66</v>
      </c>
      <c r="BJ7" s="203" t="s">
        <v>67</v>
      </c>
      <c r="BK7" s="203" t="s">
        <v>68</v>
      </c>
      <c r="BL7" s="203" t="s">
        <v>69</v>
      </c>
      <c r="BM7" s="225"/>
      <c r="BN7" s="227"/>
      <c r="BO7" s="226"/>
      <c r="BP7" s="20"/>
      <c r="BQ7" s="202"/>
      <c r="BR7" s="203"/>
      <c r="BS7" s="199"/>
      <c r="BW7" s="21">
        <f t="shared" ref="BW7:CP7" si="0">IF(C7="",0,1)</f>
        <v>1</v>
      </c>
      <c r="BX7" s="22">
        <f t="shared" si="0"/>
        <v>1</v>
      </c>
      <c r="BY7" s="22">
        <f t="shared" si="0"/>
        <v>1</v>
      </c>
      <c r="BZ7" s="22">
        <f t="shared" si="0"/>
        <v>1</v>
      </c>
      <c r="CA7" s="22">
        <f t="shared" si="0"/>
        <v>1</v>
      </c>
      <c r="CB7" s="22">
        <f t="shared" si="0"/>
        <v>1</v>
      </c>
      <c r="CC7" s="22">
        <f t="shared" si="0"/>
        <v>1</v>
      </c>
      <c r="CD7" s="22">
        <f t="shared" si="0"/>
        <v>1</v>
      </c>
      <c r="CE7" s="22">
        <f t="shared" si="0"/>
        <v>1</v>
      </c>
      <c r="CF7" s="22">
        <f t="shared" si="0"/>
        <v>1</v>
      </c>
      <c r="CG7" s="22">
        <f t="shared" si="0"/>
        <v>1</v>
      </c>
      <c r="CH7" s="22">
        <f t="shared" si="0"/>
        <v>0</v>
      </c>
      <c r="CI7" s="22">
        <f t="shared" si="0"/>
        <v>0</v>
      </c>
      <c r="CJ7" s="22">
        <f t="shared" si="0"/>
        <v>0</v>
      </c>
      <c r="CK7" s="22">
        <f t="shared" si="0"/>
        <v>0</v>
      </c>
      <c r="CL7" s="22">
        <f t="shared" si="0"/>
        <v>0</v>
      </c>
      <c r="CM7" s="22">
        <f t="shared" si="0"/>
        <v>0</v>
      </c>
      <c r="CN7" s="22">
        <f t="shared" si="0"/>
        <v>0</v>
      </c>
      <c r="CO7" s="22">
        <f t="shared" si="0"/>
        <v>0</v>
      </c>
      <c r="CP7" s="22">
        <f t="shared" si="0"/>
        <v>0</v>
      </c>
      <c r="CQ7" s="22">
        <f>SUM(BW7:CP7)</f>
        <v>11</v>
      </c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6">
        <v>1</v>
      </c>
      <c r="DO7" s="26">
        <v>2</v>
      </c>
      <c r="DP7" s="26">
        <v>3</v>
      </c>
      <c r="DQ7" s="26">
        <v>4</v>
      </c>
      <c r="DR7" s="26">
        <v>5</v>
      </c>
      <c r="DS7" s="26">
        <v>6</v>
      </c>
      <c r="DT7" s="26">
        <v>7</v>
      </c>
      <c r="DU7" s="26">
        <v>8</v>
      </c>
      <c r="DV7" s="26">
        <v>9</v>
      </c>
      <c r="DW7" s="26">
        <v>10</v>
      </c>
      <c r="DX7" s="23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3"/>
      <c r="EJ7" s="23"/>
    </row>
    <row r="8" spans="1:140" ht="11.7" customHeight="1" x14ac:dyDescent="0.3">
      <c r="A8" s="208"/>
      <c r="B8" s="229"/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02"/>
      <c r="X8" s="38" t="s">
        <v>4</v>
      </c>
      <c r="Y8" s="38" t="s">
        <v>5</v>
      </c>
      <c r="Z8" s="38" t="s">
        <v>6</v>
      </c>
      <c r="AA8" s="38" t="s">
        <v>7</v>
      </c>
      <c r="AB8" s="38" t="s">
        <v>8</v>
      </c>
      <c r="AC8" s="38" t="s">
        <v>12</v>
      </c>
      <c r="AD8" s="38" t="s">
        <v>13</v>
      </c>
      <c r="AE8" s="38" t="s">
        <v>14</v>
      </c>
      <c r="AF8" s="38" t="s">
        <v>54</v>
      </c>
      <c r="AG8" s="38" t="s">
        <v>55</v>
      </c>
      <c r="AH8" s="223"/>
      <c r="AI8" s="223"/>
      <c r="AJ8" s="223"/>
      <c r="AK8" s="203"/>
      <c r="AL8" s="203"/>
      <c r="AM8" s="203"/>
      <c r="AN8" s="223"/>
      <c r="AO8" s="223"/>
      <c r="AP8" s="203"/>
      <c r="AQ8" s="203"/>
      <c r="AR8" s="28"/>
      <c r="AS8" s="38" t="s">
        <v>9</v>
      </c>
      <c r="AT8" s="38" t="s">
        <v>10</v>
      </c>
      <c r="AU8" s="38" t="s">
        <v>11</v>
      </c>
      <c r="AV8" s="38" t="s">
        <v>15</v>
      </c>
      <c r="AW8" s="38" t="s">
        <v>16</v>
      </c>
      <c r="AX8" s="38" t="s">
        <v>17</v>
      </c>
      <c r="AY8" s="38" t="s">
        <v>62</v>
      </c>
      <c r="AZ8" s="38" t="s">
        <v>63</v>
      </c>
      <c r="BA8" s="38" t="s">
        <v>64</v>
      </c>
      <c r="BB8" s="38" t="s">
        <v>65</v>
      </c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9"/>
      <c r="BN8" s="121"/>
      <c r="BO8" s="226"/>
      <c r="BP8" s="20"/>
      <c r="BQ8" s="202"/>
      <c r="BR8" s="203"/>
      <c r="BS8" s="199"/>
      <c r="BW8" s="21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3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3"/>
      <c r="EJ8" s="23"/>
    </row>
    <row r="9" spans="1:140" ht="11.7" customHeight="1" x14ac:dyDescent="0.3">
      <c r="A9" s="208"/>
      <c r="B9" s="23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202"/>
      <c r="X9" s="30">
        <v>10</v>
      </c>
      <c r="Y9" s="30">
        <v>10</v>
      </c>
      <c r="Z9" s="30">
        <v>10</v>
      </c>
      <c r="AA9" s="30">
        <v>10</v>
      </c>
      <c r="AB9" s="30">
        <v>10</v>
      </c>
      <c r="AC9" s="30">
        <v>10</v>
      </c>
      <c r="AD9" s="30">
        <v>10</v>
      </c>
      <c r="AE9" s="30">
        <v>10</v>
      </c>
      <c r="AF9" s="30">
        <v>40</v>
      </c>
      <c r="AG9" s="30"/>
      <c r="AH9" s="31">
        <f t="shared" ref="AH9:AQ9" si="1">IF(X9="",0,X9/X9)</f>
        <v>1</v>
      </c>
      <c r="AI9" s="31">
        <f t="shared" si="1"/>
        <v>1</v>
      </c>
      <c r="AJ9" s="31">
        <f t="shared" si="1"/>
        <v>1</v>
      </c>
      <c r="AK9" s="31">
        <f t="shared" si="1"/>
        <v>1</v>
      </c>
      <c r="AL9" s="31">
        <f t="shared" si="1"/>
        <v>1</v>
      </c>
      <c r="AM9" s="31">
        <f t="shared" si="1"/>
        <v>1</v>
      </c>
      <c r="AN9" s="31">
        <f t="shared" si="1"/>
        <v>1</v>
      </c>
      <c r="AO9" s="31">
        <f t="shared" si="1"/>
        <v>1</v>
      </c>
      <c r="AP9" s="31">
        <f t="shared" si="1"/>
        <v>1</v>
      </c>
      <c r="AQ9" s="31">
        <f t="shared" si="1"/>
        <v>0</v>
      </c>
      <c r="AR9" s="32">
        <f>SUM(AH9:AQ9)</f>
        <v>9</v>
      </c>
      <c r="AS9" s="33">
        <v>100</v>
      </c>
      <c r="AT9" s="33">
        <v>100</v>
      </c>
      <c r="AU9" s="33">
        <v>100</v>
      </c>
      <c r="AV9" s="33"/>
      <c r="AW9" s="33"/>
      <c r="AX9" s="33"/>
      <c r="AY9" s="33"/>
      <c r="AZ9" s="33"/>
      <c r="BA9" s="33"/>
      <c r="BB9" s="33"/>
      <c r="BC9" s="31">
        <f t="shared" ref="BC9:BL9" si="2">IF(AS9="",0,AS9/AS9)</f>
        <v>1</v>
      </c>
      <c r="BD9" s="31">
        <f t="shared" si="2"/>
        <v>1</v>
      </c>
      <c r="BE9" s="31">
        <f t="shared" si="2"/>
        <v>1</v>
      </c>
      <c r="BF9" s="31">
        <f t="shared" si="2"/>
        <v>0</v>
      </c>
      <c r="BG9" s="31">
        <f t="shared" si="2"/>
        <v>0</v>
      </c>
      <c r="BH9" s="31">
        <f t="shared" si="2"/>
        <v>0</v>
      </c>
      <c r="BI9" s="31">
        <f t="shared" si="2"/>
        <v>0</v>
      </c>
      <c r="BJ9" s="31">
        <f t="shared" si="2"/>
        <v>0</v>
      </c>
      <c r="BK9" s="31">
        <f t="shared" si="2"/>
        <v>0</v>
      </c>
      <c r="BL9" s="31">
        <f t="shared" si="2"/>
        <v>0</v>
      </c>
      <c r="BM9" s="34">
        <f>SUM(BC9:BL9)</f>
        <v>3</v>
      </c>
      <c r="BN9" s="35">
        <v>100</v>
      </c>
      <c r="BO9" s="226"/>
      <c r="BP9" s="20"/>
      <c r="BQ9" s="202"/>
      <c r="BR9" s="203"/>
      <c r="BS9" s="199"/>
      <c r="BW9" s="21" t="s">
        <v>18</v>
      </c>
      <c r="BX9" s="22" t="s">
        <v>19</v>
      </c>
      <c r="BY9" s="22" t="s">
        <v>20</v>
      </c>
      <c r="BZ9" s="22" t="s">
        <v>21</v>
      </c>
      <c r="CA9" s="22" t="s">
        <v>22</v>
      </c>
      <c r="CB9" s="22" t="s">
        <v>23</v>
      </c>
      <c r="CC9" s="22" t="s">
        <v>24</v>
      </c>
      <c r="CD9" s="22" t="s">
        <v>25</v>
      </c>
      <c r="CE9" s="22" t="s">
        <v>26</v>
      </c>
      <c r="CF9" s="22" t="s">
        <v>27</v>
      </c>
      <c r="CG9" s="22" t="s">
        <v>28</v>
      </c>
      <c r="CH9" s="22" t="s">
        <v>29</v>
      </c>
      <c r="CI9" s="22" t="s">
        <v>30</v>
      </c>
      <c r="CJ9" s="22" t="s">
        <v>31</v>
      </c>
      <c r="CK9" s="22" t="s">
        <v>32</v>
      </c>
      <c r="CL9" s="22" t="s">
        <v>33</v>
      </c>
      <c r="CM9" s="22" t="s">
        <v>58</v>
      </c>
      <c r="CN9" s="22" t="s">
        <v>59</v>
      </c>
      <c r="CO9" s="22" t="s">
        <v>60</v>
      </c>
      <c r="CP9" s="22" t="s">
        <v>61</v>
      </c>
      <c r="CQ9" s="22" t="s">
        <v>34</v>
      </c>
      <c r="CR9" s="22">
        <f t="shared" ref="CR9:CR59" si="3">$CQ$7</f>
        <v>11</v>
      </c>
      <c r="CS9" s="22" t="s">
        <v>85</v>
      </c>
      <c r="CT9" s="22" t="s">
        <v>86</v>
      </c>
      <c r="CU9" s="22" t="s">
        <v>87</v>
      </c>
      <c r="CV9" s="22" t="s">
        <v>88</v>
      </c>
      <c r="CW9" s="22" t="s">
        <v>89</v>
      </c>
      <c r="CX9" s="22" t="s">
        <v>90</v>
      </c>
      <c r="CY9" s="22" t="s">
        <v>91</v>
      </c>
      <c r="CZ9" s="22" t="s">
        <v>92</v>
      </c>
      <c r="DA9" s="22" t="s">
        <v>93</v>
      </c>
      <c r="DB9" s="22" t="s">
        <v>94</v>
      </c>
      <c r="DC9" s="22" t="s">
        <v>95</v>
      </c>
      <c r="DD9" s="22" t="s">
        <v>96</v>
      </c>
      <c r="DE9" s="22" t="s">
        <v>97</v>
      </c>
      <c r="DF9" s="22" t="s">
        <v>98</v>
      </c>
      <c r="DG9" s="22" t="s">
        <v>99</v>
      </c>
      <c r="DH9" s="22" t="s">
        <v>100</v>
      </c>
      <c r="DI9" s="22" t="s">
        <v>101</v>
      </c>
      <c r="DJ9" s="22" t="s">
        <v>102</v>
      </c>
      <c r="DK9" s="22" t="s">
        <v>103</v>
      </c>
      <c r="DL9" s="22" t="s">
        <v>104</v>
      </c>
      <c r="DM9" s="22" t="s">
        <v>105</v>
      </c>
      <c r="DN9" s="36">
        <f t="shared" ref="DN9:DW9" si="4">X9</f>
        <v>10</v>
      </c>
      <c r="DO9" s="36">
        <f t="shared" si="4"/>
        <v>10</v>
      </c>
      <c r="DP9" s="36">
        <f t="shared" si="4"/>
        <v>10</v>
      </c>
      <c r="DQ9" s="36">
        <f t="shared" si="4"/>
        <v>10</v>
      </c>
      <c r="DR9" s="36">
        <f t="shared" si="4"/>
        <v>10</v>
      </c>
      <c r="DS9" s="36">
        <f t="shared" si="4"/>
        <v>10</v>
      </c>
      <c r="DT9" s="36">
        <f t="shared" si="4"/>
        <v>10</v>
      </c>
      <c r="DU9" s="36">
        <f t="shared" si="4"/>
        <v>10</v>
      </c>
      <c r="DV9" s="36">
        <f t="shared" si="4"/>
        <v>40</v>
      </c>
      <c r="DW9" s="36">
        <f t="shared" si="4"/>
        <v>0</v>
      </c>
      <c r="DX9" s="23"/>
      <c r="DY9" s="23">
        <f t="shared" ref="DY9:EH9" si="5">AS9</f>
        <v>100</v>
      </c>
      <c r="DZ9" s="23">
        <f t="shared" si="5"/>
        <v>100</v>
      </c>
      <c r="EA9" s="23">
        <f t="shared" si="5"/>
        <v>100</v>
      </c>
      <c r="EB9" s="23">
        <f t="shared" si="5"/>
        <v>0</v>
      </c>
      <c r="EC9" s="23">
        <f t="shared" si="5"/>
        <v>0</v>
      </c>
      <c r="ED9" s="23">
        <f t="shared" si="5"/>
        <v>0</v>
      </c>
      <c r="EE9" s="23">
        <f t="shared" si="5"/>
        <v>0</v>
      </c>
      <c r="EF9" s="23">
        <f t="shared" si="5"/>
        <v>0</v>
      </c>
      <c r="EG9" s="23">
        <f t="shared" si="5"/>
        <v>0</v>
      </c>
      <c r="EH9" s="23">
        <f t="shared" si="5"/>
        <v>0</v>
      </c>
      <c r="EI9" s="23">
        <f>BM9</f>
        <v>3</v>
      </c>
      <c r="EJ9" s="23">
        <f>BN9</f>
        <v>100</v>
      </c>
    </row>
    <row r="10" spans="1:140" ht="9.9" customHeight="1" x14ac:dyDescent="0.3">
      <c r="A10" s="23">
        <v>1</v>
      </c>
      <c r="B10" s="50" t="str">
        <f>IF(PRELIM!B10="","",PRELIM!B10)</f>
        <v>AIDAROS, ANALIE B.</v>
      </c>
      <c r="C10" s="38" t="s">
        <v>190</v>
      </c>
      <c r="D10" s="38" t="s">
        <v>190</v>
      </c>
      <c r="E10" s="38" t="s">
        <v>190</v>
      </c>
      <c r="F10" s="38" t="s">
        <v>190</v>
      </c>
      <c r="G10" s="38" t="s">
        <v>190</v>
      </c>
      <c r="H10" s="38" t="s">
        <v>190</v>
      </c>
      <c r="I10" s="38" t="s">
        <v>190</v>
      </c>
      <c r="J10" s="38" t="s">
        <v>190</v>
      </c>
      <c r="K10" s="38" t="s">
        <v>190</v>
      </c>
      <c r="L10" s="38" t="s">
        <v>190</v>
      </c>
      <c r="M10" s="38" t="s">
        <v>190</v>
      </c>
      <c r="N10" s="38"/>
      <c r="O10" s="38"/>
      <c r="P10" s="38"/>
      <c r="Q10" s="38"/>
      <c r="R10" s="38"/>
      <c r="S10" s="38"/>
      <c r="T10" s="38"/>
      <c r="U10" s="38"/>
      <c r="V10" s="38"/>
      <c r="W10" s="39">
        <f t="shared" ref="W10:W59" si="6">((CQ10/CR10)*60)+40</f>
        <v>100</v>
      </c>
      <c r="X10" s="38">
        <v>6</v>
      </c>
      <c r="Y10" s="38">
        <v>7</v>
      </c>
      <c r="Z10" s="38">
        <v>10</v>
      </c>
      <c r="AA10" s="38">
        <v>9</v>
      </c>
      <c r="AB10" s="38">
        <v>8</v>
      </c>
      <c r="AC10" s="38">
        <v>3</v>
      </c>
      <c r="AD10" s="38">
        <v>8</v>
      </c>
      <c r="AE10" s="38">
        <v>4</v>
      </c>
      <c r="AF10" s="38">
        <v>23</v>
      </c>
      <c r="AG10" s="38"/>
      <c r="AH10" s="40">
        <f t="shared" ref="AH10:AQ35" si="7">IF(DN10&gt;=1,(((X10/DN10)*60)+40)," ")</f>
        <v>76</v>
      </c>
      <c r="AI10" s="40">
        <f t="shared" si="7"/>
        <v>82</v>
      </c>
      <c r="AJ10" s="40">
        <f t="shared" si="7"/>
        <v>100</v>
      </c>
      <c r="AK10" s="40">
        <f t="shared" si="7"/>
        <v>94</v>
      </c>
      <c r="AL10" s="40">
        <f t="shared" si="7"/>
        <v>88</v>
      </c>
      <c r="AM10" s="40">
        <f t="shared" si="7"/>
        <v>58</v>
      </c>
      <c r="AN10" s="40">
        <f t="shared" si="7"/>
        <v>88</v>
      </c>
      <c r="AO10" s="40">
        <f t="shared" si="7"/>
        <v>64</v>
      </c>
      <c r="AP10" s="40">
        <f t="shared" si="7"/>
        <v>74.5</v>
      </c>
      <c r="AQ10" s="40" t="str">
        <f t="shared" si="7"/>
        <v xml:space="preserve"> </v>
      </c>
      <c r="AR10" s="41">
        <f t="shared" ref="AR10:AR59" si="8">(SUM(AH10:AQ10))/DX10</f>
        <v>80.5</v>
      </c>
      <c r="AS10" s="38">
        <v>100</v>
      </c>
      <c r="AT10" s="38">
        <v>100</v>
      </c>
      <c r="AU10" s="38">
        <v>100</v>
      </c>
      <c r="AV10" s="38"/>
      <c r="AW10" s="38"/>
      <c r="AX10" s="38"/>
      <c r="AY10" s="38"/>
      <c r="AZ10" s="38"/>
      <c r="BA10" s="38"/>
      <c r="BB10" s="38"/>
      <c r="BC10" s="42">
        <f t="shared" ref="BC10:BL35" si="9">IF(DY10&gt;=1,(((AS10/DY10)*60)+40)," ")</f>
        <v>100</v>
      </c>
      <c r="BD10" s="42">
        <f t="shared" si="9"/>
        <v>100</v>
      </c>
      <c r="BE10" s="42">
        <f t="shared" si="9"/>
        <v>100</v>
      </c>
      <c r="BF10" s="42" t="str">
        <f t="shared" si="9"/>
        <v xml:space="preserve"> </v>
      </c>
      <c r="BG10" s="42" t="str">
        <f t="shared" si="9"/>
        <v xml:space="preserve"> </v>
      </c>
      <c r="BH10" s="42" t="str">
        <f t="shared" si="9"/>
        <v xml:space="preserve"> </v>
      </c>
      <c r="BI10" s="42" t="str">
        <f t="shared" si="9"/>
        <v xml:space="preserve"> </v>
      </c>
      <c r="BJ10" s="42" t="str">
        <f t="shared" si="9"/>
        <v xml:space="preserve"> </v>
      </c>
      <c r="BK10" s="42" t="str">
        <f t="shared" si="9"/>
        <v xml:space="preserve"> </v>
      </c>
      <c r="BL10" s="42" t="str">
        <f t="shared" si="9"/>
        <v xml:space="preserve"> </v>
      </c>
      <c r="BM10" s="43">
        <f t="shared" ref="BM10:BM59" si="10">(SUM(BC10:BL10))/EI10</f>
        <v>100</v>
      </c>
      <c r="BN10" s="38">
        <v>78</v>
      </c>
      <c r="BO10" s="44">
        <f t="shared" ref="BO10:BO59" si="11">((BN10/EJ10)*60)+40</f>
        <v>86.800000000000011</v>
      </c>
      <c r="BP10" s="20"/>
      <c r="BQ10" s="39">
        <f>(W10*0.05)+(AR10*0.25)+(BM10*0.15)+(BO10*0.55)</f>
        <v>87.865000000000009</v>
      </c>
      <c r="BR10" s="23" t="str">
        <f>IF(BQ10&gt;=74.5,"PASSED","FAILED")</f>
        <v>PASSED</v>
      </c>
      <c r="BS10" s="45"/>
      <c r="BT10" s="46"/>
      <c r="BU10" s="46"/>
      <c r="BV10" s="46"/>
      <c r="BW10" s="21">
        <f t="shared" ref="BW10:CL25" si="12">IF(C10="P",1,IF(C10="L",1,""))</f>
        <v>1</v>
      </c>
      <c r="BX10" s="22">
        <f t="shared" si="12"/>
        <v>1</v>
      </c>
      <c r="BY10" s="22">
        <f t="shared" si="12"/>
        <v>1</v>
      </c>
      <c r="BZ10" s="22">
        <f t="shared" si="12"/>
        <v>1</v>
      </c>
      <c r="CA10" s="22">
        <f t="shared" si="12"/>
        <v>1</v>
      </c>
      <c r="CB10" s="22">
        <f t="shared" si="12"/>
        <v>1</v>
      </c>
      <c r="CC10" s="22">
        <f t="shared" si="12"/>
        <v>1</v>
      </c>
      <c r="CD10" s="22">
        <f t="shared" si="12"/>
        <v>1</v>
      </c>
      <c r="CE10" s="22">
        <f t="shared" si="12"/>
        <v>1</v>
      </c>
      <c r="CF10" s="22">
        <f t="shared" si="12"/>
        <v>1</v>
      </c>
      <c r="CG10" s="22">
        <f t="shared" si="12"/>
        <v>1</v>
      </c>
      <c r="CH10" s="22" t="str">
        <f t="shared" si="12"/>
        <v/>
      </c>
      <c r="CI10" s="22" t="str">
        <f t="shared" si="12"/>
        <v/>
      </c>
      <c r="CJ10" s="22" t="str">
        <f t="shared" si="12"/>
        <v/>
      </c>
      <c r="CK10" s="22" t="str">
        <f t="shared" si="12"/>
        <v/>
      </c>
      <c r="CL10" s="22" t="str">
        <f t="shared" si="12"/>
        <v/>
      </c>
      <c r="CM10" s="22" t="str">
        <f t="shared" ref="CM10:CP41" si="13">IF(S10="P",1,IF(S10="L",1,""))</f>
        <v/>
      </c>
      <c r="CN10" s="22" t="str">
        <f t="shared" si="13"/>
        <v/>
      </c>
      <c r="CO10" s="22" t="str">
        <f t="shared" si="13"/>
        <v/>
      </c>
      <c r="CP10" s="22" t="str">
        <f t="shared" si="13"/>
        <v/>
      </c>
      <c r="CQ10" s="22">
        <f>(SUM(BW10:CP10))-DM10</f>
        <v>11</v>
      </c>
      <c r="CR10" s="22">
        <f t="shared" si="3"/>
        <v>11</v>
      </c>
      <c r="CS10" s="22" t="str">
        <f t="shared" ref="CS10:DH25" si="14">IF(C10="l",1,"")</f>
        <v/>
      </c>
      <c r="CT10" s="22" t="str">
        <f t="shared" si="14"/>
        <v/>
      </c>
      <c r="CU10" s="22" t="str">
        <f t="shared" si="14"/>
        <v/>
      </c>
      <c r="CV10" s="22" t="str">
        <f t="shared" si="14"/>
        <v/>
      </c>
      <c r="CW10" s="22" t="str">
        <f t="shared" si="14"/>
        <v/>
      </c>
      <c r="CX10" s="22" t="str">
        <f t="shared" si="14"/>
        <v/>
      </c>
      <c r="CY10" s="22" t="str">
        <f t="shared" si="14"/>
        <v/>
      </c>
      <c r="CZ10" s="22" t="str">
        <f t="shared" si="14"/>
        <v/>
      </c>
      <c r="DA10" s="22" t="str">
        <f t="shared" si="14"/>
        <v/>
      </c>
      <c r="DB10" s="22" t="str">
        <f t="shared" si="14"/>
        <v/>
      </c>
      <c r="DC10" s="22" t="str">
        <f t="shared" si="14"/>
        <v/>
      </c>
      <c r="DD10" s="22" t="str">
        <f t="shared" si="14"/>
        <v/>
      </c>
      <c r="DE10" s="22" t="str">
        <f t="shared" si="14"/>
        <v/>
      </c>
      <c r="DF10" s="22" t="str">
        <f t="shared" si="14"/>
        <v/>
      </c>
      <c r="DG10" s="22" t="str">
        <f t="shared" si="14"/>
        <v/>
      </c>
      <c r="DH10" s="22" t="str">
        <f t="shared" si="14"/>
        <v/>
      </c>
      <c r="DI10" s="22" t="str">
        <f t="shared" ref="DI10:DL41" si="15">IF(S10="l",1,"")</f>
        <v/>
      </c>
      <c r="DJ10" s="22" t="str">
        <f t="shared" si="15"/>
        <v/>
      </c>
      <c r="DK10" s="22" t="str">
        <f t="shared" si="15"/>
        <v/>
      </c>
      <c r="DL10" s="22" t="str">
        <f t="shared" si="15"/>
        <v/>
      </c>
      <c r="DM10" s="22">
        <f t="shared" ref="DM10:DM59" si="16">TRUNC(((SUM(CS10:DL10))/3),0)</f>
        <v>0</v>
      </c>
      <c r="DN10" s="36">
        <f t="shared" ref="DN10:DX25" si="17">DN9</f>
        <v>10</v>
      </c>
      <c r="DO10" s="36">
        <f t="shared" si="17"/>
        <v>10</v>
      </c>
      <c r="DP10" s="36">
        <f t="shared" si="17"/>
        <v>10</v>
      </c>
      <c r="DQ10" s="36">
        <f t="shared" si="17"/>
        <v>10</v>
      </c>
      <c r="DR10" s="36">
        <f t="shared" si="17"/>
        <v>10</v>
      </c>
      <c r="DS10" s="36">
        <f t="shared" si="17"/>
        <v>10</v>
      </c>
      <c r="DT10" s="36">
        <f t="shared" si="17"/>
        <v>10</v>
      </c>
      <c r="DU10" s="36">
        <f t="shared" si="17"/>
        <v>10</v>
      </c>
      <c r="DV10" s="36">
        <f t="shared" si="17"/>
        <v>40</v>
      </c>
      <c r="DW10" s="36">
        <f t="shared" si="17"/>
        <v>0</v>
      </c>
      <c r="DX10" s="23">
        <f>AR9</f>
        <v>9</v>
      </c>
      <c r="DY10" s="23">
        <f t="shared" ref="DY10:DY26" si="18">DY9</f>
        <v>100</v>
      </c>
      <c r="DZ10" s="23">
        <f t="shared" ref="DZ10:EJ25" si="19">DZ9</f>
        <v>100</v>
      </c>
      <c r="EA10" s="23">
        <f t="shared" si="19"/>
        <v>100</v>
      </c>
      <c r="EB10" s="23">
        <f t="shared" si="19"/>
        <v>0</v>
      </c>
      <c r="EC10" s="23">
        <f t="shared" si="19"/>
        <v>0</v>
      </c>
      <c r="ED10" s="23">
        <f t="shared" si="19"/>
        <v>0</v>
      </c>
      <c r="EE10" s="23">
        <f t="shared" si="19"/>
        <v>0</v>
      </c>
      <c r="EF10" s="23">
        <f t="shared" si="19"/>
        <v>0</v>
      </c>
      <c r="EG10" s="23">
        <f t="shared" si="19"/>
        <v>0</v>
      </c>
      <c r="EH10" s="23">
        <f t="shared" si="19"/>
        <v>0</v>
      </c>
      <c r="EI10" s="23">
        <f>EI9</f>
        <v>3</v>
      </c>
      <c r="EJ10" s="23">
        <f>EJ9</f>
        <v>100</v>
      </c>
    </row>
    <row r="11" spans="1:140" ht="9.9" customHeight="1" x14ac:dyDescent="0.3">
      <c r="A11" s="23">
        <v>2</v>
      </c>
      <c r="B11" s="50" t="str">
        <f>IF(PRELIM!B11="","",PRELIM!B11)</f>
        <v>ALILI, JAIDE LOU D.</v>
      </c>
      <c r="C11" s="38" t="s">
        <v>190</v>
      </c>
      <c r="D11" s="38" t="s">
        <v>190</v>
      </c>
      <c r="E11" s="38" t="s">
        <v>190</v>
      </c>
      <c r="F11" s="38" t="s">
        <v>190</v>
      </c>
      <c r="G11" s="38" t="s">
        <v>190</v>
      </c>
      <c r="H11" s="38" t="s">
        <v>190</v>
      </c>
      <c r="I11" s="38" t="s">
        <v>190</v>
      </c>
      <c r="J11" s="38" t="s">
        <v>190</v>
      </c>
      <c r="K11" s="38" t="s">
        <v>190</v>
      </c>
      <c r="L11" s="38" t="s">
        <v>190</v>
      </c>
      <c r="M11" s="38" t="s">
        <v>190</v>
      </c>
      <c r="N11" s="38"/>
      <c r="O11" s="38"/>
      <c r="P11" s="38"/>
      <c r="Q11" s="38"/>
      <c r="R11" s="38"/>
      <c r="S11" s="38"/>
      <c r="T11" s="38"/>
      <c r="U11" s="38"/>
      <c r="V11" s="38"/>
      <c r="W11" s="39">
        <f t="shared" si="6"/>
        <v>100</v>
      </c>
      <c r="X11" s="38">
        <v>8</v>
      </c>
      <c r="Y11" s="38">
        <v>7</v>
      </c>
      <c r="Z11" s="38">
        <v>8</v>
      </c>
      <c r="AA11" s="38">
        <v>6</v>
      </c>
      <c r="AB11" s="38">
        <v>7</v>
      </c>
      <c r="AC11" s="38">
        <v>5</v>
      </c>
      <c r="AD11" s="38">
        <v>7</v>
      </c>
      <c r="AE11" s="38">
        <v>5</v>
      </c>
      <c r="AF11" s="38">
        <v>24</v>
      </c>
      <c r="AG11" s="38"/>
      <c r="AH11" s="40">
        <f t="shared" si="7"/>
        <v>88</v>
      </c>
      <c r="AI11" s="40">
        <f t="shared" si="7"/>
        <v>82</v>
      </c>
      <c r="AJ11" s="40">
        <f t="shared" si="7"/>
        <v>88</v>
      </c>
      <c r="AK11" s="40">
        <f t="shared" si="7"/>
        <v>76</v>
      </c>
      <c r="AL11" s="40">
        <f t="shared" si="7"/>
        <v>82</v>
      </c>
      <c r="AM11" s="40">
        <f t="shared" si="7"/>
        <v>70</v>
      </c>
      <c r="AN11" s="40">
        <f t="shared" si="7"/>
        <v>82</v>
      </c>
      <c r="AO11" s="40">
        <f t="shared" si="7"/>
        <v>70</v>
      </c>
      <c r="AP11" s="40">
        <f t="shared" si="7"/>
        <v>76</v>
      </c>
      <c r="AQ11" s="40" t="str">
        <f t="shared" si="7"/>
        <v xml:space="preserve"> </v>
      </c>
      <c r="AR11" s="41">
        <f t="shared" si="8"/>
        <v>79.333333333333329</v>
      </c>
      <c r="AS11" s="38">
        <v>100</v>
      </c>
      <c r="AT11" s="38">
        <v>100</v>
      </c>
      <c r="AU11" s="38">
        <v>100</v>
      </c>
      <c r="AV11" s="38"/>
      <c r="AW11" s="38"/>
      <c r="AX11" s="38"/>
      <c r="AY11" s="38"/>
      <c r="AZ11" s="38"/>
      <c r="BA11" s="38"/>
      <c r="BB11" s="38"/>
      <c r="BC11" s="42">
        <f t="shared" si="9"/>
        <v>100</v>
      </c>
      <c r="BD11" s="42">
        <f t="shared" si="9"/>
        <v>100</v>
      </c>
      <c r="BE11" s="42">
        <f t="shared" si="9"/>
        <v>100</v>
      </c>
      <c r="BF11" s="42" t="str">
        <f t="shared" si="9"/>
        <v xml:space="preserve"> </v>
      </c>
      <c r="BG11" s="42" t="str">
        <f t="shared" si="9"/>
        <v xml:space="preserve"> </v>
      </c>
      <c r="BH11" s="42" t="str">
        <f t="shared" si="9"/>
        <v xml:space="preserve"> </v>
      </c>
      <c r="BI11" s="42" t="str">
        <f t="shared" si="9"/>
        <v xml:space="preserve"> </v>
      </c>
      <c r="BJ11" s="42" t="str">
        <f t="shared" si="9"/>
        <v xml:space="preserve"> </v>
      </c>
      <c r="BK11" s="42" t="str">
        <f t="shared" si="9"/>
        <v xml:space="preserve"> </v>
      </c>
      <c r="BL11" s="42" t="str">
        <f t="shared" si="9"/>
        <v xml:space="preserve"> </v>
      </c>
      <c r="BM11" s="43">
        <f t="shared" si="10"/>
        <v>100</v>
      </c>
      <c r="BN11" s="38">
        <v>71</v>
      </c>
      <c r="BO11" s="44">
        <f t="shared" si="11"/>
        <v>82.6</v>
      </c>
      <c r="BP11" s="20"/>
      <c r="BQ11" s="39">
        <f t="shared" ref="BQ11:BQ50" si="20">(W11*0.05)+(AR11*0.25)+(BM11*0.15)+(BO11*0.55)</f>
        <v>85.263333333333321</v>
      </c>
      <c r="BR11" s="23" t="str">
        <f t="shared" ref="BR11:BR59" si="21">IF(BQ11&gt;=74.5,"PASSED","FAILED")</f>
        <v>PASSED</v>
      </c>
      <c r="BS11" s="45"/>
      <c r="BT11" s="46"/>
      <c r="BU11" s="46"/>
      <c r="BV11" s="46"/>
      <c r="BW11" s="21">
        <f t="shared" si="12"/>
        <v>1</v>
      </c>
      <c r="BX11" s="22">
        <f t="shared" si="12"/>
        <v>1</v>
      </c>
      <c r="BY11" s="22">
        <f t="shared" si="12"/>
        <v>1</v>
      </c>
      <c r="BZ11" s="22">
        <f t="shared" si="12"/>
        <v>1</v>
      </c>
      <c r="CA11" s="22">
        <f t="shared" si="12"/>
        <v>1</v>
      </c>
      <c r="CB11" s="22">
        <f t="shared" si="12"/>
        <v>1</v>
      </c>
      <c r="CC11" s="22">
        <f t="shared" si="12"/>
        <v>1</v>
      </c>
      <c r="CD11" s="22">
        <f t="shared" si="12"/>
        <v>1</v>
      </c>
      <c r="CE11" s="22">
        <f t="shared" si="12"/>
        <v>1</v>
      </c>
      <c r="CF11" s="22">
        <f t="shared" si="12"/>
        <v>1</v>
      </c>
      <c r="CG11" s="22">
        <f t="shared" si="12"/>
        <v>1</v>
      </c>
      <c r="CH11" s="22" t="str">
        <f t="shared" si="12"/>
        <v/>
      </c>
      <c r="CI11" s="22" t="str">
        <f t="shared" si="12"/>
        <v/>
      </c>
      <c r="CJ11" s="22" t="str">
        <f t="shared" si="12"/>
        <v/>
      </c>
      <c r="CK11" s="22" t="str">
        <f t="shared" si="12"/>
        <v/>
      </c>
      <c r="CL11" s="22" t="str">
        <f t="shared" si="12"/>
        <v/>
      </c>
      <c r="CM11" s="22" t="str">
        <f t="shared" si="13"/>
        <v/>
      </c>
      <c r="CN11" s="22" t="str">
        <f t="shared" si="13"/>
        <v/>
      </c>
      <c r="CO11" s="22" t="str">
        <f t="shared" si="13"/>
        <v/>
      </c>
      <c r="CP11" s="22" t="str">
        <f t="shared" si="13"/>
        <v/>
      </c>
      <c r="CQ11" s="22">
        <f t="shared" ref="CQ11:CQ59" si="22">(SUM(BW11:CP11))-DM11</f>
        <v>11</v>
      </c>
      <c r="CR11" s="22">
        <f t="shared" si="3"/>
        <v>11</v>
      </c>
      <c r="CS11" s="22" t="str">
        <f t="shared" si="14"/>
        <v/>
      </c>
      <c r="CT11" s="22" t="str">
        <f t="shared" si="14"/>
        <v/>
      </c>
      <c r="CU11" s="22" t="str">
        <f t="shared" si="14"/>
        <v/>
      </c>
      <c r="CV11" s="22" t="str">
        <f t="shared" si="14"/>
        <v/>
      </c>
      <c r="CW11" s="22" t="str">
        <f t="shared" si="14"/>
        <v/>
      </c>
      <c r="CX11" s="22" t="str">
        <f t="shared" si="14"/>
        <v/>
      </c>
      <c r="CY11" s="22" t="str">
        <f t="shared" si="14"/>
        <v/>
      </c>
      <c r="CZ11" s="22" t="str">
        <f t="shared" si="14"/>
        <v/>
      </c>
      <c r="DA11" s="22" t="str">
        <f t="shared" si="14"/>
        <v/>
      </c>
      <c r="DB11" s="22" t="str">
        <f t="shared" si="14"/>
        <v/>
      </c>
      <c r="DC11" s="22" t="str">
        <f t="shared" si="14"/>
        <v/>
      </c>
      <c r="DD11" s="22" t="str">
        <f t="shared" si="14"/>
        <v/>
      </c>
      <c r="DE11" s="22" t="str">
        <f t="shared" si="14"/>
        <v/>
      </c>
      <c r="DF11" s="22" t="str">
        <f t="shared" si="14"/>
        <v/>
      </c>
      <c r="DG11" s="22" t="str">
        <f t="shared" si="14"/>
        <v/>
      </c>
      <c r="DH11" s="22" t="str">
        <f t="shared" si="14"/>
        <v/>
      </c>
      <c r="DI11" s="22" t="str">
        <f t="shared" si="15"/>
        <v/>
      </c>
      <c r="DJ11" s="22" t="str">
        <f t="shared" si="15"/>
        <v/>
      </c>
      <c r="DK11" s="22" t="str">
        <f t="shared" si="15"/>
        <v/>
      </c>
      <c r="DL11" s="22" t="str">
        <f t="shared" si="15"/>
        <v/>
      </c>
      <c r="DM11" s="22">
        <f t="shared" si="16"/>
        <v>0</v>
      </c>
      <c r="DN11" s="36">
        <f t="shared" si="17"/>
        <v>10</v>
      </c>
      <c r="DO11" s="36">
        <f t="shared" si="17"/>
        <v>10</v>
      </c>
      <c r="DP11" s="36">
        <f t="shared" si="17"/>
        <v>10</v>
      </c>
      <c r="DQ11" s="36">
        <f t="shared" si="17"/>
        <v>10</v>
      </c>
      <c r="DR11" s="36">
        <f t="shared" si="17"/>
        <v>10</v>
      </c>
      <c r="DS11" s="36">
        <f t="shared" si="17"/>
        <v>10</v>
      </c>
      <c r="DT11" s="36">
        <f t="shared" si="17"/>
        <v>10</v>
      </c>
      <c r="DU11" s="36">
        <f t="shared" si="17"/>
        <v>10</v>
      </c>
      <c r="DV11" s="36">
        <f t="shared" si="17"/>
        <v>40</v>
      </c>
      <c r="DW11" s="36">
        <f t="shared" si="17"/>
        <v>0</v>
      </c>
      <c r="DX11" s="23">
        <f>DX10</f>
        <v>9</v>
      </c>
      <c r="DY11" s="23">
        <f t="shared" si="18"/>
        <v>100</v>
      </c>
      <c r="DZ11" s="23">
        <f t="shared" si="19"/>
        <v>100</v>
      </c>
      <c r="EA11" s="23">
        <f t="shared" si="19"/>
        <v>100</v>
      </c>
      <c r="EB11" s="23">
        <f t="shared" si="19"/>
        <v>0</v>
      </c>
      <c r="EC11" s="23">
        <f t="shared" si="19"/>
        <v>0</v>
      </c>
      <c r="ED11" s="23">
        <f t="shared" si="19"/>
        <v>0</v>
      </c>
      <c r="EE11" s="23">
        <f t="shared" si="19"/>
        <v>0</v>
      </c>
      <c r="EF11" s="23">
        <f t="shared" si="19"/>
        <v>0</v>
      </c>
      <c r="EG11" s="23">
        <f t="shared" si="19"/>
        <v>0</v>
      </c>
      <c r="EH11" s="23">
        <f t="shared" si="19"/>
        <v>0</v>
      </c>
      <c r="EI11" s="23">
        <f t="shared" si="19"/>
        <v>3</v>
      </c>
      <c r="EJ11" s="23">
        <f t="shared" si="19"/>
        <v>100</v>
      </c>
    </row>
    <row r="12" spans="1:140" ht="9.9" customHeight="1" x14ac:dyDescent="0.3">
      <c r="A12" s="23">
        <v>3</v>
      </c>
      <c r="B12" s="50" t="str">
        <f>IF(PRELIM!B12="","",PRELIM!B12)</f>
        <v>ALLOSO, RICHELLE MAE</v>
      </c>
      <c r="C12" s="38" t="s">
        <v>190</v>
      </c>
      <c r="D12" s="38" t="s">
        <v>190</v>
      </c>
      <c r="E12" s="38" t="s">
        <v>190</v>
      </c>
      <c r="F12" s="38" t="s">
        <v>190</v>
      </c>
      <c r="G12" s="38" t="s">
        <v>190</v>
      </c>
      <c r="H12" s="38" t="s">
        <v>190</v>
      </c>
      <c r="I12" s="38" t="s">
        <v>190</v>
      </c>
      <c r="J12" s="38" t="s">
        <v>190</v>
      </c>
      <c r="K12" s="38" t="s">
        <v>190</v>
      </c>
      <c r="L12" s="38" t="s">
        <v>190</v>
      </c>
      <c r="M12" s="38" t="s">
        <v>190</v>
      </c>
      <c r="N12" s="38"/>
      <c r="O12" s="38"/>
      <c r="P12" s="38"/>
      <c r="Q12" s="38"/>
      <c r="R12" s="38"/>
      <c r="S12" s="38"/>
      <c r="T12" s="38"/>
      <c r="U12" s="38"/>
      <c r="V12" s="38"/>
      <c r="W12" s="39">
        <f t="shared" si="6"/>
        <v>100</v>
      </c>
      <c r="X12" s="38">
        <v>8</v>
      </c>
      <c r="Y12" s="38">
        <v>9</v>
      </c>
      <c r="Z12" s="38">
        <v>8</v>
      </c>
      <c r="AA12" s="38">
        <v>8</v>
      </c>
      <c r="AB12" s="38">
        <v>7</v>
      </c>
      <c r="AC12" s="38">
        <v>3</v>
      </c>
      <c r="AD12" s="38">
        <v>6</v>
      </c>
      <c r="AE12" s="38">
        <v>4</v>
      </c>
      <c r="AF12" s="38">
        <v>31</v>
      </c>
      <c r="AG12" s="38"/>
      <c r="AH12" s="40">
        <f t="shared" si="7"/>
        <v>88</v>
      </c>
      <c r="AI12" s="40">
        <f t="shared" si="7"/>
        <v>94</v>
      </c>
      <c r="AJ12" s="40">
        <f t="shared" si="7"/>
        <v>88</v>
      </c>
      <c r="AK12" s="40">
        <f t="shared" si="7"/>
        <v>88</v>
      </c>
      <c r="AL12" s="40">
        <f t="shared" si="7"/>
        <v>82</v>
      </c>
      <c r="AM12" s="40">
        <f t="shared" si="7"/>
        <v>58</v>
      </c>
      <c r="AN12" s="40">
        <f t="shared" si="7"/>
        <v>76</v>
      </c>
      <c r="AO12" s="40">
        <f t="shared" si="7"/>
        <v>64</v>
      </c>
      <c r="AP12" s="40">
        <f t="shared" si="7"/>
        <v>86.5</v>
      </c>
      <c r="AQ12" s="40" t="str">
        <f t="shared" si="7"/>
        <v xml:space="preserve"> </v>
      </c>
      <c r="AR12" s="41">
        <f t="shared" si="8"/>
        <v>80.5</v>
      </c>
      <c r="AS12" s="38">
        <v>100</v>
      </c>
      <c r="AT12" s="38">
        <v>100</v>
      </c>
      <c r="AU12" s="38">
        <v>100</v>
      </c>
      <c r="AV12" s="38"/>
      <c r="AW12" s="38"/>
      <c r="AX12" s="38"/>
      <c r="AY12" s="38"/>
      <c r="AZ12" s="38"/>
      <c r="BA12" s="38"/>
      <c r="BB12" s="38"/>
      <c r="BC12" s="42">
        <f t="shared" si="9"/>
        <v>100</v>
      </c>
      <c r="BD12" s="42">
        <f t="shared" si="9"/>
        <v>100</v>
      </c>
      <c r="BE12" s="42">
        <f t="shared" si="9"/>
        <v>100</v>
      </c>
      <c r="BF12" s="42" t="str">
        <f t="shared" si="9"/>
        <v xml:space="preserve"> </v>
      </c>
      <c r="BG12" s="42" t="str">
        <f t="shared" si="9"/>
        <v xml:space="preserve"> </v>
      </c>
      <c r="BH12" s="42" t="str">
        <f t="shared" si="9"/>
        <v xml:space="preserve"> </v>
      </c>
      <c r="BI12" s="42" t="str">
        <f t="shared" si="9"/>
        <v xml:space="preserve"> </v>
      </c>
      <c r="BJ12" s="42" t="str">
        <f t="shared" si="9"/>
        <v xml:space="preserve"> </v>
      </c>
      <c r="BK12" s="42" t="str">
        <f t="shared" si="9"/>
        <v xml:space="preserve"> </v>
      </c>
      <c r="BL12" s="42" t="str">
        <f t="shared" si="9"/>
        <v xml:space="preserve"> </v>
      </c>
      <c r="BM12" s="43">
        <f t="shared" si="10"/>
        <v>100</v>
      </c>
      <c r="BN12" s="38">
        <v>76</v>
      </c>
      <c r="BO12" s="44">
        <f t="shared" si="11"/>
        <v>85.6</v>
      </c>
      <c r="BP12" s="20"/>
      <c r="BQ12" s="39">
        <f t="shared" si="20"/>
        <v>87.204999999999998</v>
      </c>
      <c r="BR12" s="23" t="str">
        <f t="shared" si="21"/>
        <v>PASSED</v>
      </c>
      <c r="BS12" s="45"/>
      <c r="BT12" s="46"/>
      <c r="BU12" s="46"/>
      <c r="BV12" s="46"/>
      <c r="BW12" s="21">
        <f t="shared" si="12"/>
        <v>1</v>
      </c>
      <c r="BX12" s="22">
        <f t="shared" si="12"/>
        <v>1</v>
      </c>
      <c r="BY12" s="22">
        <f t="shared" si="12"/>
        <v>1</v>
      </c>
      <c r="BZ12" s="22">
        <f t="shared" si="12"/>
        <v>1</v>
      </c>
      <c r="CA12" s="22">
        <f t="shared" si="12"/>
        <v>1</v>
      </c>
      <c r="CB12" s="22">
        <f t="shared" si="12"/>
        <v>1</v>
      </c>
      <c r="CC12" s="22">
        <f t="shared" si="12"/>
        <v>1</v>
      </c>
      <c r="CD12" s="22">
        <f t="shared" si="12"/>
        <v>1</v>
      </c>
      <c r="CE12" s="22">
        <f t="shared" si="12"/>
        <v>1</v>
      </c>
      <c r="CF12" s="22">
        <f t="shared" si="12"/>
        <v>1</v>
      </c>
      <c r="CG12" s="22">
        <f t="shared" si="12"/>
        <v>1</v>
      </c>
      <c r="CH12" s="22" t="str">
        <f t="shared" si="12"/>
        <v/>
      </c>
      <c r="CI12" s="22" t="str">
        <f t="shared" si="12"/>
        <v/>
      </c>
      <c r="CJ12" s="22" t="str">
        <f t="shared" si="12"/>
        <v/>
      </c>
      <c r="CK12" s="22" t="str">
        <f t="shared" si="12"/>
        <v/>
      </c>
      <c r="CL12" s="22" t="str">
        <f t="shared" si="12"/>
        <v/>
      </c>
      <c r="CM12" s="22" t="str">
        <f t="shared" si="13"/>
        <v/>
      </c>
      <c r="CN12" s="22" t="str">
        <f t="shared" si="13"/>
        <v/>
      </c>
      <c r="CO12" s="22" t="str">
        <f t="shared" si="13"/>
        <v/>
      </c>
      <c r="CP12" s="22" t="str">
        <f t="shared" si="13"/>
        <v/>
      </c>
      <c r="CQ12" s="22">
        <f t="shared" si="22"/>
        <v>11</v>
      </c>
      <c r="CR12" s="22">
        <f t="shared" si="3"/>
        <v>11</v>
      </c>
      <c r="CS12" s="22" t="str">
        <f t="shared" si="14"/>
        <v/>
      </c>
      <c r="CT12" s="22" t="str">
        <f t="shared" si="14"/>
        <v/>
      </c>
      <c r="CU12" s="22" t="str">
        <f t="shared" si="14"/>
        <v/>
      </c>
      <c r="CV12" s="22" t="str">
        <f t="shared" si="14"/>
        <v/>
      </c>
      <c r="CW12" s="22" t="str">
        <f t="shared" si="14"/>
        <v/>
      </c>
      <c r="CX12" s="22" t="str">
        <f t="shared" si="14"/>
        <v/>
      </c>
      <c r="CY12" s="22" t="str">
        <f t="shared" si="14"/>
        <v/>
      </c>
      <c r="CZ12" s="22" t="str">
        <f t="shared" si="14"/>
        <v/>
      </c>
      <c r="DA12" s="22" t="str">
        <f t="shared" si="14"/>
        <v/>
      </c>
      <c r="DB12" s="22" t="str">
        <f t="shared" si="14"/>
        <v/>
      </c>
      <c r="DC12" s="22" t="str">
        <f t="shared" si="14"/>
        <v/>
      </c>
      <c r="DD12" s="22" t="str">
        <f t="shared" si="14"/>
        <v/>
      </c>
      <c r="DE12" s="22" t="str">
        <f t="shared" si="14"/>
        <v/>
      </c>
      <c r="DF12" s="22" t="str">
        <f t="shared" si="14"/>
        <v/>
      </c>
      <c r="DG12" s="22" t="str">
        <f t="shared" si="14"/>
        <v/>
      </c>
      <c r="DH12" s="22" t="str">
        <f t="shared" si="14"/>
        <v/>
      </c>
      <c r="DI12" s="22" t="str">
        <f t="shared" si="15"/>
        <v/>
      </c>
      <c r="DJ12" s="22" t="str">
        <f t="shared" si="15"/>
        <v/>
      </c>
      <c r="DK12" s="22" t="str">
        <f t="shared" si="15"/>
        <v/>
      </c>
      <c r="DL12" s="22" t="str">
        <f t="shared" si="15"/>
        <v/>
      </c>
      <c r="DM12" s="22">
        <f t="shared" si="16"/>
        <v>0</v>
      </c>
      <c r="DN12" s="36">
        <f t="shared" si="17"/>
        <v>10</v>
      </c>
      <c r="DO12" s="36">
        <f t="shared" si="17"/>
        <v>10</v>
      </c>
      <c r="DP12" s="36">
        <f t="shared" si="17"/>
        <v>10</v>
      </c>
      <c r="DQ12" s="36">
        <f t="shared" si="17"/>
        <v>10</v>
      </c>
      <c r="DR12" s="36">
        <f t="shared" si="17"/>
        <v>10</v>
      </c>
      <c r="DS12" s="36">
        <f t="shared" si="17"/>
        <v>10</v>
      </c>
      <c r="DT12" s="36">
        <f t="shared" si="17"/>
        <v>10</v>
      </c>
      <c r="DU12" s="36">
        <f t="shared" si="17"/>
        <v>10</v>
      </c>
      <c r="DV12" s="36">
        <f t="shared" si="17"/>
        <v>40</v>
      </c>
      <c r="DW12" s="36">
        <f t="shared" si="17"/>
        <v>0</v>
      </c>
      <c r="DX12" s="23">
        <f t="shared" si="17"/>
        <v>9</v>
      </c>
      <c r="DY12" s="23">
        <f t="shared" si="18"/>
        <v>100</v>
      </c>
      <c r="DZ12" s="23">
        <f t="shared" si="19"/>
        <v>100</v>
      </c>
      <c r="EA12" s="23">
        <f t="shared" si="19"/>
        <v>100</v>
      </c>
      <c r="EB12" s="23">
        <f t="shared" si="19"/>
        <v>0</v>
      </c>
      <c r="EC12" s="23">
        <f t="shared" si="19"/>
        <v>0</v>
      </c>
      <c r="ED12" s="23">
        <f t="shared" si="19"/>
        <v>0</v>
      </c>
      <c r="EE12" s="23">
        <f t="shared" si="19"/>
        <v>0</v>
      </c>
      <c r="EF12" s="23">
        <f t="shared" si="19"/>
        <v>0</v>
      </c>
      <c r="EG12" s="23">
        <f t="shared" si="19"/>
        <v>0</v>
      </c>
      <c r="EH12" s="23">
        <f t="shared" si="19"/>
        <v>0</v>
      </c>
      <c r="EI12" s="23">
        <f t="shared" si="19"/>
        <v>3</v>
      </c>
      <c r="EJ12" s="23">
        <f t="shared" si="19"/>
        <v>100</v>
      </c>
    </row>
    <row r="13" spans="1:140" ht="9.9" customHeight="1" x14ac:dyDescent="0.3">
      <c r="A13" s="23">
        <v>4</v>
      </c>
      <c r="B13" s="50" t="str">
        <f>IF(PRELIM!B13="","",PRELIM!B13)</f>
        <v>AUTIDA, MHARK ANGELOU E.</v>
      </c>
      <c r="C13" s="38" t="s">
        <v>190</v>
      </c>
      <c r="D13" s="38" t="s">
        <v>190</v>
      </c>
      <c r="E13" s="38" t="s">
        <v>190</v>
      </c>
      <c r="F13" s="38"/>
      <c r="G13" s="38" t="s">
        <v>190</v>
      </c>
      <c r="H13" s="38" t="s">
        <v>190</v>
      </c>
      <c r="I13" s="38" t="s">
        <v>190</v>
      </c>
      <c r="J13" s="38" t="s">
        <v>190</v>
      </c>
      <c r="K13" s="38" t="s">
        <v>190</v>
      </c>
      <c r="L13" s="38" t="s">
        <v>190</v>
      </c>
      <c r="M13" s="38" t="s">
        <v>190</v>
      </c>
      <c r="N13" s="38"/>
      <c r="O13" s="38"/>
      <c r="P13" s="38"/>
      <c r="Q13" s="38"/>
      <c r="R13" s="38"/>
      <c r="S13" s="38"/>
      <c r="T13" s="38"/>
      <c r="U13" s="38"/>
      <c r="V13" s="38"/>
      <c r="W13" s="39">
        <f t="shared" si="6"/>
        <v>94.545454545454547</v>
      </c>
      <c r="X13" s="38">
        <v>3</v>
      </c>
      <c r="Y13" s="38">
        <v>3</v>
      </c>
      <c r="Z13" s="38">
        <v>5</v>
      </c>
      <c r="AA13" s="38">
        <v>4</v>
      </c>
      <c r="AB13" s="38">
        <v>9</v>
      </c>
      <c r="AC13" s="38">
        <v>8</v>
      </c>
      <c r="AD13" s="38">
        <v>5</v>
      </c>
      <c r="AE13" s="38">
        <v>5</v>
      </c>
      <c r="AF13" s="38">
        <v>16</v>
      </c>
      <c r="AG13" s="38"/>
      <c r="AH13" s="40">
        <f t="shared" si="7"/>
        <v>58</v>
      </c>
      <c r="AI13" s="40">
        <f t="shared" si="7"/>
        <v>58</v>
      </c>
      <c r="AJ13" s="40">
        <f t="shared" si="7"/>
        <v>70</v>
      </c>
      <c r="AK13" s="40">
        <f t="shared" si="7"/>
        <v>64</v>
      </c>
      <c r="AL13" s="40">
        <f t="shared" si="7"/>
        <v>94</v>
      </c>
      <c r="AM13" s="40">
        <f t="shared" si="7"/>
        <v>88</v>
      </c>
      <c r="AN13" s="40">
        <f t="shared" si="7"/>
        <v>70</v>
      </c>
      <c r="AO13" s="40">
        <f t="shared" si="7"/>
        <v>70</v>
      </c>
      <c r="AP13" s="40">
        <f t="shared" si="7"/>
        <v>64</v>
      </c>
      <c r="AQ13" s="40" t="str">
        <f t="shared" si="7"/>
        <v xml:space="preserve"> </v>
      </c>
      <c r="AR13" s="41">
        <f t="shared" si="8"/>
        <v>70.666666666666671</v>
      </c>
      <c r="AS13" s="38">
        <v>90</v>
      </c>
      <c r="AT13" s="38">
        <v>90</v>
      </c>
      <c r="AU13" s="38">
        <v>100</v>
      </c>
      <c r="AV13" s="38"/>
      <c r="AW13" s="38"/>
      <c r="AX13" s="38"/>
      <c r="AY13" s="38"/>
      <c r="AZ13" s="38"/>
      <c r="BA13" s="38"/>
      <c r="BB13" s="38"/>
      <c r="BC13" s="42">
        <f t="shared" si="9"/>
        <v>94</v>
      </c>
      <c r="BD13" s="42">
        <f t="shared" si="9"/>
        <v>94</v>
      </c>
      <c r="BE13" s="42">
        <f t="shared" si="9"/>
        <v>100</v>
      </c>
      <c r="BF13" s="42" t="str">
        <f t="shared" si="9"/>
        <v xml:space="preserve"> </v>
      </c>
      <c r="BG13" s="42" t="str">
        <f t="shared" si="9"/>
        <v xml:space="preserve"> </v>
      </c>
      <c r="BH13" s="42" t="str">
        <f t="shared" si="9"/>
        <v xml:space="preserve"> </v>
      </c>
      <c r="BI13" s="42" t="str">
        <f t="shared" si="9"/>
        <v xml:space="preserve"> </v>
      </c>
      <c r="BJ13" s="42" t="str">
        <f t="shared" si="9"/>
        <v xml:space="preserve"> </v>
      </c>
      <c r="BK13" s="42" t="str">
        <f t="shared" si="9"/>
        <v xml:space="preserve"> </v>
      </c>
      <c r="BL13" s="42" t="str">
        <f t="shared" si="9"/>
        <v xml:space="preserve"> </v>
      </c>
      <c r="BM13" s="43">
        <f t="shared" si="10"/>
        <v>96</v>
      </c>
      <c r="BN13" s="38">
        <v>43</v>
      </c>
      <c r="BO13" s="44">
        <f t="shared" si="11"/>
        <v>65.8</v>
      </c>
      <c r="BP13" s="20"/>
      <c r="BQ13" s="39">
        <f t="shared" si="20"/>
        <v>72.983939393939409</v>
      </c>
      <c r="BR13" s="23" t="str">
        <f t="shared" si="21"/>
        <v>FAILED</v>
      </c>
      <c r="BS13" s="45"/>
      <c r="BT13" s="46"/>
      <c r="BU13" s="46"/>
      <c r="BV13" s="46"/>
      <c r="BW13" s="21">
        <f t="shared" si="12"/>
        <v>1</v>
      </c>
      <c r="BX13" s="22">
        <f t="shared" si="12"/>
        <v>1</v>
      </c>
      <c r="BY13" s="22">
        <f t="shared" si="12"/>
        <v>1</v>
      </c>
      <c r="BZ13" s="22" t="str">
        <f t="shared" si="12"/>
        <v/>
      </c>
      <c r="CA13" s="22">
        <f t="shared" si="12"/>
        <v>1</v>
      </c>
      <c r="CB13" s="22">
        <f t="shared" si="12"/>
        <v>1</v>
      </c>
      <c r="CC13" s="22">
        <f t="shared" si="12"/>
        <v>1</v>
      </c>
      <c r="CD13" s="22">
        <f t="shared" si="12"/>
        <v>1</v>
      </c>
      <c r="CE13" s="22">
        <f t="shared" si="12"/>
        <v>1</v>
      </c>
      <c r="CF13" s="22">
        <f t="shared" si="12"/>
        <v>1</v>
      </c>
      <c r="CG13" s="22">
        <f t="shared" si="12"/>
        <v>1</v>
      </c>
      <c r="CH13" s="22" t="str">
        <f t="shared" si="12"/>
        <v/>
      </c>
      <c r="CI13" s="22" t="str">
        <f t="shared" si="12"/>
        <v/>
      </c>
      <c r="CJ13" s="22" t="str">
        <f t="shared" si="12"/>
        <v/>
      </c>
      <c r="CK13" s="22" t="str">
        <f t="shared" si="12"/>
        <v/>
      </c>
      <c r="CL13" s="22" t="str">
        <f t="shared" si="12"/>
        <v/>
      </c>
      <c r="CM13" s="22" t="str">
        <f t="shared" si="13"/>
        <v/>
      </c>
      <c r="CN13" s="22" t="str">
        <f t="shared" si="13"/>
        <v/>
      </c>
      <c r="CO13" s="22" t="str">
        <f t="shared" si="13"/>
        <v/>
      </c>
      <c r="CP13" s="22" t="str">
        <f t="shared" si="13"/>
        <v/>
      </c>
      <c r="CQ13" s="22">
        <f t="shared" si="22"/>
        <v>10</v>
      </c>
      <c r="CR13" s="22">
        <f t="shared" si="3"/>
        <v>11</v>
      </c>
      <c r="CS13" s="22" t="str">
        <f t="shared" si="14"/>
        <v/>
      </c>
      <c r="CT13" s="22" t="str">
        <f t="shared" si="14"/>
        <v/>
      </c>
      <c r="CU13" s="22" t="str">
        <f t="shared" si="14"/>
        <v/>
      </c>
      <c r="CV13" s="22" t="str">
        <f t="shared" si="14"/>
        <v/>
      </c>
      <c r="CW13" s="22" t="str">
        <f t="shared" si="14"/>
        <v/>
      </c>
      <c r="CX13" s="22" t="str">
        <f t="shared" si="14"/>
        <v/>
      </c>
      <c r="CY13" s="22" t="str">
        <f t="shared" si="14"/>
        <v/>
      </c>
      <c r="CZ13" s="22" t="str">
        <f t="shared" si="14"/>
        <v/>
      </c>
      <c r="DA13" s="22" t="str">
        <f t="shared" si="14"/>
        <v/>
      </c>
      <c r="DB13" s="22" t="str">
        <f t="shared" si="14"/>
        <v/>
      </c>
      <c r="DC13" s="22" t="str">
        <f t="shared" si="14"/>
        <v/>
      </c>
      <c r="DD13" s="22" t="str">
        <f t="shared" si="14"/>
        <v/>
      </c>
      <c r="DE13" s="22" t="str">
        <f t="shared" si="14"/>
        <v/>
      </c>
      <c r="DF13" s="22" t="str">
        <f t="shared" si="14"/>
        <v/>
      </c>
      <c r="DG13" s="22" t="str">
        <f t="shared" si="14"/>
        <v/>
      </c>
      <c r="DH13" s="22" t="str">
        <f t="shared" si="14"/>
        <v/>
      </c>
      <c r="DI13" s="22" t="str">
        <f t="shared" si="15"/>
        <v/>
      </c>
      <c r="DJ13" s="22" t="str">
        <f t="shared" si="15"/>
        <v/>
      </c>
      <c r="DK13" s="22" t="str">
        <f t="shared" si="15"/>
        <v/>
      </c>
      <c r="DL13" s="22" t="str">
        <f t="shared" si="15"/>
        <v/>
      </c>
      <c r="DM13" s="22">
        <f t="shared" si="16"/>
        <v>0</v>
      </c>
      <c r="DN13" s="36">
        <f t="shared" si="17"/>
        <v>10</v>
      </c>
      <c r="DO13" s="36">
        <f t="shared" si="17"/>
        <v>10</v>
      </c>
      <c r="DP13" s="36">
        <f t="shared" si="17"/>
        <v>10</v>
      </c>
      <c r="DQ13" s="36">
        <f t="shared" si="17"/>
        <v>10</v>
      </c>
      <c r="DR13" s="36">
        <f t="shared" si="17"/>
        <v>10</v>
      </c>
      <c r="DS13" s="36">
        <f t="shared" si="17"/>
        <v>10</v>
      </c>
      <c r="DT13" s="36">
        <f t="shared" si="17"/>
        <v>10</v>
      </c>
      <c r="DU13" s="36">
        <f t="shared" si="17"/>
        <v>10</v>
      </c>
      <c r="DV13" s="36">
        <f t="shared" si="17"/>
        <v>40</v>
      </c>
      <c r="DW13" s="36">
        <f t="shared" si="17"/>
        <v>0</v>
      </c>
      <c r="DX13" s="23">
        <f t="shared" si="17"/>
        <v>9</v>
      </c>
      <c r="DY13" s="23">
        <f t="shared" si="18"/>
        <v>100</v>
      </c>
      <c r="DZ13" s="23">
        <f t="shared" si="19"/>
        <v>100</v>
      </c>
      <c r="EA13" s="23">
        <f t="shared" si="19"/>
        <v>100</v>
      </c>
      <c r="EB13" s="23">
        <f t="shared" si="19"/>
        <v>0</v>
      </c>
      <c r="EC13" s="23">
        <f t="shared" si="19"/>
        <v>0</v>
      </c>
      <c r="ED13" s="23">
        <f t="shared" si="19"/>
        <v>0</v>
      </c>
      <c r="EE13" s="23">
        <f t="shared" si="19"/>
        <v>0</v>
      </c>
      <c r="EF13" s="23">
        <f t="shared" si="19"/>
        <v>0</v>
      </c>
      <c r="EG13" s="23">
        <f t="shared" si="19"/>
        <v>0</v>
      </c>
      <c r="EH13" s="23">
        <f t="shared" si="19"/>
        <v>0</v>
      </c>
      <c r="EI13" s="23">
        <f t="shared" si="19"/>
        <v>3</v>
      </c>
      <c r="EJ13" s="23">
        <f t="shared" si="19"/>
        <v>100</v>
      </c>
    </row>
    <row r="14" spans="1:140" ht="9.9" customHeight="1" x14ac:dyDescent="0.3">
      <c r="A14" s="23">
        <v>5</v>
      </c>
      <c r="B14" s="50" t="str">
        <f>IF(PRELIM!B14="","",PRELIM!B14)</f>
        <v>BENITO, FADEL C.</v>
      </c>
      <c r="C14" s="38" t="s">
        <v>190</v>
      </c>
      <c r="D14" s="38" t="s">
        <v>190</v>
      </c>
      <c r="E14" s="38" t="s">
        <v>190</v>
      </c>
      <c r="F14" s="38" t="s">
        <v>190</v>
      </c>
      <c r="G14" s="38" t="s">
        <v>190</v>
      </c>
      <c r="H14" s="38" t="s">
        <v>190</v>
      </c>
      <c r="I14" s="38" t="s">
        <v>190</v>
      </c>
      <c r="J14" s="38" t="s">
        <v>190</v>
      </c>
      <c r="K14" s="38" t="s">
        <v>190</v>
      </c>
      <c r="L14" s="38" t="s">
        <v>190</v>
      </c>
      <c r="M14" s="38" t="s">
        <v>190</v>
      </c>
      <c r="N14" s="38"/>
      <c r="O14" s="38"/>
      <c r="P14" s="38"/>
      <c r="Q14" s="38"/>
      <c r="R14" s="38"/>
      <c r="S14" s="38"/>
      <c r="T14" s="38"/>
      <c r="U14" s="38"/>
      <c r="V14" s="38"/>
      <c r="W14" s="39">
        <f t="shared" si="6"/>
        <v>100</v>
      </c>
      <c r="X14" s="38">
        <v>8</v>
      </c>
      <c r="Y14" s="38">
        <v>9</v>
      </c>
      <c r="Z14" s="38">
        <v>9</v>
      </c>
      <c r="AA14" s="38">
        <v>10</v>
      </c>
      <c r="AB14" s="38">
        <v>10</v>
      </c>
      <c r="AC14" s="38">
        <v>5</v>
      </c>
      <c r="AD14" s="38">
        <v>6</v>
      </c>
      <c r="AE14" s="38">
        <v>5</v>
      </c>
      <c r="AF14" s="38">
        <v>35</v>
      </c>
      <c r="AG14" s="38"/>
      <c r="AH14" s="40">
        <f t="shared" si="7"/>
        <v>88</v>
      </c>
      <c r="AI14" s="40">
        <f t="shared" si="7"/>
        <v>94</v>
      </c>
      <c r="AJ14" s="40">
        <f t="shared" si="7"/>
        <v>94</v>
      </c>
      <c r="AK14" s="40">
        <f t="shared" si="7"/>
        <v>100</v>
      </c>
      <c r="AL14" s="40">
        <f t="shared" si="7"/>
        <v>100</v>
      </c>
      <c r="AM14" s="40">
        <f t="shared" si="7"/>
        <v>70</v>
      </c>
      <c r="AN14" s="40">
        <f t="shared" si="7"/>
        <v>76</v>
      </c>
      <c r="AO14" s="40">
        <f t="shared" si="7"/>
        <v>70</v>
      </c>
      <c r="AP14" s="40">
        <f t="shared" si="7"/>
        <v>92.5</v>
      </c>
      <c r="AQ14" s="40" t="str">
        <f t="shared" si="7"/>
        <v xml:space="preserve"> </v>
      </c>
      <c r="AR14" s="41">
        <f t="shared" si="8"/>
        <v>87.166666666666671</v>
      </c>
      <c r="AS14" s="38">
        <v>100</v>
      </c>
      <c r="AT14" s="38">
        <v>100</v>
      </c>
      <c r="AU14" s="38">
        <v>100</v>
      </c>
      <c r="AV14" s="38"/>
      <c r="AW14" s="38"/>
      <c r="AX14" s="38"/>
      <c r="AY14" s="38"/>
      <c r="AZ14" s="38"/>
      <c r="BA14" s="38"/>
      <c r="BB14" s="38"/>
      <c r="BC14" s="42">
        <f t="shared" si="9"/>
        <v>100</v>
      </c>
      <c r="BD14" s="42">
        <f t="shared" si="9"/>
        <v>100</v>
      </c>
      <c r="BE14" s="42">
        <f t="shared" si="9"/>
        <v>100</v>
      </c>
      <c r="BF14" s="42" t="str">
        <f t="shared" si="9"/>
        <v xml:space="preserve"> </v>
      </c>
      <c r="BG14" s="42" t="str">
        <f t="shared" si="9"/>
        <v xml:space="preserve"> </v>
      </c>
      <c r="BH14" s="42" t="str">
        <f t="shared" si="9"/>
        <v xml:space="preserve"> </v>
      </c>
      <c r="BI14" s="42" t="str">
        <f t="shared" si="9"/>
        <v xml:space="preserve"> </v>
      </c>
      <c r="BJ14" s="42" t="str">
        <f t="shared" si="9"/>
        <v xml:space="preserve"> </v>
      </c>
      <c r="BK14" s="42" t="str">
        <f t="shared" si="9"/>
        <v xml:space="preserve"> </v>
      </c>
      <c r="BL14" s="42" t="str">
        <f t="shared" si="9"/>
        <v xml:space="preserve"> </v>
      </c>
      <c r="BM14" s="43">
        <f t="shared" si="10"/>
        <v>100</v>
      </c>
      <c r="BN14" s="38">
        <v>89</v>
      </c>
      <c r="BO14" s="44">
        <f t="shared" si="11"/>
        <v>93.4</v>
      </c>
      <c r="BP14" s="20"/>
      <c r="BQ14" s="39">
        <f t="shared" si="20"/>
        <v>93.161666666666676</v>
      </c>
      <c r="BR14" s="23" t="str">
        <f t="shared" si="21"/>
        <v>PASSED</v>
      </c>
      <c r="BS14" s="45"/>
      <c r="BT14" s="46"/>
      <c r="BU14" s="46"/>
      <c r="BV14" s="46"/>
      <c r="BW14" s="21">
        <f t="shared" si="12"/>
        <v>1</v>
      </c>
      <c r="BX14" s="22">
        <f t="shared" si="12"/>
        <v>1</v>
      </c>
      <c r="BY14" s="22">
        <f t="shared" si="12"/>
        <v>1</v>
      </c>
      <c r="BZ14" s="22">
        <f t="shared" si="12"/>
        <v>1</v>
      </c>
      <c r="CA14" s="22">
        <f t="shared" si="12"/>
        <v>1</v>
      </c>
      <c r="CB14" s="22">
        <f t="shared" si="12"/>
        <v>1</v>
      </c>
      <c r="CC14" s="22">
        <f t="shared" si="12"/>
        <v>1</v>
      </c>
      <c r="CD14" s="22">
        <f t="shared" si="12"/>
        <v>1</v>
      </c>
      <c r="CE14" s="22">
        <f t="shared" si="12"/>
        <v>1</v>
      </c>
      <c r="CF14" s="22">
        <f t="shared" si="12"/>
        <v>1</v>
      </c>
      <c r="CG14" s="22">
        <f t="shared" si="12"/>
        <v>1</v>
      </c>
      <c r="CH14" s="22" t="str">
        <f t="shared" si="12"/>
        <v/>
      </c>
      <c r="CI14" s="22" t="str">
        <f t="shared" si="12"/>
        <v/>
      </c>
      <c r="CJ14" s="22" t="str">
        <f t="shared" si="12"/>
        <v/>
      </c>
      <c r="CK14" s="22" t="str">
        <f t="shared" si="12"/>
        <v/>
      </c>
      <c r="CL14" s="22" t="str">
        <f t="shared" si="12"/>
        <v/>
      </c>
      <c r="CM14" s="22" t="str">
        <f t="shared" si="13"/>
        <v/>
      </c>
      <c r="CN14" s="22" t="str">
        <f t="shared" si="13"/>
        <v/>
      </c>
      <c r="CO14" s="22" t="str">
        <f t="shared" si="13"/>
        <v/>
      </c>
      <c r="CP14" s="22" t="str">
        <f t="shared" si="13"/>
        <v/>
      </c>
      <c r="CQ14" s="22">
        <f t="shared" si="22"/>
        <v>11</v>
      </c>
      <c r="CR14" s="22">
        <f t="shared" si="3"/>
        <v>11</v>
      </c>
      <c r="CS14" s="22" t="str">
        <f t="shared" si="14"/>
        <v/>
      </c>
      <c r="CT14" s="22" t="str">
        <f t="shared" si="14"/>
        <v/>
      </c>
      <c r="CU14" s="22" t="str">
        <f t="shared" si="14"/>
        <v/>
      </c>
      <c r="CV14" s="22" t="str">
        <f t="shared" si="14"/>
        <v/>
      </c>
      <c r="CW14" s="22" t="str">
        <f t="shared" si="14"/>
        <v/>
      </c>
      <c r="CX14" s="22" t="str">
        <f t="shared" si="14"/>
        <v/>
      </c>
      <c r="CY14" s="22" t="str">
        <f t="shared" si="14"/>
        <v/>
      </c>
      <c r="CZ14" s="22" t="str">
        <f t="shared" si="14"/>
        <v/>
      </c>
      <c r="DA14" s="22" t="str">
        <f t="shared" si="14"/>
        <v/>
      </c>
      <c r="DB14" s="22" t="str">
        <f t="shared" si="14"/>
        <v/>
      </c>
      <c r="DC14" s="22" t="str">
        <f t="shared" si="14"/>
        <v/>
      </c>
      <c r="DD14" s="22" t="str">
        <f t="shared" si="14"/>
        <v/>
      </c>
      <c r="DE14" s="22" t="str">
        <f t="shared" si="14"/>
        <v/>
      </c>
      <c r="DF14" s="22" t="str">
        <f t="shared" si="14"/>
        <v/>
      </c>
      <c r="DG14" s="22" t="str">
        <f t="shared" si="14"/>
        <v/>
      </c>
      <c r="DH14" s="22" t="str">
        <f t="shared" si="14"/>
        <v/>
      </c>
      <c r="DI14" s="22" t="str">
        <f t="shared" si="15"/>
        <v/>
      </c>
      <c r="DJ14" s="22" t="str">
        <f t="shared" si="15"/>
        <v/>
      </c>
      <c r="DK14" s="22" t="str">
        <f t="shared" si="15"/>
        <v/>
      </c>
      <c r="DL14" s="22" t="str">
        <f t="shared" si="15"/>
        <v/>
      </c>
      <c r="DM14" s="22">
        <f t="shared" si="16"/>
        <v>0</v>
      </c>
      <c r="DN14" s="36">
        <f t="shared" si="17"/>
        <v>10</v>
      </c>
      <c r="DO14" s="36">
        <f t="shared" si="17"/>
        <v>10</v>
      </c>
      <c r="DP14" s="36">
        <f t="shared" si="17"/>
        <v>10</v>
      </c>
      <c r="DQ14" s="36">
        <f t="shared" si="17"/>
        <v>10</v>
      </c>
      <c r="DR14" s="36">
        <f t="shared" si="17"/>
        <v>10</v>
      </c>
      <c r="DS14" s="36">
        <f t="shared" si="17"/>
        <v>10</v>
      </c>
      <c r="DT14" s="36">
        <f t="shared" si="17"/>
        <v>10</v>
      </c>
      <c r="DU14" s="36">
        <f t="shared" si="17"/>
        <v>10</v>
      </c>
      <c r="DV14" s="36">
        <f t="shared" si="17"/>
        <v>40</v>
      </c>
      <c r="DW14" s="36">
        <f t="shared" si="17"/>
        <v>0</v>
      </c>
      <c r="DX14" s="23">
        <f t="shared" si="17"/>
        <v>9</v>
      </c>
      <c r="DY14" s="23">
        <f t="shared" si="18"/>
        <v>100</v>
      </c>
      <c r="DZ14" s="23">
        <f t="shared" si="19"/>
        <v>100</v>
      </c>
      <c r="EA14" s="23">
        <f t="shared" si="19"/>
        <v>100</v>
      </c>
      <c r="EB14" s="23">
        <f t="shared" si="19"/>
        <v>0</v>
      </c>
      <c r="EC14" s="23">
        <f t="shared" si="19"/>
        <v>0</v>
      </c>
      <c r="ED14" s="23">
        <f t="shared" si="19"/>
        <v>0</v>
      </c>
      <c r="EE14" s="23">
        <f t="shared" si="19"/>
        <v>0</v>
      </c>
      <c r="EF14" s="23">
        <f t="shared" si="19"/>
        <v>0</v>
      </c>
      <c r="EG14" s="23">
        <f t="shared" si="19"/>
        <v>0</v>
      </c>
      <c r="EH14" s="23">
        <f t="shared" si="19"/>
        <v>0</v>
      </c>
      <c r="EI14" s="23">
        <f t="shared" si="19"/>
        <v>3</v>
      </c>
      <c r="EJ14" s="23">
        <f t="shared" si="19"/>
        <v>100</v>
      </c>
    </row>
    <row r="15" spans="1:140" ht="9.9" customHeight="1" x14ac:dyDescent="0.3">
      <c r="A15" s="23">
        <v>6</v>
      </c>
      <c r="B15" s="50" t="str">
        <f>IF(PRELIM!B15="","",PRELIM!B15)</f>
        <v>BESTUDIO, JERBY BRIX T.</v>
      </c>
      <c r="C15" s="38" t="s">
        <v>190</v>
      </c>
      <c r="D15" s="38" t="s">
        <v>190</v>
      </c>
      <c r="E15" s="38" t="s">
        <v>190</v>
      </c>
      <c r="F15" s="38" t="s">
        <v>190</v>
      </c>
      <c r="G15" s="38" t="s">
        <v>190</v>
      </c>
      <c r="H15" s="38" t="s">
        <v>190</v>
      </c>
      <c r="I15" s="38" t="s">
        <v>190</v>
      </c>
      <c r="J15" s="38" t="s">
        <v>190</v>
      </c>
      <c r="K15" s="38" t="s">
        <v>190</v>
      </c>
      <c r="L15" s="38" t="s">
        <v>190</v>
      </c>
      <c r="M15" s="38" t="s">
        <v>190</v>
      </c>
      <c r="N15" s="38"/>
      <c r="O15" s="38"/>
      <c r="P15" s="38"/>
      <c r="Q15" s="38"/>
      <c r="R15" s="38"/>
      <c r="S15" s="38"/>
      <c r="T15" s="38"/>
      <c r="U15" s="38"/>
      <c r="V15" s="38"/>
      <c r="W15" s="39">
        <f t="shared" si="6"/>
        <v>100</v>
      </c>
      <c r="X15" s="38">
        <v>4</v>
      </c>
      <c r="Y15" s="38">
        <v>8</v>
      </c>
      <c r="Z15" s="38">
        <v>8</v>
      </c>
      <c r="AA15" s="38">
        <v>7</v>
      </c>
      <c r="AB15" s="38">
        <v>9</v>
      </c>
      <c r="AC15" s="38">
        <v>5</v>
      </c>
      <c r="AD15" s="38">
        <v>7</v>
      </c>
      <c r="AE15" s="38">
        <v>3</v>
      </c>
      <c r="AF15" s="38">
        <v>32</v>
      </c>
      <c r="AG15" s="38"/>
      <c r="AH15" s="40">
        <f t="shared" si="7"/>
        <v>64</v>
      </c>
      <c r="AI15" s="40">
        <f t="shared" si="7"/>
        <v>88</v>
      </c>
      <c r="AJ15" s="40">
        <f t="shared" si="7"/>
        <v>88</v>
      </c>
      <c r="AK15" s="40">
        <f t="shared" si="7"/>
        <v>82</v>
      </c>
      <c r="AL15" s="40">
        <f t="shared" si="7"/>
        <v>94</v>
      </c>
      <c r="AM15" s="40">
        <f t="shared" si="7"/>
        <v>70</v>
      </c>
      <c r="AN15" s="40">
        <f t="shared" si="7"/>
        <v>82</v>
      </c>
      <c r="AO15" s="40">
        <f t="shared" si="7"/>
        <v>58</v>
      </c>
      <c r="AP15" s="40">
        <f t="shared" si="7"/>
        <v>88</v>
      </c>
      <c r="AQ15" s="40" t="str">
        <f t="shared" si="7"/>
        <v xml:space="preserve"> </v>
      </c>
      <c r="AR15" s="41">
        <f t="shared" si="8"/>
        <v>79.333333333333329</v>
      </c>
      <c r="AS15" s="38">
        <v>0</v>
      </c>
      <c r="AT15" s="38">
        <v>0</v>
      </c>
      <c r="AU15" s="38">
        <v>100</v>
      </c>
      <c r="AV15" s="38"/>
      <c r="AW15" s="38"/>
      <c r="AX15" s="38"/>
      <c r="AY15" s="38"/>
      <c r="AZ15" s="38"/>
      <c r="BA15" s="38"/>
      <c r="BB15" s="38"/>
      <c r="BC15" s="42">
        <f t="shared" si="9"/>
        <v>40</v>
      </c>
      <c r="BD15" s="42">
        <f t="shared" si="9"/>
        <v>40</v>
      </c>
      <c r="BE15" s="42">
        <f t="shared" si="9"/>
        <v>100</v>
      </c>
      <c r="BF15" s="42" t="str">
        <f t="shared" si="9"/>
        <v xml:space="preserve"> </v>
      </c>
      <c r="BG15" s="42" t="str">
        <f t="shared" si="9"/>
        <v xml:space="preserve"> </v>
      </c>
      <c r="BH15" s="42" t="str">
        <f t="shared" si="9"/>
        <v xml:space="preserve"> </v>
      </c>
      <c r="BI15" s="42" t="str">
        <f t="shared" si="9"/>
        <v xml:space="preserve"> </v>
      </c>
      <c r="BJ15" s="42" t="str">
        <f t="shared" si="9"/>
        <v xml:space="preserve"> </v>
      </c>
      <c r="BK15" s="42" t="str">
        <f t="shared" si="9"/>
        <v xml:space="preserve"> </v>
      </c>
      <c r="BL15" s="42" t="str">
        <f t="shared" si="9"/>
        <v xml:space="preserve"> </v>
      </c>
      <c r="BM15" s="43">
        <f t="shared" si="10"/>
        <v>60</v>
      </c>
      <c r="BN15" s="38">
        <v>71</v>
      </c>
      <c r="BO15" s="44">
        <f t="shared" si="11"/>
        <v>82.6</v>
      </c>
      <c r="BP15" s="20"/>
      <c r="BQ15" s="39">
        <f t="shared" si="20"/>
        <v>79.263333333333321</v>
      </c>
      <c r="BR15" s="23" t="str">
        <f t="shared" si="21"/>
        <v>PASSED</v>
      </c>
      <c r="BS15" s="45"/>
      <c r="BT15" s="46"/>
      <c r="BU15" s="46"/>
      <c r="BV15" s="46"/>
      <c r="BW15" s="21">
        <f t="shared" si="12"/>
        <v>1</v>
      </c>
      <c r="BX15" s="22">
        <f t="shared" si="12"/>
        <v>1</v>
      </c>
      <c r="BY15" s="22">
        <f t="shared" si="12"/>
        <v>1</v>
      </c>
      <c r="BZ15" s="22">
        <f t="shared" si="12"/>
        <v>1</v>
      </c>
      <c r="CA15" s="22">
        <f t="shared" si="12"/>
        <v>1</v>
      </c>
      <c r="CB15" s="22">
        <f t="shared" si="12"/>
        <v>1</v>
      </c>
      <c r="CC15" s="22">
        <f t="shared" si="12"/>
        <v>1</v>
      </c>
      <c r="CD15" s="22">
        <f t="shared" si="12"/>
        <v>1</v>
      </c>
      <c r="CE15" s="22">
        <f t="shared" si="12"/>
        <v>1</v>
      </c>
      <c r="CF15" s="22">
        <f t="shared" si="12"/>
        <v>1</v>
      </c>
      <c r="CG15" s="22">
        <f t="shared" si="12"/>
        <v>1</v>
      </c>
      <c r="CH15" s="22" t="str">
        <f t="shared" si="12"/>
        <v/>
      </c>
      <c r="CI15" s="22" t="str">
        <f t="shared" si="12"/>
        <v/>
      </c>
      <c r="CJ15" s="22" t="str">
        <f t="shared" si="12"/>
        <v/>
      </c>
      <c r="CK15" s="22" t="str">
        <f t="shared" si="12"/>
        <v/>
      </c>
      <c r="CL15" s="22" t="str">
        <f t="shared" si="12"/>
        <v/>
      </c>
      <c r="CM15" s="22" t="str">
        <f t="shared" si="13"/>
        <v/>
      </c>
      <c r="CN15" s="22" t="str">
        <f t="shared" si="13"/>
        <v/>
      </c>
      <c r="CO15" s="22" t="str">
        <f t="shared" si="13"/>
        <v/>
      </c>
      <c r="CP15" s="22" t="str">
        <f t="shared" si="13"/>
        <v/>
      </c>
      <c r="CQ15" s="22">
        <f t="shared" si="22"/>
        <v>11</v>
      </c>
      <c r="CR15" s="22">
        <f t="shared" si="3"/>
        <v>11</v>
      </c>
      <c r="CS15" s="22" t="str">
        <f t="shared" si="14"/>
        <v/>
      </c>
      <c r="CT15" s="22" t="str">
        <f t="shared" si="14"/>
        <v/>
      </c>
      <c r="CU15" s="22" t="str">
        <f t="shared" si="14"/>
        <v/>
      </c>
      <c r="CV15" s="22" t="str">
        <f t="shared" si="14"/>
        <v/>
      </c>
      <c r="CW15" s="22" t="str">
        <f t="shared" si="14"/>
        <v/>
      </c>
      <c r="CX15" s="22" t="str">
        <f t="shared" si="14"/>
        <v/>
      </c>
      <c r="CY15" s="22" t="str">
        <f t="shared" si="14"/>
        <v/>
      </c>
      <c r="CZ15" s="22" t="str">
        <f t="shared" si="14"/>
        <v/>
      </c>
      <c r="DA15" s="22" t="str">
        <f t="shared" si="14"/>
        <v/>
      </c>
      <c r="DB15" s="22" t="str">
        <f t="shared" si="14"/>
        <v/>
      </c>
      <c r="DC15" s="22" t="str">
        <f t="shared" si="14"/>
        <v/>
      </c>
      <c r="DD15" s="22" t="str">
        <f t="shared" si="14"/>
        <v/>
      </c>
      <c r="DE15" s="22" t="str">
        <f t="shared" si="14"/>
        <v/>
      </c>
      <c r="DF15" s="22" t="str">
        <f t="shared" si="14"/>
        <v/>
      </c>
      <c r="DG15" s="22" t="str">
        <f t="shared" si="14"/>
        <v/>
      </c>
      <c r="DH15" s="22" t="str">
        <f t="shared" si="14"/>
        <v/>
      </c>
      <c r="DI15" s="22" t="str">
        <f t="shared" si="15"/>
        <v/>
      </c>
      <c r="DJ15" s="22" t="str">
        <f t="shared" si="15"/>
        <v/>
      </c>
      <c r="DK15" s="22" t="str">
        <f t="shared" si="15"/>
        <v/>
      </c>
      <c r="DL15" s="22" t="str">
        <f t="shared" si="15"/>
        <v/>
      </c>
      <c r="DM15" s="22">
        <f t="shared" si="16"/>
        <v>0</v>
      </c>
      <c r="DN15" s="36">
        <f t="shared" si="17"/>
        <v>10</v>
      </c>
      <c r="DO15" s="36">
        <f t="shared" si="17"/>
        <v>10</v>
      </c>
      <c r="DP15" s="36">
        <f t="shared" si="17"/>
        <v>10</v>
      </c>
      <c r="DQ15" s="36">
        <f t="shared" si="17"/>
        <v>10</v>
      </c>
      <c r="DR15" s="36">
        <f t="shared" si="17"/>
        <v>10</v>
      </c>
      <c r="DS15" s="36">
        <f t="shared" si="17"/>
        <v>10</v>
      </c>
      <c r="DT15" s="36">
        <f t="shared" si="17"/>
        <v>10</v>
      </c>
      <c r="DU15" s="36">
        <f t="shared" si="17"/>
        <v>10</v>
      </c>
      <c r="DV15" s="36">
        <f t="shared" si="17"/>
        <v>40</v>
      </c>
      <c r="DW15" s="36">
        <f t="shared" si="17"/>
        <v>0</v>
      </c>
      <c r="DX15" s="23">
        <f t="shared" si="17"/>
        <v>9</v>
      </c>
      <c r="DY15" s="23">
        <f t="shared" si="18"/>
        <v>100</v>
      </c>
      <c r="DZ15" s="23">
        <f t="shared" si="19"/>
        <v>100</v>
      </c>
      <c r="EA15" s="23">
        <f t="shared" si="19"/>
        <v>100</v>
      </c>
      <c r="EB15" s="23">
        <f t="shared" si="19"/>
        <v>0</v>
      </c>
      <c r="EC15" s="23">
        <f t="shared" si="19"/>
        <v>0</v>
      </c>
      <c r="ED15" s="23">
        <f t="shared" si="19"/>
        <v>0</v>
      </c>
      <c r="EE15" s="23">
        <f t="shared" si="19"/>
        <v>0</v>
      </c>
      <c r="EF15" s="23">
        <f t="shared" si="19"/>
        <v>0</v>
      </c>
      <c r="EG15" s="23">
        <f t="shared" si="19"/>
        <v>0</v>
      </c>
      <c r="EH15" s="23">
        <f t="shared" si="19"/>
        <v>0</v>
      </c>
      <c r="EI15" s="23">
        <f t="shared" si="19"/>
        <v>3</v>
      </c>
      <c r="EJ15" s="23">
        <f t="shared" si="19"/>
        <v>100</v>
      </c>
    </row>
    <row r="16" spans="1:140" ht="9.9" customHeight="1" x14ac:dyDescent="0.3">
      <c r="A16" s="23">
        <v>7</v>
      </c>
      <c r="B16" s="50" t="str">
        <f>IF(PRELIM!B16="","",PRELIM!B16)</f>
        <v>BONGGALON, ROSELYN M.</v>
      </c>
      <c r="C16" s="38" t="s">
        <v>190</v>
      </c>
      <c r="D16" s="38" t="s">
        <v>190</v>
      </c>
      <c r="E16" s="38" t="s">
        <v>190</v>
      </c>
      <c r="F16" s="38" t="s">
        <v>190</v>
      </c>
      <c r="G16" s="38" t="s">
        <v>190</v>
      </c>
      <c r="H16" s="38" t="s">
        <v>190</v>
      </c>
      <c r="I16" s="38" t="s">
        <v>190</v>
      </c>
      <c r="J16" s="38" t="s">
        <v>190</v>
      </c>
      <c r="K16" s="38" t="s">
        <v>190</v>
      </c>
      <c r="L16" s="38" t="s">
        <v>190</v>
      </c>
      <c r="M16" s="38" t="s">
        <v>190</v>
      </c>
      <c r="N16" s="38"/>
      <c r="O16" s="38"/>
      <c r="P16" s="38"/>
      <c r="Q16" s="38"/>
      <c r="R16" s="38"/>
      <c r="S16" s="38"/>
      <c r="T16" s="38"/>
      <c r="U16" s="38"/>
      <c r="V16" s="38"/>
      <c r="W16" s="39">
        <f t="shared" si="6"/>
        <v>100</v>
      </c>
      <c r="X16" s="38">
        <v>5</v>
      </c>
      <c r="Y16" s="38">
        <v>8</v>
      </c>
      <c r="Z16" s="38">
        <v>9</v>
      </c>
      <c r="AA16" s="38">
        <v>5</v>
      </c>
      <c r="AB16" s="38">
        <v>6</v>
      </c>
      <c r="AC16" s="38">
        <v>3</v>
      </c>
      <c r="AD16" s="38">
        <v>3</v>
      </c>
      <c r="AE16" s="38">
        <v>2</v>
      </c>
      <c r="AF16" s="38">
        <v>16</v>
      </c>
      <c r="AG16" s="38"/>
      <c r="AH16" s="40">
        <f t="shared" si="7"/>
        <v>70</v>
      </c>
      <c r="AI16" s="40">
        <f t="shared" si="7"/>
        <v>88</v>
      </c>
      <c r="AJ16" s="40">
        <f t="shared" si="7"/>
        <v>94</v>
      </c>
      <c r="AK16" s="40">
        <f t="shared" si="7"/>
        <v>70</v>
      </c>
      <c r="AL16" s="40">
        <f t="shared" si="7"/>
        <v>76</v>
      </c>
      <c r="AM16" s="40">
        <f t="shared" si="7"/>
        <v>58</v>
      </c>
      <c r="AN16" s="40">
        <f t="shared" si="7"/>
        <v>58</v>
      </c>
      <c r="AO16" s="40">
        <f t="shared" si="7"/>
        <v>52</v>
      </c>
      <c r="AP16" s="40">
        <f t="shared" si="7"/>
        <v>64</v>
      </c>
      <c r="AQ16" s="40" t="str">
        <f t="shared" si="7"/>
        <v xml:space="preserve"> </v>
      </c>
      <c r="AR16" s="41">
        <f t="shared" si="8"/>
        <v>70</v>
      </c>
      <c r="AS16" s="38">
        <v>100</v>
      </c>
      <c r="AT16" s="38">
        <v>100</v>
      </c>
      <c r="AU16" s="38">
        <v>100</v>
      </c>
      <c r="AV16" s="38"/>
      <c r="AW16" s="38"/>
      <c r="AX16" s="38"/>
      <c r="AY16" s="38"/>
      <c r="AZ16" s="38"/>
      <c r="BA16" s="38"/>
      <c r="BB16" s="38"/>
      <c r="BC16" s="42">
        <f t="shared" si="9"/>
        <v>100</v>
      </c>
      <c r="BD16" s="42">
        <f t="shared" si="9"/>
        <v>100</v>
      </c>
      <c r="BE16" s="42">
        <f t="shared" si="9"/>
        <v>100</v>
      </c>
      <c r="BF16" s="42" t="str">
        <f t="shared" si="9"/>
        <v xml:space="preserve"> </v>
      </c>
      <c r="BG16" s="42" t="str">
        <f t="shared" si="9"/>
        <v xml:space="preserve"> </v>
      </c>
      <c r="BH16" s="42" t="str">
        <f t="shared" si="9"/>
        <v xml:space="preserve"> </v>
      </c>
      <c r="BI16" s="42" t="str">
        <f t="shared" si="9"/>
        <v xml:space="preserve"> </v>
      </c>
      <c r="BJ16" s="42" t="str">
        <f t="shared" si="9"/>
        <v xml:space="preserve"> </v>
      </c>
      <c r="BK16" s="42" t="str">
        <f t="shared" si="9"/>
        <v xml:space="preserve"> </v>
      </c>
      <c r="BL16" s="42" t="str">
        <f t="shared" si="9"/>
        <v xml:space="preserve"> </v>
      </c>
      <c r="BM16" s="43">
        <f t="shared" si="10"/>
        <v>100</v>
      </c>
      <c r="BN16" s="38">
        <v>48</v>
      </c>
      <c r="BO16" s="44">
        <f t="shared" si="11"/>
        <v>68.8</v>
      </c>
      <c r="BP16" s="20"/>
      <c r="BQ16" s="39">
        <f t="shared" si="20"/>
        <v>75.34</v>
      </c>
      <c r="BR16" s="23" t="str">
        <f t="shared" si="21"/>
        <v>PASSED</v>
      </c>
      <c r="BS16" s="45"/>
      <c r="BT16" s="46"/>
      <c r="BU16" s="46"/>
      <c r="BV16" s="46"/>
      <c r="BW16" s="21">
        <f t="shared" si="12"/>
        <v>1</v>
      </c>
      <c r="BX16" s="22">
        <f t="shared" si="12"/>
        <v>1</v>
      </c>
      <c r="BY16" s="22">
        <f t="shared" si="12"/>
        <v>1</v>
      </c>
      <c r="BZ16" s="22">
        <f t="shared" si="12"/>
        <v>1</v>
      </c>
      <c r="CA16" s="22">
        <f t="shared" si="12"/>
        <v>1</v>
      </c>
      <c r="CB16" s="22">
        <f t="shared" si="12"/>
        <v>1</v>
      </c>
      <c r="CC16" s="22">
        <f t="shared" si="12"/>
        <v>1</v>
      </c>
      <c r="CD16" s="22">
        <f t="shared" si="12"/>
        <v>1</v>
      </c>
      <c r="CE16" s="22">
        <f t="shared" si="12"/>
        <v>1</v>
      </c>
      <c r="CF16" s="22">
        <f t="shared" si="12"/>
        <v>1</v>
      </c>
      <c r="CG16" s="22">
        <f t="shared" si="12"/>
        <v>1</v>
      </c>
      <c r="CH16" s="22" t="str">
        <f t="shared" si="12"/>
        <v/>
      </c>
      <c r="CI16" s="22" t="str">
        <f t="shared" si="12"/>
        <v/>
      </c>
      <c r="CJ16" s="22" t="str">
        <f t="shared" si="12"/>
        <v/>
      </c>
      <c r="CK16" s="22" t="str">
        <f t="shared" si="12"/>
        <v/>
      </c>
      <c r="CL16" s="22" t="str">
        <f t="shared" si="12"/>
        <v/>
      </c>
      <c r="CM16" s="22" t="str">
        <f t="shared" si="13"/>
        <v/>
      </c>
      <c r="CN16" s="22" t="str">
        <f t="shared" si="13"/>
        <v/>
      </c>
      <c r="CO16" s="22" t="str">
        <f t="shared" si="13"/>
        <v/>
      </c>
      <c r="CP16" s="22" t="str">
        <f t="shared" si="13"/>
        <v/>
      </c>
      <c r="CQ16" s="22">
        <f t="shared" si="22"/>
        <v>11</v>
      </c>
      <c r="CR16" s="22">
        <f t="shared" si="3"/>
        <v>11</v>
      </c>
      <c r="CS16" s="22" t="str">
        <f t="shared" si="14"/>
        <v/>
      </c>
      <c r="CT16" s="22" t="str">
        <f t="shared" si="14"/>
        <v/>
      </c>
      <c r="CU16" s="22" t="str">
        <f t="shared" si="14"/>
        <v/>
      </c>
      <c r="CV16" s="22" t="str">
        <f t="shared" si="14"/>
        <v/>
      </c>
      <c r="CW16" s="22" t="str">
        <f t="shared" si="14"/>
        <v/>
      </c>
      <c r="CX16" s="22" t="str">
        <f t="shared" si="14"/>
        <v/>
      </c>
      <c r="CY16" s="22" t="str">
        <f t="shared" si="14"/>
        <v/>
      </c>
      <c r="CZ16" s="22" t="str">
        <f t="shared" si="14"/>
        <v/>
      </c>
      <c r="DA16" s="22" t="str">
        <f t="shared" si="14"/>
        <v/>
      </c>
      <c r="DB16" s="22" t="str">
        <f t="shared" si="14"/>
        <v/>
      </c>
      <c r="DC16" s="22" t="str">
        <f t="shared" si="14"/>
        <v/>
      </c>
      <c r="DD16" s="22" t="str">
        <f t="shared" si="14"/>
        <v/>
      </c>
      <c r="DE16" s="22" t="str">
        <f t="shared" si="14"/>
        <v/>
      </c>
      <c r="DF16" s="22" t="str">
        <f t="shared" si="14"/>
        <v/>
      </c>
      <c r="DG16" s="22" t="str">
        <f t="shared" si="14"/>
        <v/>
      </c>
      <c r="DH16" s="22" t="str">
        <f t="shared" si="14"/>
        <v/>
      </c>
      <c r="DI16" s="22" t="str">
        <f t="shared" si="15"/>
        <v/>
      </c>
      <c r="DJ16" s="22" t="str">
        <f t="shared" si="15"/>
        <v/>
      </c>
      <c r="DK16" s="22" t="str">
        <f t="shared" si="15"/>
        <v/>
      </c>
      <c r="DL16" s="22" t="str">
        <f t="shared" si="15"/>
        <v/>
      </c>
      <c r="DM16" s="22">
        <f t="shared" si="16"/>
        <v>0</v>
      </c>
      <c r="DN16" s="36">
        <f t="shared" si="17"/>
        <v>10</v>
      </c>
      <c r="DO16" s="36">
        <f t="shared" si="17"/>
        <v>10</v>
      </c>
      <c r="DP16" s="36">
        <f t="shared" si="17"/>
        <v>10</v>
      </c>
      <c r="DQ16" s="36">
        <f t="shared" si="17"/>
        <v>10</v>
      </c>
      <c r="DR16" s="36">
        <f t="shared" si="17"/>
        <v>10</v>
      </c>
      <c r="DS16" s="36">
        <f t="shared" si="17"/>
        <v>10</v>
      </c>
      <c r="DT16" s="36">
        <f t="shared" si="17"/>
        <v>10</v>
      </c>
      <c r="DU16" s="36">
        <f t="shared" si="17"/>
        <v>10</v>
      </c>
      <c r="DV16" s="36">
        <f t="shared" si="17"/>
        <v>40</v>
      </c>
      <c r="DW16" s="36">
        <f t="shared" si="17"/>
        <v>0</v>
      </c>
      <c r="DX16" s="23">
        <f t="shared" si="17"/>
        <v>9</v>
      </c>
      <c r="DY16" s="23">
        <f t="shared" si="18"/>
        <v>100</v>
      </c>
      <c r="DZ16" s="23">
        <f t="shared" si="19"/>
        <v>100</v>
      </c>
      <c r="EA16" s="23">
        <f t="shared" si="19"/>
        <v>100</v>
      </c>
      <c r="EB16" s="23">
        <f t="shared" si="19"/>
        <v>0</v>
      </c>
      <c r="EC16" s="23">
        <f t="shared" si="19"/>
        <v>0</v>
      </c>
      <c r="ED16" s="23">
        <f t="shared" si="19"/>
        <v>0</v>
      </c>
      <c r="EE16" s="23">
        <f t="shared" si="19"/>
        <v>0</v>
      </c>
      <c r="EF16" s="23">
        <f t="shared" si="19"/>
        <v>0</v>
      </c>
      <c r="EG16" s="23">
        <f t="shared" si="19"/>
        <v>0</v>
      </c>
      <c r="EH16" s="23">
        <f t="shared" si="19"/>
        <v>0</v>
      </c>
      <c r="EI16" s="23">
        <f t="shared" si="19"/>
        <v>3</v>
      </c>
      <c r="EJ16" s="23">
        <f t="shared" si="19"/>
        <v>100</v>
      </c>
    </row>
    <row r="17" spans="1:140" ht="9.9" customHeight="1" x14ac:dyDescent="0.3">
      <c r="A17" s="23">
        <v>8</v>
      </c>
      <c r="B17" s="50" t="str">
        <f>IF(PRELIM!B17="","",PRELIM!B17)</f>
        <v>CABANIG, JOYCE D.</v>
      </c>
      <c r="C17" s="38" t="s">
        <v>190</v>
      </c>
      <c r="D17" s="38" t="s">
        <v>190</v>
      </c>
      <c r="E17" s="38" t="s">
        <v>190</v>
      </c>
      <c r="F17" s="38" t="s">
        <v>190</v>
      </c>
      <c r="G17" s="38" t="s">
        <v>190</v>
      </c>
      <c r="H17" s="38" t="s">
        <v>190</v>
      </c>
      <c r="I17" s="38" t="s">
        <v>190</v>
      </c>
      <c r="J17" s="38" t="s">
        <v>190</v>
      </c>
      <c r="K17" s="38" t="s">
        <v>190</v>
      </c>
      <c r="L17" s="38" t="s">
        <v>190</v>
      </c>
      <c r="M17" s="38" t="s">
        <v>190</v>
      </c>
      <c r="N17" s="38"/>
      <c r="O17" s="38"/>
      <c r="P17" s="38"/>
      <c r="Q17" s="38"/>
      <c r="R17" s="38"/>
      <c r="S17" s="38"/>
      <c r="T17" s="38"/>
      <c r="U17" s="38"/>
      <c r="V17" s="38"/>
      <c r="W17" s="39">
        <f t="shared" si="6"/>
        <v>100</v>
      </c>
      <c r="X17" s="38">
        <v>6</v>
      </c>
      <c r="Y17" s="38">
        <v>7</v>
      </c>
      <c r="Z17" s="38">
        <v>8</v>
      </c>
      <c r="AA17" s="38">
        <v>9</v>
      </c>
      <c r="AB17" s="38">
        <v>8</v>
      </c>
      <c r="AC17" s="38">
        <v>6</v>
      </c>
      <c r="AD17" s="38">
        <v>3</v>
      </c>
      <c r="AE17" s="38">
        <v>5</v>
      </c>
      <c r="AF17" s="38">
        <v>22</v>
      </c>
      <c r="AG17" s="38"/>
      <c r="AH17" s="40">
        <f t="shared" si="7"/>
        <v>76</v>
      </c>
      <c r="AI17" s="40">
        <f t="shared" si="7"/>
        <v>82</v>
      </c>
      <c r="AJ17" s="40">
        <f t="shared" si="7"/>
        <v>88</v>
      </c>
      <c r="AK17" s="40">
        <f t="shared" si="7"/>
        <v>94</v>
      </c>
      <c r="AL17" s="40">
        <f t="shared" si="7"/>
        <v>88</v>
      </c>
      <c r="AM17" s="40">
        <f t="shared" si="7"/>
        <v>76</v>
      </c>
      <c r="AN17" s="40">
        <f t="shared" si="7"/>
        <v>58</v>
      </c>
      <c r="AO17" s="40">
        <f t="shared" si="7"/>
        <v>70</v>
      </c>
      <c r="AP17" s="40">
        <f t="shared" si="7"/>
        <v>73</v>
      </c>
      <c r="AQ17" s="40" t="str">
        <f t="shared" si="7"/>
        <v xml:space="preserve"> </v>
      </c>
      <c r="AR17" s="41">
        <f t="shared" si="8"/>
        <v>78.333333333333329</v>
      </c>
      <c r="AS17" s="38">
        <v>100</v>
      </c>
      <c r="AT17" s="38">
        <v>100</v>
      </c>
      <c r="AU17" s="38">
        <v>100</v>
      </c>
      <c r="AV17" s="38"/>
      <c r="AW17" s="38"/>
      <c r="AX17" s="38"/>
      <c r="AY17" s="38"/>
      <c r="AZ17" s="38"/>
      <c r="BA17" s="38"/>
      <c r="BB17" s="38"/>
      <c r="BC17" s="42">
        <f t="shared" si="9"/>
        <v>100</v>
      </c>
      <c r="BD17" s="42">
        <f t="shared" si="9"/>
        <v>100</v>
      </c>
      <c r="BE17" s="42">
        <f t="shared" si="9"/>
        <v>100</v>
      </c>
      <c r="BF17" s="42" t="str">
        <f t="shared" si="9"/>
        <v xml:space="preserve"> </v>
      </c>
      <c r="BG17" s="42" t="str">
        <f t="shared" si="9"/>
        <v xml:space="preserve"> </v>
      </c>
      <c r="BH17" s="42" t="str">
        <f t="shared" si="9"/>
        <v xml:space="preserve"> </v>
      </c>
      <c r="BI17" s="42" t="str">
        <f t="shared" si="9"/>
        <v xml:space="preserve"> </v>
      </c>
      <c r="BJ17" s="42" t="str">
        <f t="shared" si="9"/>
        <v xml:space="preserve"> </v>
      </c>
      <c r="BK17" s="42" t="str">
        <f t="shared" si="9"/>
        <v xml:space="preserve"> </v>
      </c>
      <c r="BL17" s="42" t="str">
        <f t="shared" si="9"/>
        <v xml:space="preserve"> </v>
      </c>
      <c r="BM17" s="43">
        <f t="shared" si="10"/>
        <v>100</v>
      </c>
      <c r="BN17" s="38">
        <v>58</v>
      </c>
      <c r="BO17" s="44">
        <f t="shared" si="11"/>
        <v>74.8</v>
      </c>
      <c r="BP17" s="20"/>
      <c r="BQ17" s="39">
        <f t="shared" si="20"/>
        <v>80.723333333333329</v>
      </c>
      <c r="BR17" s="23" t="str">
        <f t="shared" si="21"/>
        <v>PASSED</v>
      </c>
      <c r="BS17" s="45"/>
      <c r="BT17" s="46"/>
      <c r="BU17" s="46"/>
      <c r="BV17" s="46"/>
      <c r="BW17" s="21">
        <f t="shared" si="12"/>
        <v>1</v>
      </c>
      <c r="BX17" s="22">
        <f t="shared" si="12"/>
        <v>1</v>
      </c>
      <c r="BY17" s="22">
        <f t="shared" si="12"/>
        <v>1</v>
      </c>
      <c r="BZ17" s="22">
        <f t="shared" si="12"/>
        <v>1</v>
      </c>
      <c r="CA17" s="22">
        <f t="shared" si="12"/>
        <v>1</v>
      </c>
      <c r="CB17" s="22">
        <f t="shared" si="12"/>
        <v>1</v>
      </c>
      <c r="CC17" s="22">
        <f t="shared" si="12"/>
        <v>1</v>
      </c>
      <c r="CD17" s="22">
        <f t="shared" si="12"/>
        <v>1</v>
      </c>
      <c r="CE17" s="22">
        <f t="shared" si="12"/>
        <v>1</v>
      </c>
      <c r="CF17" s="22">
        <f t="shared" si="12"/>
        <v>1</v>
      </c>
      <c r="CG17" s="22">
        <f t="shared" si="12"/>
        <v>1</v>
      </c>
      <c r="CH17" s="22" t="str">
        <f t="shared" si="12"/>
        <v/>
      </c>
      <c r="CI17" s="22" t="str">
        <f t="shared" si="12"/>
        <v/>
      </c>
      <c r="CJ17" s="22" t="str">
        <f t="shared" si="12"/>
        <v/>
      </c>
      <c r="CK17" s="22" t="str">
        <f t="shared" si="12"/>
        <v/>
      </c>
      <c r="CL17" s="22" t="str">
        <f t="shared" si="12"/>
        <v/>
      </c>
      <c r="CM17" s="22" t="str">
        <f t="shared" si="13"/>
        <v/>
      </c>
      <c r="CN17" s="22" t="str">
        <f t="shared" si="13"/>
        <v/>
      </c>
      <c r="CO17" s="22" t="str">
        <f t="shared" si="13"/>
        <v/>
      </c>
      <c r="CP17" s="22" t="str">
        <f t="shared" si="13"/>
        <v/>
      </c>
      <c r="CQ17" s="22">
        <f t="shared" si="22"/>
        <v>11</v>
      </c>
      <c r="CR17" s="22">
        <f t="shared" si="3"/>
        <v>11</v>
      </c>
      <c r="CS17" s="22" t="str">
        <f t="shared" si="14"/>
        <v/>
      </c>
      <c r="CT17" s="22" t="str">
        <f t="shared" si="14"/>
        <v/>
      </c>
      <c r="CU17" s="22" t="str">
        <f t="shared" si="14"/>
        <v/>
      </c>
      <c r="CV17" s="22" t="str">
        <f t="shared" si="14"/>
        <v/>
      </c>
      <c r="CW17" s="22" t="str">
        <f t="shared" si="14"/>
        <v/>
      </c>
      <c r="CX17" s="22" t="str">
        <f t="shared" si="14"/>
        <v/>
      </c>
      <c r="CY17" s="22" t="str">
        <f t="shared" si="14"/>
        <v/>
      </c>
      <c r="CZ17" s="22" t="str">
        <f t="shared" si="14"/>
        <v/>
      </c>
      <c r="DA17" s="22" t="str">
        <f t="shared" si="14"/>
        <v/>
      </c>
      <c r="DB17" s="22" t="str">
        <f t="shared" si="14"/>
        <v/>
      </c>
      <c r="DC17" s="22" t="str">
        <f t="shared" si="14"/>
        <v/>
      </c>
      <c r="DD17" s="22" t="str">
        <f t="shared" si="14"/>
        <v/>
      </c>
      <c r="DE17" s="22" t="str">
        <f t="shared" si="14"/>
        <v/>
      </c>
      <c r="DF17" s="22" t="str">
        <f t="shared" si="14"/>
        <v/>
      </c>
      <c r="DG17" s="22" t="str">
        <f t="shared" si="14"/>
        <v/>
      </c>
      <c r="DH17" s="22" t="str">
        <f t="shared" si="14"/>
        <v/>
      </c>
      <c r="DI17" s="22" t="str">
        <f t="shared" si="15"/>
        <v/>
      </c>
      <c r="DJ17" s="22" t="str">
        <f t="shared" si="15"/>
        <v/>
      </c>
      <c r="DK17" s="22" t="str">
        <f t="shared" si="15"/>
        <v/>
      </c>
      <c r="DL17" s="22" t="str">
        <f t="shared" si="15"/>
        <v/>
      </c>
      <c r="DM17" s="22">
        <f t="shared" si="16"/>
        <v>0</v>
      </c>
      <c r="DN17" s="36">
        <f t="shared" si="17"/>
        <v>10</v>
      </c>
      <c r="DO17" s="36">
        <f t="shared" si="17"/>
        <v>10</v>
      </c>
      <c r="DP17" s="36">
        <f t="shared" si="17"/>
        <v>10</v>
      </c>
      <c r="DQ17" s="36">
        <f t="shared" si="17"/>
        <v>10</v>
      </c>
      <c r="DR17" s="36">
        <f t="shared" si="17"/>
        <v>10</v>
      </c>
      <c r="DS17" s="36">
        <f t="shared" si="17"/>
        <v>10</v>
      </c>
      <c r="DT17" s="36">
        <f t="shared" si="17"/>
        <v>10</v>
      </c>
      <c r="DU17" s="36">
        <f t="shared" si="17"/>
        <v>10</v>
      </c>
      <c r="DV17" s="36">
        <f t="shared" si="17"/>
        <v>40</v>
      </c>
      <c r="DW17" s="36">
        <f t="shared" si="17"/>
        <v>0</v>
      </c>
      <c r="DX17" s="23">
        <f t="shared" si="17"/>
        <v>9</v>
      </c>
      <c r="DY17" s="23">
        <f t="shared" si="18"/>
        <v>100</v>
      </c>
      <c r="DZ17" s="23">
        <f t="shared" si="19"/>
        <v>100</v>
      </c>
      <c r="EA17" s="23">
        <f t="shared" si="19"/>
        <v>100</v>
      </c>
      <c r="EB17" s="23">
        <f t="shared" si="19"/>
        <v>0</v>
      </c>
      <c r="EC17" s="23">
        <f t="shared" si="19"/>
        <v>0</v>
      </c>
      <c r="ED17" s="23">
        <f t="shared" si="19"/>
        <v>0</v>
      </c>
      <c r="EE17" s="23">
        <f t="shared" si="19"/>
        <v>0</v>
      </c>
      <c r="EF17" s="23">
        <f t="shared" si="19"/>
        <v>0</v>
      </c>
      <c r="EG17" s="23">
        <f t="shared" si="19"/>
        <v>0</v>
      </c>
      <c r="EH17" s="23">
        <f t="shared" si="19"/>
        <v>0</v>
      </c>
      <c r="EI17" s="23">
        <f t="shared" si="19"/>
        <v>3</v>
      </c>
      <c r="EJ17" s="23">
        <f t="shared" si="19"/>
        <v>100</v>
      </c>
    </row>
    <row r="18" spans="1:140" ht="9.9" customHeight="1" x14ac:dyDescent="0.3">
      <c r="A18" s="23">
        <v>9</v>
      </c>
      <c r="B18" s="50" t="str">
        <f>IF(PRELIM!B18="","",PRELIM!B18)</f>
        <v>DELEGUER JR., WYNIEL M.</v>
      </c>
      <c r="C18" s="38" t="s">
        <v>190</v>
      </c>
      <c r="D18" s="38" t="s">
        <v>190</v>
      </c>
      <c r="E18" s="38" t="s">
        <v>190</v>
      </c>
      <c r="F18" s="38" t="s">
        <v>190</v>
      </c>
      <c r="G18" s="38" t="s">
        <v>190</v>
      </c>
      <c r="H18" s="38" t="s">
        <v>190</v>
      </c>
      <c r="I18" s="38" t="s">
        <v>190</v>
      </c>
      <c r="J18" s="38" t="s">
        <v>190</v>
      </c>
      <c r="K18" s="38" t="s">
        <v>190</v>
      </c>
      <c r="L18" s="38" t="s">
        <v>190</v>
      </c>
      <c r="M18" s="38" t="s">
        <v>190</v>
      </c>
      <c r="N18" s="38"/>
      <c r="O18" s="38"/>
      <c r="P18" s="38"/>
      <c r="Q18" s="38"/>
      <c r="R18" s="38"/>
      <c r="S18" s="38"/>
      <c r="T18" s="38"/>
      <c r="U18" s="38"/>
      <c r="V18" s="38"/>
      <c r="W18" s="39">
        <f t="shared" si="6"/>
        <v>100</v>
      </c>
      <c r="X18" s="38">
        <v>5</v>
      </c>
      <c r="Y18" s="38">
        <v>6</v>
      </c>
      <c r="Z18" s="38">
        <v>7</v>
      </c>
      <c r="AA18" s="38">
        <v>8</v>
      </c>
      <c r="AB18" s="38">
        <v>6</v>
      </c>
      <c r="AC18" s="38">
        <v>4</v>
      </c>
      <c r="AD18" s="38">
        <v>7</v>
      </c>
      <c r="AE18" s="38">
        <v>3</v>
      </c>
      <c r="AF18" s="38">
        <v>26</v>
      </c>
      <c r="AG18" s="38"/>
      <c r="AH18" s="40">
        <f t="shared" si="7"/>
        <v>70</v>
      </c>
      <c r="AI18" s="40">
        <f t="shared" si="7"/>
        <v>76</v>
      </c>
      <c r="AJ18" s="40">
        <f t="shared" si="7"/>
        <v>82</v>
      </c>
      <c r="AK18" s="40">
        <f t="shared" si="7"/>
        <v>88</v>
      </c>
      <c r="AL18" s="40">
        <f t="shared" si="7"/>
        <v>76</v>
      </c>
      <c r="AM18" s="40">
        <f t="shared" si="7"/>
        <v>64</v>
      </c>
      <c r="AN18" s="40">
        <f t="shared" si="7"/>
        <v>82</v>
      </c>
      <c r="AO18" s="40">
        <f t="shared" si="7"/>
        <v>58</v>
      </c>
      <c r="AP18" s="40">
        <f t="shared" si="7"/>
        <v>79</v>
      </c>
      <c r="AQ18" s="40" t="str">
        <f t="shared" si="7"/>
        <v xml:space="preserve"> </v>
      </c>
      <c r="AR18" s="41">
        <f t="shared" si="8"/>
        <v>75</v>
      </c>
      <c r="AS18" s="38">
        <v>0</v>
      </c>
      <c r="AT18" s="38">
        <v>0</v>
      </c>
      <c r="AU18" s="38">
        <v>100</v>
      </c>
      <c r="AV18" s="38"/>
      <c r="AW18" s="38"/>
      <c r="AX18" s="38"/>
      <c r="AY18" s="38"/>
      <c r="AZ18" s="38"/>
      <c r="BA18" s="38"/>
      <c r="BB18" s="38"/>
      <c r="BC18" s="42">
        <f t="shared" si="9"/>
        <v>40</v>
      </c>
      <c r="BD18" s="42">
        <f t="shared" si="9"/>
        <v>40</v>
      </c>
      <c r="BE18" s="42">
        <f t="shared" si="9"/>
        <v>100</v>
      </c>
      <c r="BF18" s="42" t="str">
        <f t="shared" si="9"/>
        <v xml:space="preserve"> </v>
      </c>
      <c r="BG18" s="42" t="str">
        <f t="shared" si="9"/>
        <v xml:space="preserve"> </v>
      </c>
      <c r="BH18" s="42" t="str">
        <f t="shared" si="9"/>
        <v xml:space="preserve"> </v>
      </c>
      <c r="BI18" s="42" t="str">
        <f t="shared" si="9"/>
        <v xml:space="preserve"> </v>
      </c>
      <c r="BJ18" s="42" t="str">
        <f t="shared" si="9"/>
        <v xml:space="preserve"> </v>
      </c>
      <c r="BK18" s="42" t="str">
        <f t="shared" si="9"/>
        <v xml:space="preserve"> </v>
      </c>
      <c r="BL18" s="42" t="str">
        <f t="shared" si="9"/>
        <v xml:space="preserve"> </v>
      </c>
      <c r="BM18" s="43">
        <f t="shared" si="10"/>
        <v>60</v>
      </c>
      <c r="BN18" s="38">
        <v>57</v>
      </c>
      <c r="BO18" s="44">
        <f t="shared" si="11"/>
        <v>74.199999999999989</v>
      </c>
      <c r="BP18" s="20"/>
      <c r="BQ18" s="39">
        <f t="shared" si="20"/>
        <v>73.56</v>
      </c>
      <c r="BR18" s="23" t="str">
        <f t="shared" si="21"/>
        <v>FAILED</v>
      </c>
      <c r="BS18" s="45"/>
      <c r="BT18" s="46"/>
      <c r="BU18" s="46"/>
      <c r="BV18" s="46"/>
      <c r="BW18" s="21">
        <f t="shared" si="12"/>
        <v>1</v>
      </c>
      <c r="BX18" s="22">
        <f t="shared" si="12"/>
        <v>1</v>
      </c>
      <c r="BY18" s="22">
        <f t="shared" si="12"/>
        <v>1</v>
      </c>
      <c r="BZ18" s="22">
        <f t="shared" si="12"/>
        <v>1</v>
      </c>
      <c r="CA18" s="22">
        <f t="shared" si="12"/>
        <v>1</v>
      </c>
      <c r="CB18" s="22">
        <f t="shared" si="12"/>
        <v>1</v>
      </c>
      <c r="CC18" s="22">
        <f t="shared" si="12"/>
        <v>1</v>
      </c>
      <c r="CD18" s="22">
        <f t="shared" si="12"/>
        <v>1</v>
      </c>
      <c r="CE18" s="22">
        <f t="shared" si="12"/>
        <v>1</v>
      </c>
      <c r="CF18" s="22">
        <f t="shared" si="12"/>
        <v>1</v>
      </c>
      <c r="CG18" s="22">
        <f t="shared" si="12"/>
        <v>1</v>
      </c>
      <c r="CH18" s="22" t="str">
        <f t="shared" si="12"/>
        <v/>
      </c>
      <c r="CI18" s="22" t="str">
        <f t="shared" si="12"/>
        <v/>
      </c>
      <c r="CJ18" s="22" t="str">
        <f t="shared" si="12"/>
        <v/>
      </c>
      <c r="CK18" s="22" t="str">
        <f t="shared" si="12"/>
        <v/>
      </c>
      <c r="CL18" s="22" t="str">
        <f t="shared" si="12"/>
        <v/>
      </c>
      <c r="CM18" s="22" t="str">
        <f t="shared" si="13"/>
        <v/>
      </c>
      <c r="CN18" s="22" t="str">
        <f t="shared" si="13"/>
        <v/>
      </c>
      <c r="CO18" s="22" t="str">
        <f t="shared" si="13"/>
        <v/>
      </c>
      <c r="CP18" s="22" t="str">
        <f t="shared" si="13"/>
        <v/>
      </c>
      <c r="CQ18" s="22">
        <f t="shared" si="22"/>
        <v>11</v>
      </c>
      <c r="CR18" s="22">
        <f t="shared" si="3"/>
        <v>11</v>
      </c>
      <c r="CS18" s="22" t="str">
        <f t="shared" si="14"/>
        <v/>
      </c>
      <c r="CT18" s="22" t="str">
        <f t="shared" si="14"/>
        <v/>
      </c>
      <c r="CU18" s="22" t="str">
        <f t="shared" si="14"/>
        <v/>
      </c>
      <c r="CV18" s="22" t="str">
        <f t="shared" si="14"/>
        <v/>
      </c>
      <c r="CW18" s="22" t="str">
        <f t="shared" si="14"/>
        <v/>
      </c>
      <c r="CX18" s="22" t="str">
        <f t="shared" si="14"/>
        <v/>
      </c>
      <c r="CY18" s="22" t="str">
        <f t="shared" si="14"/>
        <v/>
      </c>
      <c r="CZ18" s="22" t="str">
        <f t="shared" si="14"/>
        <v/>
      </c>
      <c r="DA18" s="22" t="str">
        <f t="shared" si="14"/>
        <v/>
      </c>
      <c r="DB18" s="22" t="str">
        <f t="shared" si="14"/>
        <v/>
      </c>
      <c r="DC18" s="22" t="str">
        <f t="shared" si="14"/>
        <v/>
      </c>
      <c r="DD18" s="22" t="str">
        <f t="shared" si="14"/>
        <v/>
      </c>
      <c r="DE18" s="22" t="str">
        <f t="shared" si="14"/>
        <v/>
      </c>
      <c r="DF18" s="22" t="str">
        <f t="shared" si="14"/>
        <v/>
      </c>
      <c r="DG18" s="22" t="str">
        <f t="shared" si="14"/>
        <v/>
      </c>
      <c r="DH18" s="22" t="str">
        <f t="shared" si="14"/>
        <v/>
      </c>
      <c r="DI18" s="22" t="str">
        <f t="shared" si="15"/>
        <v/>
      </c>
      <c r="DJ18" s="22" t="str">
        <f t="shared" si="15"/>
        <v/>
      </c>
      <c r="DK18" s="22" t="str">
        <f t="shared" si="15"/>
        <v/>
      </c>
      <c r="DL18" s="22" t="str">
        <f t="shared" si="15"/>
        <v/>
      </c>
      <c r="DM18" s="22">
        <f t="shared" si="16"/>
        <v>0</v>
      </c>
      <c r="DN18" s="36">
        <f t="shared" si="17"/>
        <v>10</v>
      </c>
      <c r="DO18" s="36">
        <f t="shared" si="17"/>
        <v>10</v>
      </c>
      <c r="DP18" s="36">
        <f t="shared" si="17"/>
        <v>10</v>
      </c>
      <c r="DQ18" s="36">
        <f t="shared" si="17"/>
        <v>10</v>
      </c>
      <c r="DR18" s="36">
        <f t="shared" si="17"/>
        <v>10</v>
      </c>
      <c r="DS18" s="36">
        <f t="shared" si="17"/>
        <v>10</v>
      </c>
      <c r="DT18" s="36">
        <f t="shared" si="17"/>
        <v>10</v>
      </c>
      <c r="DU18" s="36">
        <f t="shared" si="17"/>
        <v>10</v>
      </c>
      <c r="DV18" s="36">
        <f t="shared" si="17"/>
        <v>40</v>
      </c>
      <c r="DW18" s="36">
        <f t="shared" si="17"/>
        <v>0</v>
      </c>
      <c r="DX18" s="23">
        <f t="shared" si="17"/>
        <v>9</v>
      </c>
      <c r="DY18" s="23">
        <f t="shared" si="18"/>
        <v>100</v>
      </c>
      <c r="DZ18" s="23">
        <f t="shared" si="19"/>
        <v>100</v>
      </c>
      <c r="EA18" s="23">
        <f t="shared" si="19"/>
        <v>100</v>
      </c>
      <c r="EB18" s="23">
        <f t="shared" si="19"/>
        <v>0</v>
      </c>
      <c r="EC18" s="23">
        <f t="shared" si="19"/>
        <v>0</v>
      </c>
      <c r="ED18" s="23">
        <f t="shared" si="19"/>
        <v>0</v>
      </c>
      <c r="EE18" s="23">
        <f t="shared" si="19"/>
        <v>0</v>
      </c>
      <c r="EF18" s="23">
        <f t="shared" si="19"/>
        <v>0</v>
      </c>
      <c r="EG18" s="23">
        <f t="shared" si="19"/>
        <v>0</v>
      </c>
      <c r="EH18" s="23">
        <f t="shared" si="19"/>
        <v>0</v>
      </c>
      <c r="EI18" s="23">
        <f t="shared" si="19"/>
        <v>3</v>
      </c>
      <c r="EJ18" s="23">
        <f t="shared" si="19"/>
        <v>100</v>
      </c>
    </row>
    <row r="19" spans="1:140" ht="9.9" customHeight="1" x14ac:dyDescent="0.3">
      <c r="A19" s="23">
        <v>10</v>
      </c>
      <c r="B19" s="50" t="str">
        <f>IF(PRELIM!B19="","",PRELIM!B19)</f>
        <v>ESPINO, PRINCESS GAIL A.</v>
      </c>
      <c r="C19" s="38" t="s">
        <v>190</v>
      </c>
      <c r="D19" s="38" t="s">
        <v>190</v>
      </c>
      <c r="E19" s="38" t="s">
        <v>190</v>
      </c>
      <c r="F19" s="38" t="s">
        <v>190</v>
      </c>
      <c r="G19" s="38" t="s">
        <v>190</v>
      </c>
      <c r="H19" s="38" t="s">
        <v>190</v>
      </c>
      <c r="I19" s="38" t="s">
        <v>190</v>
      </c>
      <c r="J19" s="38" t="s">
        <v>190</v>
      </c>
      <c r="K19" s="38" t="s">
        <v>190</v>
      </c>
      <c r="L19" s="38" t="s">
        <v>190</v>
      </c>
      <c r="M19" s="38" t="s">
        <v>190</v>
      </c>
      <c r="N19" s="38"/>
      <c r="O19" s="38"/>
      <c r="P19" s="38"/>
      <c r="Q19" s="38"/>
      <c r="R19" s="38"/>
      <c r="S19" s="38"/>
      <c r="T19" s="38"/>
      <c r="U19" s="38"/>
      <c r="V19" s="38"/>
      <c r="W19" s="39">
        <f t="shared" si="6"/>
        <v>100</v>
      </c>
      <c r="X19" s="38">
        <v>7</v>
      </c>
      <c r="Y19" s="38">
        <v>8</v>
      </c>
      <c r="Z19" s="38">
        <v>9</v>
      </c>
      <c r="AA19" s="38">
        <v>6</v>
      </c>
      <c r="AB19" s="38">
        <v>8</v>
      </c>
      <c r="AC19" s="38">
        <v>8</v>
      </c>
      <c r="AD19" s="38">
        <v>6</v>
      </c>
      <c r="AE19" s="38">
        <v>4</v>
      </c>
      <c r="AF19" s="38">
        <v>30</v>
      </c>
      <c r="AG19" s="38"/>
      <c r="AH19" s="40">
        <f t="shared" si="7"/>
        <v>82</v>
      </c>
      <c r="AI19" s="40">
        <f t="shared" si="7"/>
        <v>88</v>
      </c>
      <c r="AJ19" s="40">
        <f t="shared" si="7"/>
        <v>94</v>
      </c>
      <c r="AK19" s="40">
        <f t="shared" si="7"/>
        <v>76</v>
      </c>
      <c r="AL19" s="40">
        <f t="shared" si="7"/>
        <v>88</v>
      </c>
      <c r="AM19" s="40">
        <f t="shared" si="7"/>
        <v>88</v>
      </c>
      <c r="AN19" s="40">
        <f t="shared" si="7"/>
        <v>76</v>
      </c>
      <c r="AO19" s="40">
        <f t="shared" si="7"/>
        <v>64</v>
      </c>
      <c r="AP19" s="40">
        <f t="shared" si="7"/>
        <v>85</v>
      </c>
      <c r="AQ19" s="40" t="str">
        <f t="shared" si="7"/>
        <v xml:space="preserve"> </v>
      </c>
      <c r="AR19" s="41">
        <f t="shared" si="8"/>
        <v>82.333333333333329</v>
      </c>
      <c r="AS19" s="38">
        <v>100</v>
      </c>
      <c r="AT19" s="38">
        <v>100</v>
      </c>
      <c r="AU19" s="38">
        <v>100</v>
      </c>
      <c r="AV19" s="38"/>
      <c r="AW19" s="38"/>
      <c r="AX19" s="38"/>
      <c r="AY19" s="38"/>
      <c r="AZ19" s="38"/>
      <c r="BA19" s="38"/>
      <c r="BB19" s="38"/>
      <c r="BC19" s="42">
        <f t="shared" si="9"/>
        <v>100</v>
      </c>
      <c r="BD19" s="42">
        <f t="shared" si="9"/>
        <v>100</v>
      </c>
      <c r="BE19" s="42">
        <f t="shared" si="9"/>
        <v>100</v>
      </c>
      <c r="BF19" s="42" t="str">
        <f t="shared" si="9"/>
        <v xml:space="preserve"> </v>
      </c>
      <c r="BG19" s="42" t="str">
        <f t="shared" si="9"/>
        <v xml:space="preserve"> </v>
      </c>
      <c r="BH19" s="42" t="str">
        <f t="shared" si="9"/>
        <v xml:space="preserve"> </v>
      </c>
      <c r="BI19" s="42" t="str">
        <f t="shared" si="9"/>
        <v xml:space="preserve"> </v>
      </c>
      <c r="BJ19" s="42" t="str">
        <f t="shared" si="9"/>
        <v xml:space="preserve"> </v>
      </c>
      <c r="BK19" s="42" t="str">
        <f t="shared" si="9"/>
        <v xml:space="preserve"> </v>
      </c>
      <c r="BL19" s="42" t="str">
        <f t="shared" si="9"/>
        <v xml:space="preserve"> </v>
      </c>
      <c r="BM19" s="43">
        <f t="shared" si="10"/>
        <v>100</v>
      </c>
      <c r="BN19" s="38">
        <v>77</v>
      </c>
      <c r="BO19" s="44">
        <f t="shared" si="11"/>
        <v>86.2</v>
      </c>
      <c r="BP19" s="20"/>
      <c r="BQ19" s="39">
        <f t="shared" si="20"/>
        <v>87.993333333333339</v>
      </c>
      <c r="BR19" s="23" t="str">
        <f t="shared" si="21"/>
        <v>PASSED</v>
      </c>
      <c r="BS19" s="45"/>
      <c r="BT19" s="46"/>
      <c r="BU19" s="46"/>
      <c r="BV19" s="46"/>
      <c r="BW19" s="21">
        <f t="shared" si="12"/>
        <v>1</v>
      </c>
      <c r="BX19" s="22">
        <f t="shared" si="12"/>
        <v>1</v>
      </c>
      <c r="BY19" s="22">
        <f t="shared" si="12"/>
        <v>1</v>
      </c>
      <c r="BZ19" s="22">
        <f t="shared" si="12"/>
        <v>1</v>
      </c>
      <c r="CA19" s="22">
        <f t="shared" si="12"/>
        <v>1</v>
      </c>
      <c r="CB19" s="22">
        <f t="shared" si="12"/>
        <v>1</v>
      </c>
      <c r="CC19" s="22">
        <f t="shared" si="12"/>
        <v>1</v>
      </c>
      <c r="CD19" s="22">
        <f t="shared" si="12"/>
        <v>1</v>
      </c>
      <c r="CE19" s="22">
        <f t="shared" si="12"/>
        <v>1</v>
      </c>
      <c r="CF19" s="22">
        <f t="shared" si="12"/>
        <v>1</v>
      </c>
      <c r="CG19" s="22">
        <f t="shared" si="12"/>
        <v>1</v>
      </c>
      <c r="CH19" s="22" t="str">
        <f t="shared" si="12"/>
        <v/>
      </c>
      <c r="CI19" s="22" t="str">
        <f t="shared" si="12"/>
        <v/>
      </c>
      <c r="CJ19" s="22" t="str">
        <f t="shared" si="12"/>
        <v/>
      </c>
      <c r="CK19" s="22" t="str">
        <f t="shared" si="12"/>
        <v/>
      </c>
      <c r="CL19" s="22" t="str">
        <f t="shared" si="12"/>
        <v/>
      </c>
      <c r="CM19" s="22" t="str">
        <f t="shared" si="13"/>
        <v/>
      </c>
      <c r="CN19" s="22" t="str">
        <f t="shared" si="13"/>
        <v/>
      </c>
      <c r="CO19" s="22" t="str">
        <f t="shared" si="13"/>
        <v/>
      </c>
      <c r="CP19" s="22" t="str">
        <f t="shared" si="13"/>
        <v/>
      </c>
      <c r="CQ19" s="22">
        <f t="shared" si="22"/>
        <v>11</v>
      </c>
      <c r="CR19" s="22">
        <f t="shared" si="3"/>
        <v>11</v>
      </c>
      <c r="CS19" s="22" t="str">
        <f t="shared" si="14"/>
        <v/>
      </c>
      <c r="CT19" s="22" t="str">
        <f t="shared" si="14"/>
        <v/>
      </c>
      <c r="CU19" s="22" t="str">
        <f t="shared" si="14"/>
        <v/>
      </c>
      <c r="CV19" s="22" t="str">
        <f t="shared" si="14"/>
        <v/>
      </c>
      <c r="CW19" s="22" t="str">
        <f t="shared" si="14"/>
        <v/>
      </c>
      <c r="CX19" s="22" t="str">
        <f t="shared" si="14"/>
        <v/>
      </c>
      <c r="CY19" s="22" t="str">
        <f t="shared" si="14"/>
        <v/>
      </c>
      <c r="CZ19" s="22" t="str">
        <f t="shared" si="14"/>
        <v/>
      </c>
      <c r="DA19" s="22" t="str">
        <f t="shared" si="14"/>
        <v/>
      </c>
      <c r="DB19" s="22" t="str">
        <f t="shared" si="14"/>
        <v/>
      </c>
      <c r="DC19" s="22" t="str">
        <f t="shared" si="14"/>
        <v/>
      </c>
      <c r="DD19" s="22" t="str">
        <f t="shared" si="14"/>
        <v/>
      </c>
      <c r="DE19" s="22" t="str">
        <f t="shared" si="14"/>
        <v/>
      </c>
      <c r="DF19" s="22" t="str">
        <f t="shared" si="14"/>
        <v/>
      </c>
      <c r="DG19" s="22" t="str">
        <f t="shared" si="14"/>
        <v/>
      </c>
      <c r="DH19" s="22" t="str">
        <f t="shared" si="14"/>
        <v/>
      </c>
      <c r="DI19" s="22" t="str">
        <f t="shared" si="15"/>
        <v/>
      </c>
      <c r="DJ19" s="22" t="str">
        <f t="shared" si="15"/>
        <v/>
      </c>
      <c r="DK19" s="22" t="str">
        <f t="shared" si="15"/>
        <v/>
      </c>
      <c r="DL19" s="22" t="str">
        <f t="shared" si="15"/>
        <v/>
      </c>
      <c r="DM19" s="22">
        <f t="shared" si="16"/>
        <v>0</v>
      </c>
      <c r="DN19" s="36">
        <f t="shared" si="17"/>
        <v>10</v>
      </c>
      <c r="DO19" s="36">
        <f t="shared" si="17"/>
        <v>10</v>
      </c>
      <c r="DP19" s="36">
        <f t="shared" si="17"/>
        <v>10</v>
      </c>
      <c r="DQ19" s="36">
        <f t="shared" si="17"/>
        <v>10</v>
      </c>
      <c r="DR19" s="36">
        <f t="shared" si="17"/>
        <v>10</v>
      </c>
      <c r="DS19" s="36">
        <f t="shared" si="17"/>
        <v>10</v>
      </c>
      <c r="DT19" s="36">
        <f t="shared" si="17"/>
        <v>10</v>
      </c>
      <c r="DU19" s="36">
        <f t="shared" si="17"/>
        <v>10</v>
      </c>
      <c r="DV19" s="36">
        <f t="shared" si="17"/>
        <v>40</v>
      </c>
      <c r="DW19" s="36">
        <f t="shared" si="17"/>
        <v>0</v>
      </c>
      <c r="DX19" s="23">
        <f t="shared" si="17"/>
        <v>9</v>
      </c>
      <c r="DY19" s="23">
        <f t="shared" si="18"/>
        <v>100</v>
      </c>
      <c r="DZ19" s="23">
        <f t="shared" si="19"/>
        <v>100</v>
      </c>
      <c r="EA19" s="23">
        <f t="shared" si="19"/>
        <v>100</v>
      </c>
      <c r="EB19" s="23">
        <f t="shared" si="19"/>
        <v>0</v>
      </c>
      <c r="EC19" s="23">
        <f t="shared" si="19"/>
        <v>0</v>
      </c>
      <c r="ED19" s="23">
        <f t="shared" si="19"/>
        <v>0</v>
      </c>
      <c r="EE19" s="23">
        <f t="shared" si="19"/>
        <v>0</v>
      </c>
      <c r="EF19" s="23">
        <f t="shared" si="19"/>
        <v>0</v>
      </c>
      <c r="EG19" s="23">
        <f t="shared" si="19"/>
        <v>0</v>
      </c>
      <c r="EH19" s="23">
        <f t="shared" si="19"/>
        <v>0</v>
      </c>
      <c r="EI19" s="23">
        <f t="shared" si="19"/>
        <v>3</v>
      </c>
      <c r="EJ19" s="23">
        <f t="shared" si="19"/>
        <v>100</v>
      </c>
    </row>
    <row r="20" spans="1:140" ht="9.9" customHeight="1" x14ac:dyDescent="0.3">
      <c r="A20" s="23">
        <v>11</v>
      </c>
      <c r="B20" s="50" t="str">
        <f>IF(PRELIM!B20="","",PRELIM!B20)</f>
        <v>GUEVARRA, HERLAN ARC JOHNSON C.</v>
      </c>
      <c r="C20" s="38" t="s">
        <v>190</v>
      </c>
      <c r="D20" s="38" t="s">
        <v>190</v>
      </c>
      <c r="E20" s="38" t="s">
        <v>190</v>
      </c>
      <c r="F20" s="38" t="s">
        <v>190</v>
      </c>
      <c r="G20" s="38" t="s">
        <v>190</v>
      </c>
      <c r="H20" s="38" t="s">
        <v>190</v>
      </c>
      <c r="I20" s="38" t="s">
        <v>190</v>
      </c>
      <c r="J20" s="38"/>
      <c r="K20" s="38"/>
      <c r="L20" s="38" t="s">
        <v>190</v>
      </c>
      <c r="M20" s="38" t="s">
        <v>190</v>
      </c>
      <c r="N20" s="38"/>
      <c r="O20" s="38"/>
      <c r="P20" s="38"/>
      <c r="Q20" s="38"/>
      <c r="R20" s="38"/>
      <c r="S20" s="38"/>
      <c r="T20" s="38"/>
      <c r="U20" s="38"/>
      <c r="V20" s="38"/>
      <c r="W20" s="39">
        <f t="shared" si="6"/>
        <v>89.090909090909093</v>
      </c>
      <c r="X20" s="38">
        <v>8</v>
      </c>
      <c r="Y20" s="38">
        <v>9</v>
      </c>
      <c r="Z20" s="38">
        <v>7</v>
      </c>
      <c r="AA20" s="38">
        <v>7</v>
      </c>
      <c r="AB20" s="38"/>
      <c r="AC20" s="38"/>
      <c r="AD20" s="38">
        <v>4</v>
      </c>
      <c r="AE20" s="38">
        <v>4</v>
      </c>
      <c r="AF20" s="38">
        <v>25</v>
      </c>
      <c r="AG20" s="38"/>
      <c r="AH20" s="40">
        <f t="shared" si="7"/>
        <v>88</v>
      </c>
      <c r="AI20" s="40">
        <f t="shared" si="7"/>
        <v>94</v>
      </c>
      <c r="AJ20" s="40">
        <f t="shared" si="7"/>
        <v>82</v>
      </c>
      <c r="AK20" s="40">
        <f t="shared" si="7"/>
        <v>82</v>
      </c>
      <c r="AL20" s="40">
        <f t="shared" si="7"/>
        <v>40</v>
      </c>
      <c r="AM20" s="40">
        <f t="shared" si="7"/>
        <v>40</v>
      </c>
      <c r="AN20" s="40">
        <f t="shared" si="7"/>
        <v>64</v>
      </c>
      <c r="AO20" s="40">
        <f t="shared" si="7"/>
        <v>64</v>
      </c>
      <c r="AP20" s="40">
        <f t="shared" si="7"/>
        <v>77.5</v>
      </c>
      <c r="AQ20" s="40" t="str">
        <f t="shared" si="7"/>
        <v xml:space="preserve"> </v>
      </c>
      <c r="AR20" s="41">
        <f t="shared" si="8"/>
        <v>70.166666666666671</v>
      </c>
      <c r="AS20" s="38">
        <v>0</v>
      </c>
      <c r="AT20" s="38">
        <v>0</v>
      </c>
      <c r="AU20" s="38">
        <v>100</v>
      </c>
      <c r="AV20" s="38"/>
      <c r="AW20" s="38"/>
      <c r="AX20" s="38"/>
      <c r="AY20" s="38"/>
      <c r="AZ20" s="38"/>
      <c r="BA20" s="38"/>
      <c r="BB20" s="38"/>
      <c r="BC20" s="42">
        <f t="shared" si="9"/>
        <v>40</v>
      </c>
      <c r="BD20" s="42">
        <f t="shared" si="9"/>
        <v>40</v>
      </c>
      <c r="BE20" s="42">
        <f t="shared" si="9"/>
        <v>100</v>
      </c>
      <c r="BF20" s="42" t="str">
        <f t="shared" si="9"/>
        <v xml:space="preserve"> </v>
      </c>
      <c r="BG20" s="42" t="str">
        <f t="shared" si="9"/>
        <v xml:space="preserve"> </v>
      </c>
      <c r="BH20" s="42" t="str">
        <f t="shared" si="9"/>
        <v xml:space="preserve"> </v>
      </c>
      <c r="BI20" s="42" t="str">
        <f t="shared" si="9"/>
        <v xml:space="preserve"> </v>
      </c>
      <c r="BJ20" s="42" t="str">
        <f t="shared" si="9"/>
        <v xml:space="preserve"> </v>
      </c>
      <c r="BK20" s="42" t="str">
        <f t="shared" si="9"/>
        <v xml:space="preserve"> </v>
      </c>
      <c r="BL20" s="42" t="str">
        <f t="shared" si="9"/>
        <v xml:space="preserve"> </v>
      </c>
      <c r="BM20" s="43">
        <f t="shared" si="10"/>
        <v>60</v>
      </c>
      <c r="BN20" s="38">
        <v>71</v>
      </c>
      <c r="BO20" s="44">
        <f t="shared" si="11"/>
        <v>82.6</v>
      </c>
      <c r="BP20" s="20"/>
      <c r="BQ20" s="39">
        <f t="shared" si="20"/>
        <v>76.426212121212131</v>
      </c>
      <c r="BR20" s="23" t="str">
        <f t="shared" si="21"/>
        <v>PASSED</v>
      </c>
      <c r="BS20" s="45"/>
      <c r="BT20" s="46"/>
      <c r="BU20" s="46"/>
      <c r="BV20" s="46"/>
      <c r="BW20" s="21">
        <f t="shared" si="12"/>
        <v>1</v>
      </c>
      <c r="BX20" s="22">
        <f t="shared" si="12"/>
        <v>1</v>
      </c>
      <c r="BY20" s="22">
        <f t="shared" si="12"/>
        <v>1</v>
      </c>
      <c r="BZ20" s="22">
        <f t="shared" si="12"/>
        <v>1</v>
      </c>
      <c r="CA20" s="22">
        <f t="shared" si="12"/>
        <v>1</v>
      </c>
      <c r="CB20" s="22">
        <f t="shared" si="12"/>
        <v>1</v>
      </c>
      <c r="CC20" s="22">
        <f t="shared" si="12"/>
        <v>1</v>
      </c>
      <c r="CD20" s="22" t="str">
        <f t="shared" si="12"/>
        <v/>
      </c>
      <c r="CE20" s="22" t="str">
        <f t="shared" si="12"/>
        <v/>
      </c>
      <c r="CF20" s="22">
        <f t="shared" si="12"/>
        <v>1</v>
      </c>
      <c r="CG20" s="22">
        <f t="shared" si="12"/>
        <v>1</v>
      </c>
      <c r="CH20" s="22" t="str">
        <f t="shared" si="12"/>
        <v/>
      </c>
      <c r="CI20" s="22" t="str">
        <f t="shared" si="12"/>
        <v/>
      </c>
      <c r="CJ20" s="22" t="str">
        <f t="shared" si="12"/>
        <v/>
      </c>
      <c r="CK20" s="22" t="str">
        <f t="shared" si="12"/>
        <v/>
      </c>
      <c r="CL20" s="22" t="str">
        <f t="shared" si="12"/>
        <v/>
      </c>
      <c r="CM20" s="22" t="str">
        <f t="shared" si="13"/>
        <v/>
      </c>
      <c r="CN20" s="22" t="str">
        <f t="shared" si="13"/>
        <v/>
      </c>
      <c r="CO20" s="22" t="str">
        <f t="shared" si="13"/>
        <v/>
      </c>
      <c r="CP20" s="22" t="str">
        <f t="shared" si="13"/>
        <v/>
      </c>
      <c r="CQ20" s="22">
        <f t="shared" si="22"/>
        <v>9</v>
      </c>
      <c r="CR20" s="22">
        <f t="shared" si="3"/>
        <v>11</v>
      </c>
      <c r="CS20" s="22" t="str">
        <f t="shared" si="14"/>
        <v/>
      </c>
      <c r="CT20" s="22" t="str">
        <f t="shared" si="14"/>
        <v/>
      </c>
      <c r="CU20" s="22" t="str">
        <f t="shared" si="14"/>
        <v/>
      </c>
      <c r="CV20" s="22" t="str">
        <f t="shared" si="14"/>
        <v/>
      </c>
      <c r="CW20" s="22" t="str">
        <f t="shared" si="14"/>
        <v/>
      </c>
      <c r="CX20" s="22" t="str">
        <f t="shared" si="14"/>
        <v/>
      </c>
      <c r="CY20" s="22" t="str">
        <f t="shared" si="14"/>
        <v/>
      </c>
      <c r="CZ20" s="22" t="str">
        <f t="shared" si="14"/>
        <v/>
      </c>
      <c r="DA20" s="22" t="str">
        <f t="shared" si="14"/>
        <v/>
      </c>
      <c r="DB20" s="22" t="str">
        <f t="shared" si="14"/>
        <v/>
      </c>
      <c r="DC20" s="22" t="str">
        <f t="shared" si="14"/>
        <v/>
      </c>
      <c r="DD20" s="22" t="str">
        <f t="shared" si="14"/>
        <v/>
      </c>
      <c r="DE20" s="22" t="str">
        <f t="shared" si="14"/>
        <v/>
      </c>
      <c r="DF20" s="22" t="str">
        <f t="shared" si="14"/>
        <v/>
      </c>
      <c r="DG20" s="22" t="str">
        <f t="shared" si="14"/>
        <v/>
      </c>
      <c r="DH20" s="22" t="str">
        <f t="shared" si="14"/>
        <v/>
      </c>
      <c r="DI20" s="22" t="str">
        <f t="shared" si="15"/>
        <v/>
      </c>
      <c r="DJ20" s="22" t="str">
        <f t="shared" si="15"/>
        <v/>
      </c>
      <c r="DK20" s="22" t="str">
        <f t="shared" si="15"/>
        <v/>
      </c>
      <c r="DL20" s="22" t="str">
        <f t="shared" si="15"/>
        <v/>
      </c>
      <c r="DM20" s="22">
        <f t="shared" si="16"/>
        <v>0</v>
      </c>
      <c r="DN20" s="36">
        <f t="shared" si="17"/>
        <v>10</v>
      </c>
      <c r="DO20" s="36">
        <f t="shared" si="17"/>
        <v>10</v>
      </c>
      <c r="DP20" s="36">
        <f t="shared" si="17"/>
        <v>10</v>
      </c>
      <c r="DQ20" s="36">
        <f t="shared" si="17"/>
        <v>10</v>
      </c>
      <c r="DR20" s="36">
        <f t="shared" si="17"/>
        <v>10</v>
      </c>
      <c r="DS20" s="36">
        <f t="shared" si="17"/>
        <v>10</v>
      </c>
      <c r="DT20" s="36">
        <f t="shared" si="17"/>
        <v>10</v>
      </c>
      <c r="DU20" s="36">
        <f t="shared" si="17"/>
        <v>10</v>
      </c>
      <c r="DV20" s="36">
        <f t="shared" si="17"/>
        <v>40</v>
      </c>
      <c r="DW20" s="36">
        <f t="shared" si="17"/>
        <v>0</v>
      </c>
      <c r="DX20" s="23">
        <f t="shared" si="17"/>
        <v>9</v>
      </c>
      <c r="DY20" s="23">
        <f t="shared" si="18"/>
        <v>100</v>
      </c>
      <c r="DZ20" s="23">
        <f t="shared" si="19"/>
        <v>100</v>
      </c>
      <c r="EA20" s="23">
        <f t="shared" si="19"/>
        <v>100</v>
      </c>
      <c r="EB20" s="23">
        <f t="shared" si="19"/>
        <v>0</v>
      </c>
      <c r="EC20" s="23">
        <f t="shared" si="19"/>
        <v>0</v>
      </c>
      <c r="ED20" s="23">
        <f t="shared" si="19"/>
        <v>0</v>
      </c>
      <c r="EE20" s="23">
        <f t="shared" si="19"/>
        <v>0</v>
      </c>
      <c r="EF20" s="23">
        <f t="shared" si="19"/>
        <v>0</v>
      </c>
      <c r="EG20" s="23">
        <f t="shared" si="19"/>
        <v>0</v>
      </c>
      <c r="EH20" s="23">
        <f t="shared" si="19"/>
        <v>0</v>
      </c>
      <c r="EI20" s="23">
        <f t="shared" si="19"/>
        <v>3</v>
      </c>
      <c r="EJ20" s="23">
        <f t="shared" si="19"/>
        <v>100</v>
      </c>
    </row>
    <row r="21" spans="1:140" ht="9.9" customHeight="1" x14ac:dyDescent="0.3">
      <c r="A21" s="23">
        <v>12</v>
      </c>
      <c r="B21" s="50" t="str">
        <f>IF(PRELIM!B21="","",PRELIM!B21)</f>
        <v>GUTIERREZ, MILLECENT SHYNE C.</v>
      </c>
      <c r="C21" s="38" t="s">
        <v>190</v>
      </c>
      <c r="D21" s="38" t="s">
        <v>190</v>
      </c>
      <c r="E21" s="38" t="s">
        <v>190</v>
      </c>
      <c r="F21" s="38" t="s">
        <v>190</v>
      </c>
      <c r="G21" s="38" t="s">
        <v>190</v>
      </c>
      <c r="H21" s="38" t="s">
        <v>190</v>
      </c>
      <c r="I21" s="38" t="s">
        <v>190</v>
      </c>
      <c r="J21" s="38" t="s">
        <v>190</v>
      </c>
      <c r="K21" s="38" t="s">
        <v>190</v>
      </c>
      <c r="L21" s="38" t="s">
        <v>190</v>
      </c>
      <c r="M21" s="38" t="s">
        <v>190</v>
      </c>
      <c r="N21" s="38"/>
      <c r="O21" s="38"/>
      <c r="P21" s="38"/>
      <c r="Q21" s="38"/>
      <c r="R21" s="38"/>
      <c r="S21" s="38"/>
      <c r="T21" s="38"/>
      <c r="U21" s="38"/>
      <c r="V21" s="38"/>
      <c r="W21" s="39">
        <f t="shared" si="6"/>
        <v>100</v>
      </c>
      <c r="X21" s="38">
        <v>7</v>
      </c>
      <c r="Y21" s="38">
        <v>5</v>
      </c>
      <c r="Z21" s="38">
        <v>4</v>
      </c>
      <c r="AA21" s="38">
        <v>3</v>
      </c>
      <c r="AB21" s="38">
        <v>9</v>
      </c>
      <c r="AC21" s="38">
        <v>3</v>
      </c>
      <c r="AD21" s="38">
        <v>2</v>
      </c>
      <c r="AE21" s="38">
        <v>3</v>
      </c>
      <c r="AF21" s="38">
        <v>23</v>
      </c>
      <c r="AG21" s="38"/>
      <c r="AH21" s="40">
        <f t="shared" si="7"/>
        <v>82</v>
      </c>
      <c r="AI21" s="40">
        <f t="shared" si="7"/>
        <v>70</v>
      </c>
      <c r="AJ21" s="40">
        <f t="shared" si="7"/>
        <v>64</v>
      </c>
      <c r="AK21" s="40">
        <f t="shared" si="7"/>
        <v>58</v>
      </c>
      <c r="AL21" s="40">
        <f t="shared" si="7"/>
        <v>94</v>
      </c>
      <c r="AM21" s="40">
        <f t="shared" si="7"/>
        <v>58</v>
      </c>
      <c r="AN21" s="40">
        <f t="shared" si="7"/>
        <v>52</v>
      </c>
      <c r="AO21" s="40">
        <f t="shared" si="7"/>
        <v>58</v>
      </c>
      <c r="AP21" s="40">
        <f t="shared" si="7"/>
        <v>74.5</v>
      </c>
      <c r="AQ21" s="40" t="str">
        <f t="shared" si="7"/>
        <v xml:space="preserve"> </v>
      </c>
      <c r="AR21" s="41">
        <f t="shared" si="8"/>
        <v>67.833333333333329</v>
      </c>
      <c r="AS21" s="38">
        <v>100</v>
      </c>
      <c r="AT21" s="38">
        <v>100</v>
      </c>
      <c r="AU21" s="38">
        <v>100</v>
      </c>
      <c r="AV21" s="38"/>
      <c r="AW21" s="38"/>
      <c r="AX21" s="38"/>
      <c r="AY21" s="38"/>
      <c r="AZ21" s="38"/>
      <c r="BA21" s="38"/>
      <c r="BB21" s="38"/>
      <c r="BC21" s="42">
        <f t="shared" si="9"/>
        <v>100</v>
      </c>
      <c r="BD21" s="42">
        <f t="shared" si="9"/>
        <v>100</v>
      </c>
      <c r="BE21" s="42">
        <f t="shared" si="9"/>
        <v>100</v>
      </c>
      <c r="BF21" s="42" t="str">
        <f t="shared" si="9"/>
        <v xml:space="preserve"> </v>
      </c>
      <c r="BG21" s="42" t="str">
        <f t="shared" si="9"/>
        <v xml:space="preserve"> </v>
      </c>
      <c r="BH21" s="42" t="str">
        <f t="shared" si="9"/>
        <v xml:space="preserve"> </v>
      </c>
      <c r="BI21" s="42" t="str">
        <f t="shared" si="9"/>
        <v xml:space="preserve"> </v>
      </c>
      <c r="BJ21" s="42" t="str">
        <f t="shared" si="9"/>
        <v xml:space="preserve"> </v>
      </c>
      <c r="BK21" s="42" t="str">
        <f t="shared" si="9"/>
        <v xml:space="preserve"> </v>
      </c>
      <c r="BL21" s="42" t="str">
        <f t="shared" si="9"/>
        <v xml:space="preserve"> </v>
      </c>
      <c r="BM21" s="43">
        <f t="shared" si="10"/>
        <v>100</v>
      </c>
      <c r="BN21" s="38">
        <v>51</v>
      </c>
      <c r="BO21" s="44">
        <f t="shared" si="11"/>
        <v>70.599999999999994</v>
      </c>
      <c r="BP21" s="20"/>
      <c r="BQ21" s="39">
        <f t="shared" si="20"/>
        <v>75.788333333333327</v>
      </c>
      <c r="BR21" s="23" t="str">
        <f t="shared" si="21"/>
        <v>PASSED</v>
      </c>
      <c r="BS21" s="45"/>
      <c r="BT21" s="46"/>
      <c r="BU21" s="46"/>
      <c r="BV21" s="46"/>
      <c r="BW21" s="21">
        <f t="shared" si="12"/>
        <v>1</v>
      </c>
      <c r="BX21" s="22">
        <f t="shared" si="12"/>
        <v>1</v>
      </c>
      <c r="BY21" s="22">
        <f t="shared" si="12"/>
        <v>1</v>
      </c>
      <c r="BZ21" s="22">
        <f t="shared" si="12"/>
        <v>1</v>
      </c>
      <c r="CA21" s="22">
        <f t="shared" si="12"/>
        <v>1</v>
      </c>
      <c r="CB21" s="22">
        <f t="shared" si="12"/>
        <v>1</v>
      </c>
      <c r="CC21" s="22">
        <f t="shared" si="12"/>
        <v>1</v>
      </c>
      <c r="CD21" s="22">
        <f t="shared" si="12"/>
        <v>1</v>
      </c>
      <c r="CE21" s="22">
        <f t="shared" si="12"/>
        <v>1</v>
      </c>
      <c r="CF21" s="22">
        <f t="shared" si="12"/>
        <v>1</v>
      </c>
      <c r="CG21" s="22">
        <f t="shared" si="12"/>
        <v>1</v>
      </c>
      <c r="CH21" s="22" t="str">
        <f t="shared" si="12"/>
        <v/>
      </c>
      <c r="CI21" s="22" t="str">
        <f t="shared" si="12"/>
        <v/>
      </c>
      <c r="CJ21" s="22" t="str">
        <f t="shared" si="12"/>
        <v/>
      </c>
      <c r="CK21" s="22" t="str">
        <f t="shared" si="12"/>
        <v/>
      </c>
      <c r="CL21" s="22" t="str">
        <f t="shared" si="12"/>
        <v/>
      </c>
      <c r="CM21" s="22" t="str">
        <f t="shared" si="13"/>
        <v/>
      </c>
      <c r="CN21" s="22" t="str">
        <f t="shared" si="13"/>
        <v/>
      </c>
      <c r="CO21" s="22" t="str">
        <f t="shared" si="13"/>
        <v/>
      </c>
      <c r="CP21" s="22" t="str">
        <f t="shared" si="13"/>
        <v/>
      </c>
      <c r="CQ21" s="22">
        <f t="shared" si="22"/>
        <v>11</v>
      </c>
      <c r="CR21" s="22">
        <f t="shared" si="3"/>
        <v>11</v>
      </c>
      <c r="CS21" s="22" t="str">
        <f t="shared" si="14"/>
        <v/>
      </c>
      <c r="CT21" s="22" t="str">
        <f t="shared" si="14"/>
        <v/>
      </c>
      <c r="CU21" s="22" t="str">
        <f t="shared" si="14"/>
        <v/>
      </c>
      <c r="CV21" s="22" t="str">
        <f t="shared" si="14"/>
        <v/>
      </c>
      <c r="CW21" s="22" t="str">
        <f t="shared" si="14"/>
        <v/>
      </c>
      <c r="CX21" s="22" t="str">
        <f t="shared" si="14"/>
        <v/>
      </c>
      <c r="CY21" s="22" t="str">
        <f t="shared" si="14"/>
        <v/>
      </c>
      <c r="CZ21" s="22" t="str">
        <f t="shared" si="14"/>
        <v/>
      </c>
      <c r="DA21" s="22" t="str">
        <f t="shared" si="14"/>
        <v/>
      </c>
      <c r="DB21" s="22" t="str">
        <f t="shared" si="14"/>
        <v/>
      </c>
      <c r="DC21" s="22" t="str">
        <f t="shared" si="14"/>
        <v/>
      </c>
      <c r="DD21" s="22" t="str">
        <f t="shared" si="14"/>
        <v/>
      </c>
      <c r="DE21" s="22" t="str">
        <f t="shared" si="14"/>
        <v/>
      </c>
      <c r="DF21" s="22" t="str">
        <f t="shared" si="14"/>
        <v/>
      </c>
      <c r="DG21" s="22" t="str">
        <f t="shared" si="14"/>
        <v/>
      </c>
      <c r="DH21" s="22" t="str">
        <f t="shared" si="14"/>
        <v/>
      </c>
      <c r="DI21" s="22" t="str">
        <f t="shared" si="15"/>
        <v/>
      </c>
      <c r="DJ21" s="22" t="str">
        <f t="shared" si="15"/>
        <v/>
      </c>
      <c r="DK21" s="22" t="str">
        <f t="shared" si="15"/>
        <v/>
      </c>
      <c r="DL21" s="22" t="str">
        <f t="shared" si="15"/>
        <v/>
      </c>
      <c r="DM21" s="22">
        <f t="shared" si="16"/>
        <v>0</v>
      </c>
      <c r="DN21" s="36">
        <f t="shared" si="17"/>
        <v>10</v>
      </c>
      <c r="DO21" s="36">
        <f t="shared" si="17"/>
        <v>10</v>
      </c>
      <c r="DP21" s="36">
        <f t="shared" si="17"/>
        <v>10</v>
      </c>
      <c r="DQ21" s="36">
        <f t="shared" si="17"/>
        <v>10</v>
      </c>
      <c r="DR21" s="36">
        <f t="shared" si="17"/>
        <v>10</v>
      </c>
      <c r="DS21" s="36">
        <f t="shared" si="17"/>
        <v>10</v>
      </c>
      <c r="DT21" s="36">
        <f t="shared" si="17"/>
        <v>10</v>
      </c>
      <c r="DU21" s="36">
        <f t="shared" si="17"/>
        <v>10</v>
      </c>
      <c r="DV21" s="36">
        <f t="shared" si="17"/>
        <v>40</v>
      </c>
      <c r="DW21" s="36">
        <f t="shared" si="17"/>
        <v>0</v>
      </c>
      <c r="DX21" s="23">
        <f t="shared" si="17"/>
        <v>9</v>
      </c>
      <c r="DY21" s="23">
        <f t="shared" si="18"/>
        <v>100</v>
      </c>
      <c r="DZ21" s="23">
        <f t="shared" si="19"/>
        <v>100</v>
      </c>
      <c r="EA21" s="23">
        <f t="shared" si="19"/>
        <v>100</v>
      </c>
      <c r="EB21" s="23">
        <f t="shared" si="19"/>
        <v>0</v>
      </c>
      <c r="EC21" s="23">
        <f t="shared" si="19"/>
        <v>0</v>
      </c>
      <c r="ED21" s="23">
        <f t="shared" si="19"/>
        <v>0</v>
      </c>
      <c r="EE21" s="23">
        <f t="shared" si="19"/>
        <v>0</v>
      </c>
      <c r="EF21" s="23">
        <f t="shared" si="19"/>
        <v>0</v>
      </c>
      <c r="EG21" s="23">
        <f t="shared" si="19"/>
        <v>0</v>
      </c>
      <c r="EH21" s="23">
        <f t="shared" si="19"/>
        <v>0</v>
      </c>
      <c r="EI21" s="23">
        <f t="shared" si="19"/>
        <v>3</v>
      </c>
      <c r="EJ21" s="23">
        <f t="shared" si="19"/>
        <v>100</v>
      </c>
    </row>
    <row r="22" spans="1:140" ht="9.9" customHeight="1" x14ac:dyDescent="0.3">
      <c r="A22" s="23">
        <v>13</v>
      </c>
      <c r="B22" s="50" t="str">
        <f>IF(PRELIM!B22="","",PRELIM!B22)</f>
        <v>HERNANDEZ, ANGEL JEAN A</v>
      </c>
      <c r="C22" s="38" t="s">
        <v>190</v>
      </c>
      <c r="D22" s="38" t="s">
        <v>190</v>
      </c>
      <c r="E22" s="38" t="s">
        <v>190</v>
      </c>
      <c r="F22" s="38" t="s">
        <v>190</v>
      </c>
      <c r="G22" s="38" t="s">
        <v>190</v>
      </c>
      <c r="H22" s="38" t="s">
        <v>190</v>
      </c>
      <c r="I22" s="38" t="s">
        <v>190</v>
      </c>
      <c r="J22" s="38" t="s">
        <v>190</v>
      </c>
      <c r="K22" s="38" t="s">
        <v>190</v>
      </c>
      <c r="L22" s="38" t="s">
        <v>190</v>
      </c>
      <c r="M22" s="38" t="s">
        <v>190</v>
      </c>
      <c r="N22" s="38"/>
      <c r="O22" s="38"/>
      <c r="P22" s="38"/>
      <c r="Q22" s="38"/>
      <c r="R22" s="38"/>
      <c r="S22" s="38"/>
      <c r="T22" s="38"/>
      <c r="U22" s="38"/>
      <c r="V22" s="38"/>
      <c r="W22" s="39">
        <f t="shared" si="6"/>
        <v>100</v>
      </c>
      <c r="X22" s="38">
        <v>10</v>
      </c>
      <c r="Y22" s="38">
        <v>10</v>
      </c>
      <c r="Z22" s="38">
        <v>10</v>
      </c>
      <c r="AA22" s="38">
        <v>9</v>
      </c>
      <c r="AB22" s="38">
        <v>10</v>
      </c>
      <c r="AC22" s="38">
        <v>9</v>
      </c>
      <c r="AD22" s="38">
        <v>10</v>
      </c>
      <c r="AE22" s="38">
        <v>5</v>
      </c>
      <c r="AF22" s="38">
        <v>40</v>
      </c>
      <c r="AG22" s="38"/>
      <c r="AH22" s="40">
        <f t="shared" si="7"/>
        <v>100</v>
      </c>
      <c r="AI22" s="40">
        <f t="shared" si="7"/>
        <v>100</v>
      </c>
      <c r="AJ22" s="40">
        <f t="shared" si="7"/>
        <v>100</v>
      </c>
      <c r="AK22" s="40">
        <f t="shared" si="7"/>
        <v>94</v>
      </c>
      <c r="AL22" s="40">
        <f t="shared" si="7"/>
        <v>100</v>
      </c>
      <c r="AM22" s="40">
        <f t="shared" si="7"/>
        <v>94</v>
      </c>
      <c r="AN22" s="40">
        <f t="shared" si="7"/>
        <v>100</v>
      </c>
      <c r="AO22" s="40">
        <f t="shared" si="7"/>
        <v>70</v>
      </c>
      <c r="AP22" s="40">
        <f t="shared" si="7"/>
        <v>100</v>
      </c>
      <c r="AQ22" s="40" t="str">
        <f t="shared" si="7"/>
        <v xml:space="preserve"> </v>
      </c>
      <c r="AR22" s="41">
        <f t="shared" si="8"/>
        <v>95.333333333333329</v>
      </c>
      <c r="AS22" s="38">
        <v>100</v>
      </c>
      <c r="AT22" s="38">
        <v>100</v>
      </c>
      <c r="AU22" s="38">
        <v>100</v>
      </c>
      <c r="AV22" s="38"/>
      <c r="AW22" s="38"/>
      <c r="AX22" s="38"/>
      <c r="AY22" s="38"/>
      <c r="AZ22" s="38"/>
      <c r="BA22" s="38"/>
      <c r="BB22" s="38"/>
      <c r="BC22" s="42">
        <f t="shared" si="9"/>
        <v>100</v>
      </c>
      <c r="BD22" s="42">
        <f t="shared" si="9"/>
        <v>100</v>
      </c>
      <c r="BE22" s="42">
        <f t="shared" si="9"/>
        <v>100</v>
      </c>
      <c r="BF22" s="42" t="str">
        <f t="shared" si="9"/>
        <v xml:space="preserve"> </v>
      </c>
      <c r="BG22" s="42" t="str">
        <f t="shared" si="9"/>
        <v xml:space="preserve"> </v>
      </c>
      <c r="BH22" s="42" t="str">
        <f t="shared" si="9"/>
        <v xml:space="preserve"> </v>
      </c>
      <c r="BI22" s="42" t="str">
        <f t="shared" si="9"/>
        <v xml:space="preserve"> </v>
      </c>
      <c r="BJ22" s="42" t="str">
        <f t="shared" si="9"/>
        <v xml:space="preserve"> </v>
      </c>
      <c r="BK22" s="42" t="str">
        <f t="shared" si="9"/>
        <v xml:space="preserve"> </v>
      </c>
      <c r="BL22" s="42" t="str">
        <f t="shared" si="9"/>
        <v xml:space="preserve"> </v>
      </c>
      <c r="BM22" s="43">
        <f t="shared" si="10"/>
        <v>100</v>
      </c>
      <c r="BN22" s="38">
        <v>91</v>
      </c>
      <c r="BO22" s="44">
        <f t="shared" si="11"/>
        <v>94.6</v>
      </c>
      <c r="BP22" s="20"/>
      <c r="BQ22" s="39">
        <f t="shared" si="20"/>
        <v>95.86333333333333</v>
      </c>
      <c r="BR22" s="23" t="str">
        <f t="shared" si="21"/>
        <v>PASSED</v>
      </c>
      <c r="BS22" s="45"/>
      <c r="BT22" s="46"/>
      <c r="BU22" s="46"/>
      <c r="BV22" s="46"/>
      <c r="BW22" s="21">
        <f t="shared" si="12"/>
        <v>1</v>
      </c>
      <c r="BX22" s="22">
        <f t="shared" si="12"/>
        <v>1</v>
      </c>
      <c r="BY22" s="22">
        <f t="shared" si="12"/>
        <v>1</v>
      </c>
      <c r="BZ22" s="22">
        <f t="shared" si="12"/>
        <v>1</v>
      </c>
      <c r="CA22" s="22">
        <f t="shared" si="12"/>
        <v>1</v>
      </c>
      <c r="CB22" s="22">
        <f t="shared" si="12"/>
        <v>1</v>
      </c>
      <c r="CC22" s="22">
        <f t="shared" si="12"/>
        <v>1</v>
      </c>
      <c r="CD22" s="22">
        <f t="shared" si="12"/>
        <v>1</v>
      </c>
      <c r="CE22" s="22">
        <f t="shared" si="12"/>
        <v>1</v>
      </c>
      <c r="CF22" s="22">
        <f t="shared" si="12"/>
        <v>1</v>
      </c>
      <c r="CG22" s="22">
        <f t="shared" si="12"/>
        <v>1</v>
      </c>
      <c r="CH22" s="22" t="str">
        <f t="shared" si="12"/>
        <v/>
      </c>
      <c r="CI22" s="22" t="str">
        <f t="shared" si="12"/>
        <v/>
      </c>
      <c r="CJ22" s="22" t="str">
        <f t="shared" si="12"/>
        <v/>
      </c>
      <c r="CK22" s="22" t="str">
        <f t="shared" si="12"/>
        <v/>
      </c>
      <c r="CL22" s="22" t="str">
        <f t="shared" si="12"/>
        <v/>
      </c>
      <c r="CM22" s="22" t="str">
        <f t="shared" si="13"/>
        <v/>
      </c>
      <c r="CN22" s="22" t="str">
        <f t="shared" si="13"/>
        <v/>
      </c>
      <c r="CO22" s="22" t="str">
        <f t="shared" si="13"/>
        <v/>
      </c>
      <c r="CP22" s="22" t="str">
        <f t="shared" si="13"/>
        <v/>
      </c>
      <c r="CQ22" s="22">
        <f t="shared" si="22"/>
        <v>11</v>
      </c>
      <c r="CR22" s="22">
        <f t="shared" si="3"/>
        <v>11</v>
      </c>
      <c r="CS22" s="22" t="str">
        <f t="shared" si="14"/>
        <v/>
      </c>
      <c r="CT22" s="22" t="str">
        <f t="shared" si="14"/>
        <v/>
      </c>
      <c r="CU22" s="22" t="str">
        <f t="shared" si="14"/>
        <v/>
      </c>
      <c r="CV22" s="22" t="str">
        <f t="shared" si="14"/>
        <v/>
      </c>
      <c r="CW22" s="22" t="str">
        <f t="shared" si="14"/>
        <v/>
      </c>
      <c r="CX22" s="22" t="str">
        <f t="shared" si="14"/>
        <v/>
      </c>
      <c r="CY22" s="22" t="str">
        <f t="shared" si="14"/>
        <v/>
      </c>
      <c r="CZ22" s="22" t="str">
        <f t="shared" si="14"/>
        <v/>
      </c>
      <c r="DA22" s="22" t="str">
        <f t="shared" si="14"/>
        <v/>
      </c>
      <c r="DB22" s="22" t="str">
        <f t="shared" si="14"/>
        <v/>
      </c>
      <c r="DC22" s="22" t="str">
        <f t="shared" si="14"/>
        <v/>
      </c>
      <c r="DD22" s="22" t="str">
        <f t="shared" si="14"/>
        <v/>
      </c>
      <c r="DE22" s="22" t="str">
        <f t="shared" si="14"/>
        <v/>
      </c>
      <c r="DF22" s="22" t="str">
        <f t="shared" si="14"/>
        <v/>
      </c>
      <c r="DG22" s="22" t="str">
        <f t="shared" si="14"/>
        <v/>
      </c>
      <c r="DH22" s="22" t="str">
        <f t="shared" si="14"/>
        <v/>
      </c>
      <c r="DI22" s="22" t="str">
        <f t="shared" si="15"/>
        <v/>
      </c>
      <c r="DJ22" s="22" t="str">
        <f t="shared" si="15"/>
        <v/>
      </c>
      <c r="DK22" s="22" t="str">
        <f t="shared" si="15"/>
        <v/>
      </c>
      <c r="DL22" s="22" t="str">
        <f t="shared" si="15"/>
        <v/>
      </c>
      <c r="DM22" s="22">
        <f t="shared" si="16"/>
        <v>0</v>
      </c>
      <c r="DN22" s="36">
        <f t="shared" si="17"/>
        <v>10</v>
      </c>
      <c r="DO22" s="36">
        <f t="shared" si="17"/>
        <v>10</v>
      </c>
      <c r="DP22" s="36">
        <f t="shared" si="17"/>
        <v>10</v>
      </c>
      <c r="DQ22" s="36">
        <f t="shared" si="17"/>
        <v>10</v>
      </c>
      <c r="DR22" s="36">
        <f t="shared" si="17"/>
        <v>10</v>
      </c>
      <c r="DS22" s="36">
        <f t="shared" si="17"/>
        <v>10</v>
      </c>
      <c r="DT22" s="36">
        <f t="shared" si="17"/>
        <v>10</v>
      </c>
      <c r="DU22" s="36">
        <f t="shared" si="17"/>
        <v>10</v>
      </c>
      <c r="DV22" s="36">
        <f t="shared" si="17"/>
        <v>40</v>
      </c>
      <c r="DW22" s="36">
        <f t="shared" si="17"/>
        <v>0</v>
      </c>
      <c r="DX22" s="23">
        <f t="shared" si="17"/>
        <v>9</v>
      </c>
      <c r="DY22" s="23">
        <f t="shared" si="18"/>
        <v>100</v>
      </c>
      <c r="DZ22" s="23">
        <f t="shared" si="19"/>
        <v>100</v>
      </c>
      <c r="EA22" s="23">
        <f t="shared" si="19"/>
        <v>100</v>
      </c>
      <c r="EB22" s="23">
        <f t="shared" si="19"/>
        <v>0</v>
      </c>
      <c r="EC22" s="23">
        <f t="shared" si="19"/>
        <v>0</v>
      </c>
      <c r="ED22" s="23">
        <f t="shared" si="19"/>
        <v>0</v>
      </c>
      <c r="EE22" s="23">
        <f t="shared" si="19"/>
        <v>0</v>
      </c>
      <c r="EF22" s="23">
        <f t="shared" si="19"/>
        <v>0</v>
      </c>
      <c r="EG22" s="23">
        <f t="shared" si="19"/>
        <v>0</v>
      </c>
      <c r="EH22" s="23">
        <f t="shared" si="19"/>
        <v>0</v>
      </c>
      <c r="EI22" s="23">
        <f t="shared" si="19"/>
        <v>3</v>
      </c>
      <c r="EJ22" s="23">
        <f t="shared" si="19"/>
        <v>100</v>
      </c>
    </row>
    <row r="23" spans="1:140" ht="9.9" customHeight="1" x14ac:dyDescent="0.3">
      <c r="A23" s="23">
        <v>14</v>
      </c>
      <c r="B23" s="50" t="str">
        <f>IF(PRELIM!B23="","",PRELIM!B23)</f>
        <v>LAGUIDAN, PRINCESS JEAN A.</v>
      </c>
      <c r="C23" s="38" t="s">
        <v>190</v>
      </c>
      <c r="D23" s="38" t="s">
        <v>190</v>
      </c>
      <c r="E23" s="38" t="s">
        <v>236</v>
      </c>
      <c r="F23" s="38" t="s">
        <v>190</v>
      </c>
      <c r="G23" s="38" t="s">
        <v>190</v>
      </c>
      <c r="H23" s="38" t="s">
        <v>190</v>
      </c>
      <c r="I23" s="38" t="s">
        <v>190</v>
      </c>
      <c r="J23" s="38" t="s">
        <v>190</v>
      </c>
      <c r="K23" s="38" t="s">
        <v>190</v>
      </c>
      <c r="L23" s="38" t="s">
        <v>190</v>
      </c>
      <c r="M23" s="38" t="s">
        <v>190</v>
      </c>
      <c r="N23" s="38"/>
      <c r="O23" s="38"/>
      <c r="P23" s="38"/>
      <c r="Q23" s="38"/>
      <c r="R23" s="38"/>
      <c r="S23" s="38"/>
      <c r="T23" s="38"/>
      <c r="U23" s="38"/>
      <c r="V23" s="38"/>
      <c r="W23" s="39">
        <f t="shared" si="6"/>
        <v>94.545454545454547</v>
      </c>
      <c r="X23" s="38">
        <v>6</v>
      </c>
      <c r="Y23" s="38">
        <v>8</v>
      </c>
      <c r="Z23" s="38">
        <v>7</v>
      </c>
      <c r="AA23" s="38">
        <v>4</v>
      </c>
      <c r="AB23" s="38">
        <v>6</v>
      </c>
      <c r="AC23" s="38">
        <v>3</v>
      </c>
      <c r="AD23" s="38">
        <v>4</v>
      </c>
      <c r="AE23" s="38">
        <v>3</v>
      </c>
      <c r="AF23" s="38">
        <v>28</v>
      </c>
      <c r="AG23" s="38"/>
      <c r="AH23" s="40">
        <f t="shared" si="7"/>
        <v>76</v>
      </c>
      <c r="AI23" s="40">
        <f t="shared" si="7"/>
        <v>88</v>
      </c>
      <c r="AJ23" s="40">
        <f t="shared" si="7"/>
        <v>82</v>
      </c>
      <c r="AK23" s="40">
        <f t="shared" si="7"/>
        <v>64</v>
      </c>
      <c r="AL23" s="40">
        <f t="shared" si="7"/>
        <v>76</v>
      </c>
      <c r="AM23" s="40">
        <f t="shared" si="7"/>
        <v>58</v>
      </c>
      <c r="AN23" s="40">
        <f t="shared" si="7"/>
        <v>64</v>
      </c>
      <c r="AO23" s="40">
        <f t="shared" si="7"/>
        <v>58</v>
      </c>
      <c r="AP23" s="40">
        <f t="shared" si="7"/>
        <v>82</v>
      </c>
      <c r="AQ23" s="40" t="str">
        <f t="shared" si="7"/>
        <v xml:space="preserve"> </v>
      </c>
      <c r="AR23" s="41">
        <f t="shared" si="8"/>
        <v>72</v>
      </c>
      <c r="AS23" s="38">
        <v>100</v>
      </c>
      <c r="AT23" s="38">
        <v>100</v>
      </c>
      <c r="AU23" s="38">
        <v>100</v>
      </c>
      <c r="AV23" s="38"/>
      <c r="AW23" s="38"/>
      <c r="AX23" s="38"/>
      <c r="AY23" s="38"/>
      <c r="AZ23" s="38"/>
      <c r="BA23" s="38"/>
      <c r="BB23" s="38"/>
      <c r="BC23" s="42">
        <f t="shared" si="9"/>
        <v>100</v>
      </c>
      <c r="BD23" s="42">
        <f t="shared" si="9"/>
        <v>100</v>
      </c>
      <c r="BE23" s="42">
        <f t="shared" si="9"/>
        <v>100</v>
      </c>
      <c r="BF23" s="42" t="str">
        <f t="shared" si="9"/>
        <v xml:space="preserve"> </v>
      </c>
      <c r="BG23" s="42" t="str">
        <f t="shared" si="9"/>
        <v xml:space="preserve"> </v>
      </c>
      <c r="BH23" s="42" t="str">
        <f t="shared" si="9"/>
        <v xml:space="preserve"> </v>
      </c>
      <c r="BI23" s="42" t="str">
        <f t="shared" si="9"/>
        <v xml:space="preserve"> </v>
      </c>
      <c r="BJ23" s="42" t="str">
        <f t="shared" si="9"/>
        <v xml:space="preserve"> </v>
      </c>
      <c r="BK23" s="42" t="str">
        <f t="shared" si="9"/>
        <v xml:space="preserve"> </v>
      </c>
      <c r="BL23" s="42" t="str">
        <f t="shared" si="9"/>
        <v xml:space="preserve"> </v>
      </c>
      <c r="BM23" s="43">
        <f t="shared" si="10"/>
        <v>100</v>
      </c>
      <c r="BN23" s="38">
        <v>45</v>
      </c>
      <c r="BO23" s="44">
        <f t="shared" si="11"/>
        <v>67</v>
      </c>
      <c r="BP23" s="20"/>
      <c r="BQ23" s="39">
        <f t="shared" si="20"/>
        <v>74.577272727272728</v>
      </c>
      <c r="BR23" s="23" t="str">
        <f t="shared" si="21"/>
        <v>PASSED</v>
      </c>
      <c r="BS23" s="45"/>
      <c r="BT23" s="46"/>
      <c r="BU23" s="46"/>
      <c r="BV23" s="46"/>
      <c r="BW23" s="21">
        <f t="shared" si="12"/>
        <v>1</v>
      </c>
      <c r="BX23" s="22">
        <f t="shared" si="12"/>
        <v>1</v>
      </c>
      <c r="BY23" s="22" t="str">
        <f t="shared" si="12"/>
        <v/>
      </c>
      <c r="BZ23" s="22">
        <f t="shared" si="12"/>
        <v>1</v>
      </c>
      <c r="CA23" s="22">
        <f t="shared" si="12"/>
        <v>1</v>
      </c>
      <c r="CB23" s="22">
        <f t="shared" si="12"/>
        <v>1</v>
      </c>
      <c r="CC23" s="22">
        <f t="shared" si="12"/>
        <v>1</v>
      </c>
      <c r="CD23" s="22">
        <f t="shared" si="12"/>
        <v>1</v>
      </c>
      <c r="CE23" s="22">
        <f t="shared" si="12"/>
        <v>1</v>
      </c>
      <c r="CF23" s="22">
        <f t="shared" si="12"/>
        <v>1</v>
      </c>
      <c r="CG23" s="22">
        <f t="shared" si="12"/>
        <v>1</v>
      </c>
      <c r="CH23" s="22" t="str">
        <f t="shared" si="12"/>
        <v/>
      </c>
      <c r="CI23" s="22" t="str">
        <f t="shared" si="12"/>
        <v/>
      </c>
      <c r="CJ23" s="22" t="str">
        <f t="shared" si="12"/>
        <v/>
      </c>
      <c r="CK23" s="22" t="str">
        <f t="shared" si="12"/>
        <v/>
      </c>
      <c r="CL23" s="22" t="str">
        <f t="shared" si="12"/>
        <v/>
      </c>
      <c r="CM23" s="22" t="str">
        <f t="shared" si="13"/>
        <v/>
      </c>
      <c r="CN23" s="22" t="str">
        <f t="shared" si="13"/>
        <v/>
      </c>
      <c r="CO23" s="22" t="str">
        <f t="shared" si="13"/>
        <v/>
      </c>
      <c r="CP23" s="22" t="str">
        <f t="shared" si="13"/>
        <v/>
      </c>
      <c r="CQ23" s="22">
        <f t="shared" si="22"/>
        <v>10</v>
      </c>
      <c r="CR23" s="22">
        <f t="shared" si="3"/>
        <v>11</v>
      </c>
      <c r="CS23" s="22" t="str">
        <f t="shared" si="14"/>
        <v/>
      </c>
      <c r="CT23" s="22" t="str">
        <f t="shared" si="14"/>
        <v/>
      </c>
      <c r="CU23" s="22" t="str">
        <f t="shared" si="14"/>
        <v/>
      </c>
      <c r="CV23" s="22" t="str">
        <f t="shared" si="14"/>
        <v/>
      </c>
      <c r="CW23" s="22" t="str">
        <f t="shared" si="14"/>
        <v/>
      </c>
      <c r="CX23" s="22" t="str">
        <f t="shared" si="14"/>
        <v/>
      </c>
      <c r="CY23" s="22" t="str">
        <f t="shared" si="14"/>
        <v/>
      </c>
      <c r="CZ23" s="22" t="str">
        <f t="shared" si="14"/>
        <v/>
      </c>
      <c r="DA23" s="22" t="str">
        <f t="shared" si="14"/>
        <v/>
      </c>
      <c r="DB23" s="22" t="str">
        <f t="shared" si="14"/>
        <v/>
      </c>
      <c r="DC23" s="22" t="str">
        <f t="shared" si="14"/>
        <v/>
      </c>
      <c r="DD23" s="22" t="str">
        <f t="shared" si="14"/>
        <v/>
      </c>
      <c r="DE23" s="22" t="str">
        <f t="shared" si="14"/>
        <v/>
      </c>
      <c r="DF23" s="22" t="str">
        <f t="shared" si="14"/>
        <v/>
      </c>
      <c r="DG23" s="22" t="str">
        <f t="shared" si="14"/>
        <v/>
      </c>
      <c r="DH23" s="22" t="str">
        <f t="shared" si="14"/>
        <v/>
      </c>
      <c r="DI23" s="22" t="str">
        <f t="shared" si="15"/>
        <v/>
      </c>
      <c r="DJ23" s="22" t="str">
        <f t="shared" si="15"/>
        <v/>
      </c>
      <c r="DK23" s="22" t="str">
        <f t="shared" si="15"/>
        <v/>
      </c>
      <c r="DL23" s="22" t="str">
        <f t="shared" si="15"/>
        <v/>
      </c>
      <c r="DM23" s="22">
        <f t="shared" si="16"/>
        <v>0</v>
      </c>
      <c r="DN23" s="36">
        <f t="shared" si="17"/>
        <v>10</v>
      </c>
      <c r="DO23" s="36">
        <f t="shared" si="17"/>
        <v>10</v>
      </c>
      <c r="DP23" s="36">
        <f t="shared" si="17"/>
        <v>10</v>
      </c>
      <c r="DQ23" s="36">
        <f t="shared" si="17"/>
        <v>10</v>
      </c>
      <c r="DR23" s="36">
        <f t="shared" si="17"/>
        <v>10</v>
      </c>
      <c r="DS23" s="36">
        <f t="shared" si="17"/>
        <v>10</v>
      </c>
      <c r="DT23" s="36">
        <f t="shared" si="17"/>
        <v>10</v>
      </c>
      <c r="DU23" s="36">
        <f t="shared" si="17"/>
        <v>10</v>
      </c>
      <c r="DV23" s="36">
        <f t="shared" si="17"/>
        <v>40</v>
      </c>
      <c r="DW23" s="36">
        <f t="shared" si="17"/>
        <v>0</v>
      </c>
      <c r="DX23" s="23">
        <f t="shared" si="17"/>
        <v>9</v>
      </c>
      <c r="DY23" s="23">
        <f t="shared" si="18"/>
        <v>100</v>
      </c>
      <c r="DZ23" s="23">
        <f t="shared" si="19"/>
        <v>100</v>
      </c>
      <c r="EA23" s="23">
        <f t="shared" si="19"/>
        <v>100</v>
      </c>
      <c r="EB23" s="23">
        <f t="shared" si="19"/>
        <v>0</v>
      </c>
      <c r="EC23" s="23">
        <f t="shared" si="19"/>
        <v>0</v>
      </c>
      <c r="ED23" s="23">
        <f t="shared" si="19"/>
        <v>0</v>
      </c>
      <c r="EE23" s="23">
        <f t="shared" si="19"/>
        <v>0</v>
      </c>
      <c r="EF23" s="23">
        <f t="shared" si="19"/>
        <v>0</v>
      </c>
      <c r="EG23" s="23">
        <f t="shared" si="19"/>
        <v>0</v>
      </c>
      <c r="EH23" s="23">
        <f t="shared" si="19"/>
        <v>0</v>
      </c>
      <c r="EI23" s="23">
        <f t="shared" si="19"/>
        <v>3</v>
      </c>
      <c r="EJ23" s="23">
        <f t="shared" si="19"/>
        <v>100</v>
      </c>
    </row>
    <row r="24" spans="1:140" ht="9.9" customHeight="1" x14ac:dyDescent="0.3">
      <c r="A24" s="23">
        <v>15</v>
      </c>
      <c r="B24" s="50" t="str">
        <f>IF(PRELIM!B24="","",PRELIM!B24)</f>
        <v>LAGUROS, LYKA A.</v>
      </c>
      <c r="C24" s="38" t="s">
        <v>190</v>
      </c>
      <c r="D24" s="38" t="s">
        <v>190</v>
      </c>
      <c r="E24" s="38" t="s">
        <v>190</v>
      </c>
      <c r="F24" s="38" t="s">
        <v>190</v>
      </c>
      <c r="G24" s="38" t="s">
        <v>190</v>
      </c>
      <c r="H24" s="38" t="s">
        <v>190</v>
      </c>
      <c r="I24" s="38" t="s">
        <v>190</v>
      </c>
      <c r="J24" s="38" t="s">
        <v>190</v>
      </c>
      <c r="K24" s="38" t="s">
        <v>190</v>
      </c>
      <c r="L24" s="38" t="s">
        <v>190</v>
      </c>
      <c r="M24" s="38" t="s">
        <v>190</v>
      </c>
      <c r="N24" s="38"/>
      <c r="O24" s="38"/>
      <c r="P24" s="38"/>
      <c r="Q24" s="38"/>
      <c r="R24" s="38"/>
      <c r="S24" s="38"/>
      <c r="T24" s="38"/>
      <c r="U24" s="38"/>
      <c r="V24" s="38"/>
      <c r="W24" s="39">
        <f t="shared" si="6"/>
        <v>100</v>
      </c>
      <c r="X24" s="38">
        <v>7</v>
      </c>
      <c r="Y24" s="38">
        <v>7</v>
      </c>
      <c r="Z24" s="38">
        <v>7</v>
      </c>
      <c r="AA24" s="38">
        <v>8</v>
      </c>
      <c r="AB24" s="38">
        <v>8</v>
      </c>
      <c r="AC24" s="38">
        <v>5</v>
      </c>
      <c r="AD24" s="38">
        <v>6</v>
      </c>
      <c r="AE24" s="38">
        <v>3</v>
      </c>
      <c r="AF24" s="38">
        <v>25</v>
      </c>
      <c r="AG24" s="38"/>
      <c r="AH24" s="40">
        <f t="shared" si="7"/>
        <v>82</v>
      </c>
      <c r="AI24" s="40">
        <f t="shared" si="7"/>
        <v>82</v>
      </c>
      <c r="AJ24" s="40">
        <f t="shared" si="7"/>
        <v>82</v>
      </c>
      <c r="AK24" s="40">
        <f t="shared" si="7"/>
        <v>88</v>
      </c>
      <c r="AL24" s="40">
        <f t="shared" si="7"/>
        <v>88</v>
      </c>
      <c r="AM24" s="40">
        <f t="shared" si="7"/>
        <v>70</v>
      </c>
      <c r="AN24" s="40">
        <f t="shared" si="7"/>
        <v>76</v>
      </c>
      <c r="AO24" s="40">
        <f t="shared" si="7"/>
        <v>58</v>
      </c>
      <c r="AP24" s="40">
        <f t="shared" si="7"/>
        <v>77.5</v>
      </c>
      <c r="AQ24" s="40" t="str">
        <f t="shared" si="7"/>
        <v xml:space="preserve"> </v>
      </c>
      <c r="AR24" s="41">
        <f t="shared" si="8"/>
        <v>78.166666666666671</v>
      </c>
      <c r="AS24" s="38">
        <v>100</v>
      </c>
      <c r="AT24" s="38">
        <v>100</v>
      </c>
      <c r="AU24" s="38">
        <v>100</v>
      </c>
      <c r="AV24" s="38"/>
      <c r="AW24" s="38"/>
      <c r="AX24" s="38"/>
      <c r="AY24" s="38"/>
      <c r="AZ24" s="38"/>
      <c r="BA24" s="38"/>
      <c r="BB24" s="38"/>
      <c r="BC24" s="42">
        <f t="shared" si="9"/>
        <v>100</v>
      </c>
      <c r="BD24" s="42">
        <f t="shared" si="9"/>
        <v>100</v>
      </c>
      <c r="BE24" s="42">
        <f t="shared" si="9"/>
        <v>100</v>
      </c>
      <c r="BF24" s="42" t="str">
        <f t="shared" si="9"/>
        <v xml:space="preserve"> </v>
      </c>
      <c r="BG24" s="42" t="str">
        <f t="shared" si="9"/>
        <v xml:space="preserve"> </v>
      </c>
      <c r="BH24" s="42" t="str">
        <f t="shared" si="9"/>
        <v xml:space="preserve"> </v>
      </c>
      <c r="BI24" s="42" t="str">
        <f t="shared" si="9"/>
        <v xml:space="preserve"> </v>
      </c>
      <c r="BJ24" s="42" t="str">
        <f t="shared" si="9"/>
        <v xml:space="preserve"> </v>
      </c>
      <c r="BK24" s="42" t="str">
        <f t="shared" si="9"/>
        <v xml:space="preserve"> </v>
      </c>
      <c r="BL24" s="42" t="str">
        <f t="shared" si="9"/>
        <v xml:space="preserve"> </v>
      </c>
      <c r="BM24" s="43">
        <f t="shared" si="10"/>
        <v>100</v>
      </c>
      <c r="BN24" s="38">
        <v>65</v>
      </c>
      <c r="BO24" s="44">
        <f t="shared" si="11"/>
        <v>79</v>
      </c>
      <c r="BP24" s="20"/>
      <c r="BQ24" s="39">
        <f t="shared" si="20"/>
        <v>82.991666666666674</v>
      </c>
      <c r="BR24" s="23" t="str">
        <f t="shared" si="21"/>
        <v>PASSED</v>
      </c>
      <c r="BS24" s="45"/>
      <c r="BT24" s="46"/>
      <c r="BU24" s="46"/>
      <c r="BV24" s="46"/>
      <c r="BW24" s="21">
        <f t="shared" si="12"/>
        <v>1</v>
      </c>
      <c r="BX24" s="22">
        <f t="shared" si="12"/>
        <v>1</v>
      </c>
      <c r="BY24" s="22">
        <f t="shared" si="12"/>
        <v>1</v>
      </c>
      <c r="BZ24" s="22">
        <f t="shared" si="12"/>
        <v>1</v>
      </c>
      <c r="CA24" s="22">
        <f t="shared" si="12"/>
        <v>1</v>
      </c>
      <c r="CB24" s="22">
        <f t="shared" si="12"/>
        <v>1</v>
      </c>
      <c r="CC24" s="22">
        <f t="shared" si="12"/>
        <v>1</v>
      </c>
      <c r="CD24" s="22">
        <f t="shared" si="12"/>
        <v>1</v>
      </c>
      <c r="CE24" s="22">
        <f t="shared" si="12"/>
        <v>1</v>
      </c>
      <c r="CF24" s="22">
        <f t="shared" si="12"/>
        <v>1</v>
      </c>
      <c r="CG24" s="22">
        <f t="shared" si="12"/>
        <v>1</v>
      </c>
      <c r="CH24" s="22" t="str">
        <f t="shared" si="12"/>
        <v/>
      </c>
      <c r="CI24" s="22" t="str">
        <f t="shared" si="12"/>
        <v/>
      </c>
      <c r="CJ24" s="22" t="str">
        <f t="shared" si="12"/>
        <v/>
      </c>
      <c r="CK24" s="22" t="str">
        <f t="shared" si="12"/>
        <v/>
      </c>
      <c r="CL24" s="22" t="str">
        <f t="shared" si="12"/>
        <v/>
      </c>
      <c r="CM24" s="22" t="str">
        <f t="shared" si="13"/>
        <v/>
      </c>
      <c r="CN24" s="22" t="str">
        <f t="shared" si="13"/>
        <v/>
      </c>
      <c r="CO24" s="22" t="str">
        <f t="shared" si="13"/>
        <v/>
      </c>
      <c r="CP24" s="22" t="str">
        <f t="shared" si="13"/>
        <v/>
      </c>
      <c r="CQ24" s="22">
        <f t="shared" si="22"/>
        <v>11</v>
      </c>
      <c r="CR24" s="22">
        <f t="shared" si="3"/>
        <v>11</v>
      </c>
      <c r="CS24" s="22" t="str">
        <f t="shared" si="14"/>
        <v/>
      </c>
      <c r="CT24" s="22" t="str">
        <f t="shared" si="14"/>
        <v/>
      </c>
      <c r="CU24" s="22" t="str">
        <f t="shared" si="14"/>
        <v/>
      </c>
      <c r="CV24" s="22" t="str">
        <f t="shared" si="14"/>
        <v/>
      </c>
      <c r="CW24" s="22" t="str">
        <f t="shared" si="14"/>
        <v/>
      </c>
      <c r="CX24" s="22" t="str">
        <f t="shared" si="14"/>
        <v/>
      </c>
      <c r="CY24" s="22" t="str">
        <f t="shared" si="14"/>
        <v/>
      </c>
      <c r="CZ24" s="22" t="str">
        <f t="shared" si="14"/>
        <v/>
      </c>
      <c r="DA24" s="22" t="str">
        <f t="shared" si="14"/>
        <v/>
      </c>
      <c r="DB24" s="22" t="str">
        <f t="shared" si="14"/>
        <v/>
      </c>
      <c r="DC24" s="22" t="str">
        <f t="shared" si="14"/>
        <v/>
      </c>
      <c r="DD24" s="22" t="str">
        <f t="shared" si="14"/>
        <v/>
      </c>
      <c r="DE24" s="22" t="str">
        <f t="shared" si="14"/>
        <v/>
      </c>
      <c r="DF24" s="22" t="str">
        <f t="shared" si="14"/>
        <v/>
      </c>
      <c r="DG24" s="22" t="str">
        <f t="shared" si="14"/>
        <v/>
      </c>
      <c r="DH24" s="22" t="str">
        <f t="shared" si="14"/>
        <v/>
      </c>
      <c r="DI24" s="22" t="str">
        <f t="shared" si="15"/>
        <v/>
      </c>
      <c r="DJ24" s="22" t="str">
        <f t="shared" si="15"/>
        <v/>
      </c>
      <c r="DK24" s="22" t="str">
        <f t="shared" si="15"/>
        <v/>
      </c>
      <c r="DL24" s="22" t="str">
        <f t="shared" si="15"/>
        <v/>
      </c>
      <c r="DM24" s="22">
        <f t="shared" si="16"/>
        <v>0</v>
      </c>
      <c r="DN24" s="36">
        <f t="shared" si="17"/>
        <v>10</v>
      </c>
      <c r="DO24" s="36">
        <f t="shared" si="17"/>
        <v>10</v>
      </c>
      <c r="DP24" s="36">
        <f t="shared" si="17"/>
        <v>10</v>
      </c>
      <c r="DQ24" s="36">
        <f t="shared" si="17"/>
        <v>10</v>
      </c>
      <c r="DR24" s="36">
        <f t="shared" si="17"/>
        <v>10</v>
      </c>
      <c r="DS24" s="36">
        <f t="shared" si="17"/>
        <v>10</v>
      </c>
      <c r="DT24" s="36">
        <f t="shared" si="17"/>
        <v>10</v>
      </c>
      <c r="DU24" s="36">
        <f t="shared" si="17"/>
        <v>10</v>
      </c>
      <c r="DV24" s="36">
        <f t="shared" si="17"/>
        <v>40</v>
      </c>
      <c r="DW24" s="36">
        <f t="shared" si="17"/>
        <v>0</v>
      </c>
      <c r="DX24" s="23">
        <f t="shared" si="17"/>
        <v>9</v>
      </c>
      <c r="DY24" s="23">
        <f t="shared" si="18"/>
        <v>100</v>
      </c>
      <c r="DZ24" s="23">
        <f t="shared" si="19"/>
        <v>100</v>
      </c>
      <c r="EA24" s="23">
        <f t="shared" si="19"/>
        <v>100</v>
      </c>
      <c r="EB24" s="23">
        <f t="shared" si="19"/>
        <v>0</v>
      </c>
      <c r="EC24" s="23">
        <f t="shared" si="19"/>
        <v>0</v>
      </c>
      <c r="ED24" s="23">
        <f t="shared" si="19"/>
        <v>0</v>
      </c>
      <c r="EE24" s="23">
        <f t="shared" si="19"/>
        <v>0</v>
      </c>
      <c r="EF24" s="23">
        <f t="shared" si="19"/>
        <v>0</v>
      </c>
      <c r="EG24" s="23">
        <f t="shared" si="19"/>
        <v>0</v>
      </c>
      <c r="EH24" s="23">
        <f t="shared" si="19"/>
        <v>0</v>
      </c>
      <c r="EI24" s="23">
        <f t="shared" si="19"/>
        <v>3</v>
      </c>
      <c r="EJ24" s="23">
        <f t="shared" si="19"/>
        <v>100</v>
      </c>
    </row>
    <row r="25" spans="1:140" ht="9.9" customHeight="1" x14ac:dyDescent="0.3">
      <c r="A25" s="23">
        <v>16</v>
      </c>
      <c r="B25" s="50" t="str">
        <f>IF(PRELIM!B25="","",PRELIM!B25)</f>
        <v>LAIDAN, JOSEPH G.</v>
      </c>
      <c r="C25" s="38" t="s">
        <v>190</v>
      </c>
      <c r="D25" s="38" t="s">
        <v>190</v>
      </c>
      <c r="E25" s="38" t="s">
        <v>190</v>
      </c>
      <c r="F25" s="38" t="s">
        <v>190</v>
      </c>
      <c r="G25" s="38" t="s">
        <v>190</v>
      </c>
      <c r="H25" s="38" t="s">
        <v>190</v>
      </c>
      <c r="I25" s="38" t="s">
        <v>190</v>
      </c>
      <c r="J25" s="38" t="s">
        <v>190</v>
      </c>
      <c r="K25" s="38" t="s">
        <v>190</v>
      </c>
      <c r="L25" s="38" t="s">
        <v>190</v>
      </c>
      <c r="M25" s="38" t="s">
        <v>190</v>
      </c>
      <c r="N25" s="38"/>
      <c r="O25" s="38"/>
      <c r="P25" s="38"/>
      <c r="Q25" s="38"/>
      <c r="R25" s="38"/>
      <c r="S25" s="38"/>
      <c r="T25" s="38"/>
      <c r="U25" s="38"/>
      <c r="V25" s="38"/>
      <c r="W25" s="39">
        <f t="shared" si="6"/>
        <v>100</v>
      </c>
      <c r="X25" s="38">
        <v>7</v>
      </c>
      <c r="Y25" s="38">
        <v>8</v>
      </c>
      <c r="Z25" s="38">
        <v>6</v>
      </c>
      <c r="AA25" s="38">
        <v>7</v>
      </c>
      <c r="AB25" s="38">
        <v>7</v>
      </c>
      <c r="AC25" s="38">
        <v>6</v>
      </c>
      <c r="AD25" s="38">
        <v>5</v>
      </c>
      <c r="AE25" s="38">
        <v>6</v>
      </c>
      <c r="AF25" s="38">
        <v>20</v>
      </c>
      <c r="AG25" s="38"/>
      <c r="AH25" s="40">
        <f t="shared" si="7"/>
        <v>82</v>
      </c>
      <c r="AI25" s="40">
        <f t="shared" si="7"/>
        <v>88</v>
      </c>
      <c r="AJ25" s="40">
        <f t="shared" si="7"/>
        <v>76</v>
      </c>
      <c r="AK25" s="40">
        <f t="shared" si="7"/>
        <v>82</v>
      </c>
      <c r="AL25" s="40">
        <f t="shared" si="7"/>
        <v>82</v>
      </c>
      <c r="AM25" s="40">
        <f t="shared" si="7"/>
        <v>76</v>
      </c>
      <c r="AN25" s="40">
        <f t="shared" si="7"/>
        <v>70</v>
      </c>
      <c r="AO25" s="40">
        <f t="shared" si="7"/>
        <v>76</v>
      </c>
      <c r="AP25" s="40">
        <f t="shared" si="7"/>
        <v>70</v>
      </c>
      <c r="AQ25" s="40" t="str">
        <f t="shared" si="7"/>
        <v xml:space="preserve"> </v>
      </c>
      <c r="AR25" s="41">
        <f t="shared" si="8"/>
        <v>78</v>
      </c>
      <c r="AS25" s="38">
        <v>100</v>
      </c>
      <c r="AT25" s="38">
        <v>100</v>
      </c>
      <c r="AU25" s="38">
        <v>100</v>
      </c>
      <c r="AV25" s="38"/>
      <c r="AW25" s="38"/>
      <c r="AX25" s="38"/>
      <c r="AY25" s="38"/>
      <c r="AZ25" s="38"/>
      <c r="BA25" s="38"/>
      <c r="BB25" s="38"/>
      <c r="BC25" s="42">
        <f t="shared" si="9"/>
        <v>100</v>
      </c>
      <c r="BD25" s="42">
        <f t="shared" si="9"/>
        <v>100</v>
      </c>
      <c r="BE25" s="42">
        <f t="shared" si="9"/>
        <v>100</v>
      </c>
      <c r="BF25" s="42" t="str">
        <f t="shared" si="9"/>
        <v xml:space="preserve"> </v>
      </c>
      <c r="BG25" s="42" t="str">
        <f t="shared" si="9"/>
        <v xml:space="preserve"> </v>
      </c>
      <c r="BH25" s="42" t="str">
        <f t="shared" si="9"/>
        <v xml:space="preserve"> </v>
      </c>
      <c r="BI25" s="42" t="str">
        <f t="shared" si="9"/>
        <v xml:space="preserve"> </v>
      </c>
      <c r="BJ25" s="42" t="str">
        <f t="shared" si="9"/>
        <v xml:space="preserve"> </v>
      </c>
      <c r="BK25" s="42" t="str">
        <f t="shared" si="9"/>
        <v xml:space="preserve"> </v>
      </c>
      <c r="BL25" s="42" t="str">
        <f t="shared" si="9"/>
        <v xml:space="preserve"> </v>
      </c>
      <c r="BM25" s="43">
        <f t="shared" si="10"/>
        <v>100</v>
      </c>
      <c r="BN25" s="38">
        <v>62</v>
      </c>
      <c r="BO25" s="44">
        <f t="shared" si="11"/>
        <v>77.2</v>
      </c>
      <c r="BP25" s="20"/>
      <c r="BQ25" s="39">
        <f t="shared" si="20"/>
        <v>81.960000000000008</v>
      </c>
      <c r="BR25" s="23" t="str">
        <f t="shared" si="21"/>
        <v>PASSED</v>
      </c>
      <c r="BS25" s="45"/>
      <c r="BT25" s="46"/>
      <c r="BU25" s="46"/>
      <c r="BV25" s="46"/>
      <c r="BW25" s="21">
        <f t="shared" si="12"/>
        <v>1</v>
      </c>
      <c r="BX25" s="22">
        <f t="shared" si="12"/>
        <v>1</v>
      </c>
      <c r="BY25" s="22">
        <f t="shared" si="12"/>
        <v>1</v>
      </c>
      <c r="BZ25" s="22">
        <f t="shared" si="12"/>
        <v>1</v>
      </c>
      <c r="CA25" s="22">
        <f t="shared" si="12"/>
        <v>1</v>
      </c>
      <c r="CB25" s="22">
        <f t="shared" si="12"/>
        <v>1</v>
      </c>
      <c r="CC25" s="22">
        <f t="shared" si="12"/>
        <v>1</v>
      </c>
      <c r="CD25" s="22">
        <f t="shared" si="12"/>
        <v>1</v>
      </c>
      <c r="CE25" s="22">
        <f t="shared" si="12"/>
        <v>1</v>
      </c>
      <c r="CF25" s="22">
        <f t="shared" si="12"/>
        <v>1</v>
      </c>
      <c r="CG25" s="22">
        <f t="shared" si="12"/>
        <v>1</v>
      </c>
      <c r="CH25" s="22" t="str">
        <f t="shared" si="12"/>
        <v/>
      </c>
      <c r="CI25" s="22" t="str">
        <f t="shared" si="12"/>
        <v/>
      </c>
      <c r="CJ25" s="22" t="str">
        <f t="shared" si="12"/>
        <v/>
      </c>
      <c r="CK25" s="22" t="str">
        <f t="shared" si="12"/>
        <v/>
      </c>
      <c r="CL25" s="22" t="str">
        <f t="shared" ref="CL25:CP56" si="23">IF(R25="P",1,IF(R25="L",1,""))</f>
        <v/>
      </c>
      <c r="CM25" s="22" t="str">
        <f t="shared" si="13"/>
        <v/>
      </c>
      <c r="CN25" s="22" t="str">
        <f t="shared" si="13"/>
        <v/>
      </c>
      <c r="CO25" s="22" t="str">
        <f t="shared" si="13"/>
        <v/>
      </c>
      <c r="CP25" s="22" t="str">
        <f t="shared" si="13"/>
        <v/>
      </c>
      <c r="CQ25" s="22">
        <f t="shared" si="22"/>
        <v>11</v>
      </c>
      <c r="CR25" s="22">
        <f t="shared" si="3"/>
        <v>11</v>
      </c>
      <c r="CS25" s="22" t="str">
        <f t="shared" si="14"/>
        <v/>
      </c>
      <c r="CT25" s="22" t="str">
        <f t="shared" si="14"/>
        <v/>
      </c>
      <c r="CU25" s="22" t="str">
        <f t="shared" si="14"/>
        <v/>
      </c>
      <c r="CV25" s="22" t="str">
        <f t="shared" si="14"/>
        <v/>
      </c>
      <c r="CW25" s="22" t="str">
        <f t="shared" si="14"/>
        <v/>
      </c>
      <c r="CX25" s="22" t="str">
        <f t="shared" si="14"/>
        <v/>
      </c>
      <c r="CY25" s="22" t="str">
        <f t="shared" si="14"/>
        <v/>
      </c>
      <c r="CZ25" s="22" t="str">
        <f t="shared" si="14"/>
        <v/>
      </c>
      <c r="DA25" s="22" t="str">
        <f t="shared" si="14"/>
        <v/>
      </c>
      <c r="DB25" s="22" t="str">
        <f t="shared" si="14"/>
        <v/>
      </c>
      <c r="DC25" s="22" t="str">
        <f t="shared" si="14"/>
        <v/>
      </c>
      <c r="DD25" s="22" t="str">
        <f t="shared" si="14"/>
        <v/>
      </c>
      <c r="DE25" s="22" t="str">
        <f t="shared" si="14"/>
        <v/>
      </c>
      <c r="DF25" s="22" t="str">
        <f t="shared" si="14"/>
        <v/>
      </c>
      <c r="DG25" s="22" t="str">
        <f t="shared" si="14"/>
        <v/>
      </c>
      <c r="DH25" s="22" t="str">
        <f t="shared" ref="DH25:DL56" si="24">IF(R25="l",1,"")</f>
        <v/>
      </c>
      <c r="DI25" s="22" t="str">
        <f t="shared" si="15"/>
        <v/>
      </c>
      <c r="DJ25" s="22" t="str">
        <f t="shared" si="15"/>
        <v/>
      </c>
      <c r="DK25" s="22" t="str">
        <f t="shared" si="15"/>
        <v/>
      </c>
      <c r="DL25" s="22" t="str">
        <f t="shared" si="15"/>
        <v/>
      </c>
      <c r="DM25" s="22">
        <f t="shared" si="16"/>
        <v>0</v>
      </c>
      <c r="DN25" s="36">
        <f t="shared" si="17"/>
        <v>10</v>
      </c>
      <c r="DO25" s="36">
        <f t="shared" si="17"/>
        <v>10</v>
      </c>
      <c r="DP25" s="36">
        <f t="shared" si="17"/>
        <v>10</v>
      </c>
      <c r="DQ25" s="36">
        <f t="shared" si="17"/>
        <v>10</v>
      </c>
      <c r="DR25" s="36">
        <f t="shared" si="17"/>
        <v>10</v>
      </c>
      <c r="DS25" s="36">
        <f t="shared" si="17"/>
        <v>10</v>
      </c>
      <c r="DT25" s="36">
        <f t="shared" si="17"/>
        <v>10</v>
      </c>
      <c r="DU25" s="36">
        <f t="shared" si="17"/>
        <v>10</v>
      </c>
      <c r="DV25" s="36">
        <f t="shared" si="17"/>
        <v>40</v>
      </c>
      <c r="DW25" s="36">
        <f t="shared" si="17"/>
        <v>0</v>
      </c>
      <c r="DX25" s="23">
        <f t="shared" si="17"/>
        <v>9</v>
      </c>
      <c r="DY25" s="23">
        <f t="shared" si="18"/>
        <v>100</v>
      </c>
      <c r="DZ25" s="23">
        <f t="shared" si="19"/>
        <v>100</v>
      </c>
      <c r="EA25" s="23">
        <f t="shared" si="19"/>
        <v>100</v>
      </c>
      <c r="EB25" s="23">
        <f t="shared" si="19"/>
        <v>0</v>
      </c>
      <c r="EC25" s="23">
        <f t="shared" si="19"/>
        <v>0</v>
      </c>
      <c r="ED25" s="23">
        <f t="shared" si="19"/>
        <v>0</v>
      </c>
      <c r="EE25" s="23">
        <f t="shared" si="19"/>
        <v>0</v>
      </c>
      <c r="EF25" s="23">
        <f t="shared" si="19"/>
        <v>0</v>
      </c>
      <c r="EG25" s="23">
        <f t="shared" si="19"/>
        <v>0</v>
      </c>
      <c r="EH25" s="23">
        <f t="shared" si="19"/>
        <v>0</v>
      </c>
      <c r="EI25" s="23">
        <f t="shared" si="19"/>
        <v>3</v>
      </c>
      <c r="EJ25" s="23">
        <f t="shared" si="19"/>
        <v>100</v>
      </c>
    </row>
    <row r="26" spans="1:140" ht="9.9" customHeight="1" x14ac:dyDescent="0.3">
      <c r="A26" s="23">
        <v>17</v>
      </c>
      <c r="B26" s="50" t="str">
        <f>IF(PRELIM!B26="","",PRELIM!B26)</f>
        <v>LAPICEROS, ELVIE V.</v>
      </c>
      <c r="C26" s="38" t="s">
        <v>190</v>
      </c>
      <c r="D26" s="38" t="s">
        <v>190</v>
      </c>
      <c r="E26" s="38" t="s">
        <v>190</v>
      </c>
      <c r="F26" s="38" t="s">
        <v>190</v>
      </c>
      <c r="G26" s="38" t="s">
        <v>190</v>
      </c>
      <c r="H26" s="38" t="s">
        <v>190</v>
      </c>
      <c r="I26" s="38" t="s">
        <v>190</v>
      </c>
      <c r="J26" s="38" t="s">
        <v>190</v>
      </c>
      <c r="K26" s="38" t="s">
        <v>190</v>
      </c>
      <c r="L26" s="38" t="s">
        <v>190</v>
      </c>
      <c r="M26" s="38" t="s">
        <v>190</v>
      </c>
      <c r="N26" s="38"/>
      <c r="O26" s="38"/>
      <c r="P26" s="38"/>
      <c r="Q26" s="38"/>
      <c r="R26" s="38"/>
      <c r="S26" s="38"/>
      <c r="T26" s="38"/>
      <c r="U26" s="38"/>
      <c r="V26" s="38"/>
      <c r="W26" s="39">
        <f t="shared" si="6"/>
        <v>100</v>
      </c>
      <c r="X26" s="38">
        <v>8</v>
      </c>
      <c r="Y26" s="38">
        <v>8</v>
      </c>
      <c r="Z26" s="38">
        <v>8</v>
      </c>
      <c r="AA26" s="38">
        <v>8</v>
      </c>
      <c r="AB26" s="38">
        <v>8</v>
      </c>
      <c r="AC26" s="38">
        <v>8</v>
      </c>
      <c r="AD26" s="38">
        <v>8</v>
      </c>
      <c r="AE26" s="38">
        <v>7</v>
      </c>
      <c r="AF26" s="38">
        <v>32</v>
      </c>
      <c r="AG26" s="38"/>
      <c r="AH26" s="40">
        <f t="shared" si="7"/>
        <v>88</v>
      </c>
      <c r="AI26" s="40">
        <f t="shared" si="7"/>
        <v>88</v>
      </c>
      <c r="AJ26" s="40">
        <f t="shared" si="7"/>
        <v>88</v>
      </c>
      <c r="AK26" s="40">
        <f t="shared" si="7"/>
        <v>88</v>
      </c>
      <c r="AL26" s="40">
        <f t="shared" si="7"/>
        <v>88</v>
      </c>
      <c r="AM26" s="40">
        <f t="shared" si="7"/>
        <v>88</v>
      </c>
      <c r="AN26" s="40">
        <f t="shared" si="7"/>
        <v>88</v>
      </c>
      <c r="AO26" s="40">
        <f t="shared" si="7"/>
        <v>82</v>
      </c>
      <c r="AP26" s="40">
        <f t="shared" si="7"/>
        <v>88</v>
      </c>
      <c r="AQ26" s="40" t="str">
        <f t="shared" si="7"/>
        <v xml:space="preserve"> </v>
      </c>
      <c r="AR26" s="41">
        <f t="shared" si="8"/>
        <v>87.333333333333329</v>
      </c>
      <c r="AS26" s="38">
        <v>100</v>
      </c>
      <c r="AT26" s="38">
        <v>100</v>
      </c>
      <c r="AU26" s="38">
        <v>100</v>
      </c>
      <c r="AV26" s="38"/>
      <c r="AW26" s="38"/>
      <c r="AX26" s="38"/>
      <c r="AY26" s="38"/>
      <c r="AZ26" s="38"/>
      <c r="BA26" s="38"/>
      <c r="BB26" s="38"/>
      <c r="BC26" s="42">
        <f t="shared" si="9"/>
        <v>100</v>
      </c>
      <c r="BD26" s="42">
        <f t="shared" si="9"/>
        <v>100</v>
      </c>
      <c r="BE26" s="42">
        <f t="shared" si="9"/>
        <v>100</v>
      </c>
      <c r="BF26" s="42" t="str">
        <f t="shared" si="9"/>
        <v xml:space="preserve"> </v>
      </c>
      <c r="BG26" s="42" t="str">
        <f t="shared" si="9"/>
        <v xml:space="preserve"> </v>
      </c>
      <c r="BH26" s="42" t="str">
        <f t="shared" si="9"/>
        <v xml:space="preserve"> </v>
      </c>
      <c r="BI26" s="42" t="str">
        <f t="shared" si="9"/>
        <v xml:space="preserve"> </v>
      </c>
      <c r="BJ26" s="42" t="str">
        <f t="shared" si="9"/>
        <v xml:space="preserve"> </v>
      </c>
      <c r="BK26" s="42" t="str">
        <f t="shared" si="9"/>
        <v xml:space="preserve"> </v>
      </c>
      <c r="BL26" s="42" t="str">
        <f t="shared" si="9"/>
        <v xml:space="preserve"> </v>
      </c>
      <c r="BM26" s="43">
        <f t="shared" si="10"/>
        <v>100</v>
      </c>
      <c r="BN26" s="38">
        <v>85</v>
      </c>
      <c r="BO26" s="44">
        <f t="shared" si="11"/>
        <v>91</v>
      </c>
      <c r="BP26" s="20"/>
      <c r="BQ26" s="39">
        <f t="shared" si="20"/>
        <v>91.883333333333326</v>
      </c>
      <c r="BR26" s="23" t="str">
        <f t="shared" si="21"/>
        <v>PASSED</v>
      </c>
      <c r="BS26" s="45"/>
      <c r="BT26" s="46"/>
      <c r="BU26" s="46"/>
      <c r="BV26" s="46"/>
      <c r="BW26" s="21">
        <f t="shared" ref="BW26:CK42" si="25">IF(C26="P",1,IF(C26="L",1,""))</f>
        <v>1</v>
      </c>
      <c r="BX26" s="22">
        <f t="shared" si="25"/>
        <v>1</v>
      </c>
      <c r="BY26" s="22">
        <f t="shared" si="25"/>
        <v>1</v>
      </c>
      <c r="BZ26" s="22">
        <f t="shared" si="25"/>
        <v>1</v>
      </c>
      <c r="CA26" s="22">
        <f t="shared" si="25"/>
        <v>1</v>
      </c>
      <c r="CB26" s="22">
        <f t="shared" si="25"/>
        <v>1</v>
      </c>
      <c r="CC26" s="22">
        <f t="shared" si="25"/>
        <v>1</v>
      </c>
      <c r="CD26" s="22">
        <f t="shared" si="25"/>
        <v>1</v>
      </c>
      <c r="CE26" s="22">
        <f t="shared" si="25"/>
        <v>1</v>
      </c>
      <c r="CF26" s="22">
        <f t="shared" si="25"/>
        <v>1</v>
      </c>
      <c r="CG26" s="22">
        <f t="shared" si="25"/>
        <v>1</v>
      </c>
      <c r="CH26" s="22" t="str">
        <f t="shared" si="25"/>
        <v/>
      </c>
      <c r="CI26" s="22" t="str">
        <f t="shared" si="25"/>
        <v/>
      </c>
      <c r="CJ26" s="22" t="str">
        <f t="shared" si="25"/>
        <v/>
      </c>
      <c r="CK26" s="22" t="str">
        <f t="shared" si="25"/>
        <v/>
      </c>
      <c r="CL26" s="22" t="str">
        <f t="shared" si="23"/>
        <v/>
      </c>
      <c r="CM26" s="22" t="str">
        <f t="shared" si="13"/>
        <v/>
      </c>
      <c r="CN26" s="22" t="str">
        <f t="shared" si="13"/>
        <v/>
      </c>
      <c r="CO26" s="22" t="str">
        <f t="shared" si="13"/>
        <v/>
      </c>
      <c r="CP26" s="22" t="str">
        <f t="shared" si="13"/>
        <v/>
      </c>
      <c r="CQ26" s="22">
        <f t="shared" si="22"/>
        <v>11</v>
      </c>
      <c r="CR26" s="22">
        <f t="shared" si="3"/>
        <v>11</v>
      </c>
      <c r="CS26" s="22" t="str">
        <f t="shared" ref="CS26:DG42" si="26">IF(C26="l",1,"")</f>
        <v/>
      </c>
      <c r="CT26" s="22" t="str">
        <f t="shared" si="26"/>
        <v/>
      </c>
      <c r="CU26" s="22" t="str">
        <f t="shared" si="26"/>
        <v/>
      </c>
      <c r="CV26" s="22" t="str">
        <f t="shared" si="26"/>
        <v/>
      </c>
      <c r="CW26" s="22" t="str">
        <f t="shared" si="26"/>
        <v/>
      </c>
      <c r="CX26" s="22" t="str">
        <f t="shared" si="26"/>
        <v/>
      </c>
      <c r="CY26" s="22" t="str">
        <f t="shared" si="26"/>
        <v/>
      </c>
      <c r="CZ26" s="22" t="str">
        <f t="shared" si="26"/>
        <v/>
      </c>
      <c r="DA26" s="22" t="str">
        <f t="shared" si="26"/>
        <v/>
      </c>
      <c r="DB26" s="22" t="str">
        <f t="shared" si="26"/>
        <v/>
      </c>
      <c r="DC26" s="22" t="str">
        <f t="shared" si="26"/>
        <v/>
      </c>
      <c r="DD26" s="22" t="str">
        <f t="shared" si="26"/>
        <v/>
      </c>
      <c r="DE26" s="22" t="str">
        <f t="shared" si="26"/>
        <v/>
      </c>
      <c r="DF26" s="22" t="str">
        <f t="shared" si="26"/>
        <v/>
      </c>
      <c r="DG26" s="22" t="str">
        <f t="shared" si="26"/>
        <v/>
      </c>
      <c r="DH26" s="22" t="str">
        <f t="shared" si="24"/>
        <v/>
      </c>
      <c r="DI26" s="22" t="str">
        <f t="shared" si="15"/>
        <v/>
      </c>
      <c r="DJ26" s="22" t="str">
        <f t="shared" si="15"/>
        <v/>
      </c>
      <c r="DK26" s="22" t="str">
        <f t="shared" si="15"/>
        <v/>
      </c>
      <c r="DL26" s="22" t="str">
        <f t="shared" si="15"/>
        <v/>
      </c>
      <c r="DM26" s="22">
        <f t="shared" si="16"/>
        <v>0</v>
      </c>
      <c r="DN26" s="36">
        <f t="shared" ref="DN26:EC41" si="27">DN25</f>
        <v>10</v>
      </c>
      <c r="DO26" s="36">
        <f t="shared" si="27"/>
        <v>10</v>
      </c>
      <c r="DP26" s="36">
        <f t="shared" si="27"/>
        <v>10</v>
      </c>
      <c r="DQ26" s="36">
        <f t="shared" si="27"/>
        <v>10</v>
      </c>
      <c r="DR26" s="36">
        <f t="shared" si="27"/>
        <v>10</v>
      </c>
      <c r="DS26" s="36">
        <f t="shared" si="27"/>
        <v>10</v>
      </c>
      <c r="DT26" s="36">
        <f t="shared" si="27"/>
        <v>10</v>
      </c>
      <c r="DU26" s="36">
        <f t="shared" si="27"/>
        <v>10</v>
      </c>
      <c r="DV26" s="36">
        <f t="shared" si="27"/>
        <v>40</v>
      </c>
      <c r="DW26" s="36">
        <f t="shared" si="27"/>
        <v>0</v>
      </c>
      <c r="DX26" s="23">
        <f t="shared" si="27"/>
        <v>9</v>
      </c>
      <c r="DY26" s="23">
        <f t="shared" si="18"/>
        <v>100</v>
      </c>
      <c r="DZ26" s="23">
        <f t="shared" ref="DZ26:EJ26" si="28">DZ25</f>
        <v>100</v>
      </c>
      <c r="EA26" s="23">
        <f t="shared" si="28"/>
        <v>100</v>
      </c>
      <c r="EB26" s="23">
        <f t="shared" si="28"/>
        <v>0</v>
      </c>
      <c r="EC26" s="23">
        <f t="shared" si="28"/>
        <v>0</v>
      </c>
      <c r="ED26" s="23">
        <f t="shared" si="28"/>
        <v>0</v>
      </c>
      <c r="EE26" s="23">
        <f t="shared" si="28"/>
        <v>0</v>
      </c>
      <c r="EF26" s="23">
        <f t="shared" si="28"/>
        <v>0</v>
      </c>
      <c r="EG26" s="23">
        <f t="shared" si="28"/>
        <v>0</v>
      </c>
      <c r="EH26" s="23">
        <f t="shared" si="28"/>
        <v>0</v>
      </c>
      <c r="EI26" s="23">
        <f t="shared" si="28"/>
        <v>3</v>
      </c>
      <c r="EJ26" s="23">
        <f t="shared" si="28"/>
        <v>100</v>
      </c>
    </row>
    <row r="27" spans="1:140" ht="9.9" customHeight="1" x14ac:dyDescent="0.3">
      <c r="A27" s="23">
        <v>18</v>
      </c>
      <c r="B27" s="50" t="str">
        <f>IF(PRELIM!B27="","",PRELIM!B27)</f>
        <v>LIBOT, MARK ANTHONY A.</v>
      </c>
      <c r="C27" s="38" t="s">
        <v>190</v>
      </c>
      <c r="D27" s="38" t="s">
        <v>190</v>
      </c>
      <c r="E27" s="38" t="s">
        <v>190</v>
      </c>
      <c r="F27" s="38" t="s">
        <v>190</v>
      </c>
      <c r="G27" s="38" t="s">
        <v>190</v>
      </c>
      <c r="H27" s="38" t="s">
        <v>190</v>
      </c>
      <c r="I27" s="38" t="s">
        <v>190</v>
      </c>
      <c r="J27" s="38" t="s">
        <v>190</v>
      </c>
      <c r="K27" s="38" t="s">
        <v>190</v>
      </c>
      <c r="L27" s="38" t="s">
        <v>190</v>
      </c>
      <c r="M27" s="38" t="s">
        <v>190</v>
      </c>
      <c r="N27" s="38"/>
      <c r="O27" s="38"/>
      <c r="P27" s="38"/>
      <c r="Q27" s="38"/>
      <c r="R27" s="38"/>
      <c r="S27" s="38"/>
      <c r="T27" s="38"/>
      <c r="U27" s="38"/>
      <c r="V27" s="38"/>
      <c r="W27" s="39">
        <f t="shared" si="6"/>
        <v>100</v>
      </c>
      <c r="X27" s="38">
        <v>6</v>
      </c>
      <c r="Y27" s="38">
        <v>8</v>
      </c>
      <c r="Z27" s="38">
        <v>7</v>
      </c>
      <c r="AA27" s="38">
        <v>5</v>
      </c>
      <c r="AB27" s="38">
        <v>9</v>
      </c>
      <c r="AC27" s="38">
        <v>3</v>
      </c>
      <c r="AD27" s="38">
        <v>5</v>
      </c>
      <c r="AE27" s="38">
        <v>4</v>
      </c>
      <c r="AF27" s="38">
        <v>32</v>
      </c>
      <c r="AG27" s="38"/>
      <c r="AH27" s="40">
        <f t="shared" si="7"/>
        <v>76</v>
      </c>
      <c r="AI27" s="40">
        <f t="shared" si="7"/>
        <v>88</v>
      </c>
      <c r="AJ27" s="40">
        <f t="shared" si="7"/>
        <v>82</v>
      </c>
      <c r="AK27" s="40">
        <f t="shared" si="7"/>
        <v>70</v>
      </c>
      <c r="AL27" s="40">
        <f t="shared" si="7"/>
        <v>94</v>
      </c>
      <c r="AM27" s="40">
        <f t="shared" si="7"/>
        <v>58</v>
      </c>
      <c r="AN27" s="40">
        <f t="shared" si="7"/>
        <v>70</v>
      </c>
      <c r="AO27" s="40">
        <f t="shared" si="7"/>
        <v>64</v>
      </c>
      <c r="AP27" s="40">
        <f t="shared" si="7"/>
        <v>88</v>
      </c>
      <c r="AQ27" s="40" t="str">
        <f t="shared" si="7"/>
        <v xml:space="preserve"> </v>
      </c>
      <c r="AR27" s="41">
        <f t="shared" si="8"/>
        <v>76.666666666666671</v>
      </c>
      <c r="AS27" s="38">
        <v>100</v>
      </c>
      <c r="AT27" s="38">
        <v>100</v>
      </c>
      <c r="AU27" s="38">
        <v>100</v>
      </c>
      <c r="AV27" s="38"/>
      <c r="AW27" s="38"/>
      <c r="AX27" s="38"/>
      <c r="AY27" s="38"/>
      <c r="AZ27" s="38"/>
      <c r="BA27" s="38"/>
      <c r="BB27" s="38"/>
      <c r="BC27" s="42">
        <f t="shared" si="9"/>
        <v>100</v>
      </c>
      <c r="BD27" s="42">
        <f t="shared" si="9"/>
        <v>100</v>
      </c>
      <c r="BE27" s="42">
        <f t="shared" si="9"/>
        <v>100</v>
      </c>
      <c r="BF27" s="42" t="str">
        <f t="shared" si="9"/>
        <v xml:space="preserve"> </v>
      </c>
      <c r="BG27" s="42" t="str">
        <f t="shared" si="9"/>
        <v xml:space="preserve"> </v>
      </c>
      <c r="BH27" s="42" t="str">
        <f t="shared" si="9"/>
        <v xml:space="preserve"> </v>
      </c>
      <c r="BI27" s="42" t="str">
        <f t="shared" si="9"/>
        <v xml:space="preserve"> </v>
      </c>
      <c r="BJ27" s="42" t="str">
        <f t="shared" si="9"/>
        <v xml:space="preserve"> </v>
      </c>
      <c r="BK27" s="42" t="str">
        <f t="shared" si="9"/>
        <v xml:space="preserve"> </v>
      </c>
      <c r="BL27" s="42" t="str">
        <f t="shared" si="9"/>
        <v xml:space="preserve"> </v>
      </c>
      <c r="BM27" s="43">
        <f t="shared" si="10"/>
        <v>100</v>
      </c>
      <c r="BN27" s="38">
        <v>78</v>
      </c>
      <c r="BO27" s="44">
        <f t="shared" si="11"/>
        <v>86.800000000000011</v>
      </c>
      <c r="BP27" s="20"/>
      <c r="BQ27" s="39">
        <f t="shared" si="20"/>
        <v>86.90666666666668</v>
      </c>
      <c r="BR27" s="23" t="str">
        <f t="shared" si="21"/>
        <v>PASSED</v>
      </c>
      <c r="BS27" s="45"/>
      <c r="BT27" s="46"/>
      <c r="BU27" s="46"/>
      <c r="BV27" s="46"/>
      <c r="BW27" s="21">
        <f t="shared" si="25"/>
        <v>1</v>
      </c>
      <c r="BX27" s="22">
        <f t="shared" si="25"/>
        <v>1</v>
      </c>
      <c r="BY27" s="22">
        <f t="shared" si="25"/>
        <v>1</v>
      </c>
      <c r="BZ27" s="22">
        <f t="shared" si="25"/>
        <v>1</v>
      </c>
      <c r="CA27" s="22">
        <f t="shared" si="25"/>
        <v>1</v>
      </c>
      <c r="CB27" s="22">
        <f t="shared" si="25"/>
        <v>1</v>
      </c>
      <c r="CC27" s="22">
        <f t="shared" si="25"/>
        <v>1</v>
      </c>
      <c r="CD27" s="22">
        <f t="shared" si="25"/>
        <v>1</v>
      </c>
      <c r="CE27" s="22">
        <f t="shared" si="25"/>
        <v>1</v>
      </c>
      <c r="CF27" s="22">
        <f t="shared" si="25"/>
        <v>1</v>
      </c>
      <c r="CG27" s="22">
        <f t="shared" si="25"/>
        <v>1</v>
      </c>
      <c r="CH27" s="22" t="str">
        <f t="shared" si="25"/>
        <v/>
      </c>
      <c r="CI27" s="22" t="str">
        <f t="shared" si="25"/>
        <v/>
      </c>
      <c r="CJ27" s="22" t="str">
        <f t="shared" si="25"/>
        <v/>
      </c>
      <c r="CK27" s="22" t="str">
        <f t="shared" si="25"/>
        <v/>
      </c>
      <c r="CL27" s="22" t="str">
        <f t="shared" si="23"/>
        <v/>
      </c>
      <c r="CM27" s="22" t="str">
        <f t="shared" si="13"/>
        <v/>
      </c>
      <c r="CN27" s="22" t="str">
        <f t="shared" si="13"/>
        <v/>
      </c>
      <c r="CO27" s="22" t="str">
        <f t="shared" si="13"/>
        <v/>
      </c>
      <c r="CP27" s="22" t="str">
        <f t="shared" si="13"/>
        <v/>
      </c>
      <c r="CQ27" s="22">
        <f t="shared" si="22"/>
        <v>11</v>
      </c>
      <c r="CR27" s="22">
        <f t="shared" si="3"/>
        <v>11</v>
      </c>
      <c r="CS27" s="22" t="str">
        <f t="shared" si="26"/>
        <v/>
      </c>
      <c r="CT27" s="22" t="str">
        <f t="shared" si="26"/>
        <v/>
      </c>
      <c r="CU27" s="22" t="str">
        <f t="shared" si="26"/>
        <v/>
      </c>
      <c r="CV27" s="22" t="str">
        <f t="shared" si="26"/>
        <v/>
      </c>
      <c r="CW27" s="22" t="str">
        <f t="shared" si="26"/>
        <v/>
      </c>
      <c r="CX27" s="22" t="str">
        <f t="shared" si="26"/>
        <v/>
      </c>
      <c r="CY27" s="22" t="str">
        <f t="shared" si="26"/>
        <v/>
      </c>
      <c r="CZ27" s="22" t="str">
        <f t="shared" si="26"/>
        <v/>
      </c>
      <c r="DA27" s="22" t="str">
        <f t="shared" si="26"/>
        <v/>
      </c>
      <c r="DB27" s="22" t="str">
        <f t="shared" si="26"/>
        <v/>
      </c>
      <c r="DC27" s="22" t="str">
        <f t="shared" si="26"/>
        <v/>
      </c>
      <c r="DD27" s="22" t="str">
        <f t="shared" si="26"/>
        <v/>
      </c>
      <c r="DE27" s="22" t="str">
        <f t="shared" si="26"/>
        <v/>
      </c>
      <c r="DF27" s="22" t="str">
        <f t="shared" si="26"/>
        <v/>
      </c>
      <c r="DG27" s="22" t="str">
        <f t="shared" si="26"/>
        <v/>
      </c>
      <c r="DH27" s="22" t="str">
        <f t="shared" si="24"/>
        <v/>
      </c>
      <c r="DI27" s="22" t="str">
        <f t="shared" si="15"/>
        <v/>
      </c>
      <c r="DJ27" s="22" t="str">
        <f t="shared" si="15"/>
        <v/>
      </c>
      <c r="DK27" s="22" t="str">
        <f t="shared" si="15"/>
        <v/>
      </c>
      <c r="DL27" s="22" t="str">
        <f t="shared" si="15"/>
        <v/>
      </c>
      <c r="DM27" s="22">
        <f t="shared" si="16"/>
        <v>0</v>
      </c>
      <c r="DN27" s="36">
        <f t="shared" si="27"/>
        <v>10</v>
      </c>
      <c r="DO27" s="36">
        <f t="shared" si="27"/>
        <v>10</v>
      </c>
      <c r="DP27" s="36">
        <f t="shared" si="27"/>
        <v>10</v>
      </c>
      <c r="DQ27" s="36">
        <f t="shared" si="27"/>
        <v>10</v>
      </c>
      <c r="DR27" s="36">
        <f t="shared" si="27"/>
        <v>10</v>
      </c>
      <c r="DS27" s="36">
        <f t="shared" si="27"/>
        <v>10</v>
      </c>
      <c r="DT27" s="36">
        <f t="shared" si="27"/>
        <v>10</v>
      </c>
      <c r="DU27" s="36">
        <f t="shared" si="27"/>
        <v>10</v>
      </c>
      <c r="DV27" s="36">
        <f t="shared" si="27"/>
        <v>40</v>
      </c>
      <c r="DW27" s="36">
        <f t="shared" si="27"/>
        <v>0</v>
      </c>
      <c r="DX27" s="23">
        <f t="shared" si="27"/>
        <v>9</v>
      </c>
      <c r="DY27" s="23">
        <f t="shared" si="27"/>
        <v>100</v>
      </c>
      <c r="DZ27" s="23">
        <f t="shared" si="27"/>
        <v>100</v>
      </c>
      <c r="EA27" s="23">
        <f t="shared" si="27"/>
        <v>100</v>
      </c>
      <c r="EB27" s="23">
        <f t="shared" si="27"/>
        <v>0</v>
      </c>
      <c r="EC27" s="23">
        <f t="shared" si="27"/>
        <v>0</v>
      </c>
      <c r="ED27" s="23">
        <f t="shared" ref="ED27:EJ42" si="29">ED26</f>
        <v>0</v>
      </c>
      <c r="EE27" s="23">
        <f t="shared" si="29"/>
        <v>0</v>
      </c>
      <c r="EF27" s="23">
        <f t="shared" si="29"/>
        <v>0</v>
      </c>
      <c r="EG27" s="23">
        <f t="shared" si="29"/>
        <v>0</v>
      </c>
      <c r="EH27" s="23">
        <f t="shared" si="29"/>
        <v>0</v>
      </c>
      <c r="EI27" s="23">
        <f t="shared" si="29"/>
        <v>3</v>
      </c>
      <c r="EJ27" s="23">
        <f t="shared" si="29"/>
        <v>100</v>
      </c>
    </row>
    <row r="28" spans="1:140" ht="9.9" customHeight="1" x14ac:dyDescent="0.3">
      <c r="A28" s="23">
        <v>19</v>
      </c>
      <c r="B28" s="50" t="str">
        <f>IF(PRELIM!B28="","",PRELIM!B28)</f>
        <v>MAINAR, MADEL V.</v>
      </c>
      <c r="C28" s="38" t="s">
        <v>190</v>
      </c>
      <c r="D28" s="38" t="s">
        <v>190</v>
      </c>
      <c r="E28" s="38" t="s">
        <v>190</v>
      </c>
      <c r="F28" s="38" t="s">
        <v>190</v>
      </c>
      <c r="G28" s="38" t="s">
        <v>190</v>
      </c>
      <c r="H28" s="38" t="s">
        <v>190</v>
      </c>
      <c r="I28" s="38" t="s">
        <v>190</v>
      </c>
      <c r="J28" s="38" t="s">
        <v>236</v>
      </c>
      <c r="K28" s="38" t="s">
        <v>190</v>
      </c>
      <c r="L28" s="38" t="s">
        <v>190</v>
      </c>
      <c r="M28" s="38" t="s">
        <v>228</v>
      </c>
      <c r="N28" s="38"/>
      <c r="O28" s="38"/>
      <c r="P28" s="38"/>
      <c r="Q28" s="38"/>
      <c r="R28" s="38"/>
      <c r="S28" s="38"/>
      <c r="T28" s="38"/>
      <c r="U28" s="38"/>
      <c r="V28" s="38"/>
      <c r="W28" s="39">
        <f t="shared" si="6"/>
        <v>89.090909090909093</v>
      </c>
      <c r="X28" s="38">
        <v>8</v>
      </c>
      <c r="Y28" s="38">
        <v>6</v>
      </c>
      <c r="Z28" s="38">
        <v>4</v>
      </c>
      <c r="AA28" s="38">
        <v>4</v>
      </c>
      <c r="AB28" s="38">
        <v>6</v>
      </c>
      <c r="AC28" s="38">
        <v>6</v>
      </c>
      <c r="AD28" s="38">
        <v>2</v>
      </c>
      <c r="AE28" s="38">
        <v>4</v>
      </c>
      <c r="AF28" s="38"/>
      <c r="AG28" s="38"/>
      <c r="AH28" s="40">
        <f t="shared" si="7"/>
        <v>88</v>
      </c>
      <c r="AI28" s="40">
        <f t="shared" si="7"/>
        <v>76</v>
      </c>
      <c r="AJ28" s="40">
        <f t="shared" si="7"/>
        <v>64</v>
      </c>
      <c r="AK28" s="40">
        <f t="shared" si="7"/>
        <v>64</v>
      </c>
      <c r="AL28" s="40">
        <f t="shared" si="7"/>
        <v>76</v>
      </c>
      <c r="AM28" s="40">
        <f t="shared" si="7"/>
        <v>76</v>
      </c>
      <c r="AN28" s="40">
        <f t="shared" si="7"/>
        <v>52</v>
      </c>
      <c r="AO28" s="40">
        <f t="shared" si="7"/>
        <v>64</v>
      </c>
      <c r="AP28" s="40">
        <f t="shared" si="7"/>
        <v>40</v>
      </c>
      <c r="AQ28" s="40" t="str">
        <f t="shared" si="7"/>
        <v xml:space="preserve"> </v>
      </c>
      <c r="AR28" s="41">
        <f t="shared" si="8"/>
        <v>66.666666666666671</v>
      </c>
      <c r="AS28" s="38">
        <v>100</v>
      </c>
      <c r="AT28" s="38">
        <v>100</v>
      </c>
      <c r="AU28" s="38">
        <v>100</v>
      </c>
      <c r="AV28" s="38"/>
      <c r="AW28" s="38"/>
      <c r="AX28" s="38"/>
      <c r="AY28" s="38"/>
      <c r="AZ28" s="38"/>
      <c r="BA28" s="38"/>
      <c r="BB28" s="38"/>
      <c r="BC28" s="42">
        <f t="shared" si="9"/>
        <v>100</v>
      </c>
      <c r="BD28" s="42">
        <f t="shared" si="9"/>
        <v>100</v>
      </c>
      <c r="BE28" s="42">
        <f t="shared" si="9"/>
        <v>100</v>
      </c>
      <c r="BF28" s="42" t="str">
        <f t="shared" si="9"/>
        <v xml:space="preserve"> </v>
      </c>
      <c r="BG28" s="42" t="str">
        <f t="shared" si="9"/>
        <v xml:space="preserve"> </v>
      </c>
      <c r="BH28" s="42" t="str">
        <f t="shared" si="9"/>
        <v xml:space="preserve"> </v>
      </c>
      <c r="BI28" s="42" t="str">
        <f t="shared" si="9"/>
        <v xml:space="preserve"> </v>
      </c>
      <c r="BJ28" s="42" t="str">
        <f t="shared" si="9"/>
        <v xml:space="preserve"> </v>
      </c>
      <c r="BK28" s="42" t="str">
        <f t="shared" si="9"/>
        <v xml:space="preserve"> </v>
      </c>
      <c r="BL28" s="42" t="str">
        <f t="shared" si="9"/>
        <v xml:space="preserve"> </v>
      </c>
      <c r="BM28" s="43">
        <f t="shared" si="10"/>
        <v>100</v>
      </c>
      <c r="BN28" s="38">
        <v>59</v>
      </c>
      <c r="BO28" s="44">
        <f t="shared" si="11"/>
        <v>75.400000000000006</v>
      </c>
      <c r="BP28" s="20"/>
      <c r="BQ28" s="39">
        <f t="shared" si="20"/>
        <v>77.591212121212124</v>
      </c>
      <c r="BR28" s="23" t="str">
        <f t="shared" si="21"/>
        <v>PASSED</v>
      </c>
      <c r="BS28" s="45"/>
      <c r="BT28" s="46"/>
      <c r="BU28" s="46"/>
      <c r="BV28" s="46"/>
      <c r="BW28" s="21">
        <f t="shared" si="25"/>
        <v>1</v>
      </c>
      <c r="BX28" s="22">
        <f t="shared" si="25"/>
        <v>1</v>
      </c>
      <c r="BY28" s="22">
        <f t="shared" si="25"/>
        <v>1</v>
      </c>
      <c r="BZ28" s="22">
        <f t="shared" si="25"/>
        <v>1</v>
      </c>
      <c r="CA28" s="22">
        <f t="shared" si="25"/>
        <v>1</v>
      </c>
      <c r="CB28" s="22">
        <f t="shared" si="25"/>
        <v>1</v>
      </c>
      <c r="CC28" s="22">
        <f t="shared" si="25"/>
        <v>1</v>
      </c>
      <c r="CD28" s="22" t="str">
        <f t="shared" si="25"/>
        <v/>
      </c>
      <c r="CE28" s="22">
        <f t="shared" si="25"/>
        <v>1</v>
      </c>
      <c r="CF28" s="22">
        <f t="shared" si="25"/>
        <v>1</v>
      </c>
      <c r="CG28" s="22" t="str">
        <f t="shared" si="25"/>
        <v/>
      </c>
      <c r="CH28" s="22" t="str">
        <f t="shared" si="25"/>
        <v/>
      </c>
      <c r="CI28" s="22" t="str">
        <f t="shared" si="25"/>
        <v/>
      </c>
      <c r="CJ28" s="22" t="str">
        <f t="shared" si="25"/>
        <v/>
      </c>
      <c r="CK28" s="22" t="str">
        <f t="shared" si="25"/>
        <v/>
      </c>
      <c r="CL28" s="22" t="str">
        <f t="shared" si="23"/>
        <v/>
      </c>
      <c r="CM28" s="22" t="str">
        <f t="shared" si="13"/>
        <v/>
      </c>
      <c r="CN28" s="22" t="str">
        <f t="shared" si="13"/>
        <v/>
      </c>
      <c r="CO28" s="22" t="str">
        <f t="shared" si="13"/>
        <v/>
      </c>
      <c r="CP28" s="22" t="str">
        <f t="shared" si="13"/>
        <v/>
      </c>
      <c r="CQ28" s="22">
        <f t="shared" si="22"/>
        <v>9</v>
      </c>
      <c r="CR28" s="22">
        <f t="shared" si="3"/>
        <v>11</v>
      </c>
      <c r="CS28" s="22" t="str">
        <f t="shared" si="26"/>
        <v/>
      </c>
      <c r="CT28" s="22" t="str">
        <f t="shared" si="26"/>
        <v/>
      </c>
      <c r="CU28" s="22" t="str">
        <f t="shared" si="26"/>
        <v/>
      </c>
      <c r="CV28" s="22" t="str">
        <f t="shared" si="26"/>
        <v/>
      </c>
      <c r="CW28" s="22" t="str">
        <f t="shared" si="26"/>
        <v/>
      </c>
      <c r="CX28" s="22" t="str">
        <f t="shared" si="26"/>
        <v/>
      </c>
      <c r="CY28" s="22" t="str">
        <f t="shared" si="26"/>
        <v/>
      </c>
      <c r="CZ28" s="22" t="str">
        <f t="shared" si="26"/>
        <v/>
      </c>
      <c r="DA28" s="22" t="str">
        <f t="shared" si="26"/>
        <v/>
      </c>
      <c r="DB28" s="22" t="str">
        <f t="shared" si="26"/>
        <v/>
      </c>
      <c r="DC28" s="22" t="str">
        <f t="shared" si="26"/>
        <v/>
      </c>
      <c r="DD28" s="22" t="str">
        <f t="shared" si="26"/>
        <v/>
      </c>
      <c r="DE28" s="22" t="str">
        <f t="shared" si="26"/>
        <v/>
      </c>
      <c r="DF28" s="22" t="str">
        <f t="shared" si="26"/>
        <v/>
      </c>
      <c r="DG28" s="22" t="str">
        <f t="shared" si="26"/>
        <v/>
      </c>
      <c r="DH28" s="22" t="str">
        <f t="shared" si="24"/>
        <v/>
      </c>
      <c r="DI28" s="22" t="str">
        <f t="shared" si="15"/>
        <v/>
      </c>
      <c r="DJ28" s="22" t="str">
        <f t="shared" si="15"/>
        <v/>
      </c>
      <c r="DK28" s="22" t="str">
        <f t="shared" si="15"/>
        <v/>
      </c>
      <c r="DL28" s="22" t="str">
        <f t="shared" si="15"/>
        <v/>
      </c>
      <c r="DM28" s="22">
        <f t="shared" si="16"/>
        <v>0</v>
      </c>
      <c r="DN28" s="36">
        <f t="shared" si="27"/>
        <v>10</v>
      </c>
      <c r="DO28" s="36">
        <f t="shared" si="27"/>
        <v>10</v>
      </c>
      <c r="DP28" s="36">
        <f t="shared" si="27"/>
        <v>10</v>
      </c>
      <c r="DQ28" s="36">
        <f t="shared" si="27"/>
        <v>10</v>
      </c>
      <c r="DR28" s="36">
        <f t="shared" si="27"/>
        <v>10</v>
      </c>
      <c r="DS28" s="36">
        <f t="shared" si="27"/>
        <v>10</v>
      </c>
      <c r="DT28" s="36">
        <f t="shared" si="27"/>
        <v>10</v>
      </c>
      <c r="DU28" s="36">
        <f t="shared" si="27"/>
        <v>10</v>
      </c>
      <c r="DV28" s="36">
        <f t="shared" si="27"/>
        <v>40</v>
      </c>
      <c r="DW28" s="36">
        <f t="shared" si="27"/>
        <v>0</v>
      </c>
      <c r="DX28" s="23">
        <f t="shared" si="27"/>
        <v>9</v>
      </c>
      <c r="DY28" s="23">
        <f t="shared" si="27"/>
        <v>100</v>
      </c>
      <c r="DZ28" s="23">
        <f t="shared" si="27"/>
        <v>100</v>
      </c>
      <c r="EA28" s="23">
        <f t="shared" si="27"/>
        <v>100</v>
      </c>
      <c r="EB28" s="23">
        <f t="shared" si="27"/>
        <v>0</v>
      </c>
      <c r="EC28" s="23">
        <f t="shared" si="27"/>
        <v>0</v>
      </c>
      <c r="ED28" s="23">
        <f t="shared" si="29"/>
        <v>0</v>
      </c>
      <c r="EE28" s="23">
        <f t="shared" si="29"/>
        <v>0</v>
      </c>
      <c r="EF28" s="23">
        <f t="shared" si="29"/>
        <v>0</v>
      </c>
      <c r="EG28" s="23">
        <f t="shared" si="29"/>
        <v>0</v>
      </c>
      <c r="EH28" s="23">
        <f t="shared" si="29"/>
        <v>0</v>
      </c>
      <c r="EI28" s="23">
        <f t="shared" si="29"/>
        <v>3</v>
      </c>
      <c r="EJ28" s="23">
        <f t="shared" si="29"/>
        <v>100</v>
      </c>
    </row>
    <row r="29" spans="1:140" ht="9.9" customHeight="1" x14ac:dyDescent="0.3">
      <c r="A29" s="23">
        <v>20</v>
      </c>
      <c r="B29" s="50" t="str">
        <f>IF(PRELIM!B29="","",PRELIM!B29)</f>
        <v>MAITIM, SALVE ANN RUTH E</v>
      </c>
      <c r="C29" s="38" t="s">
        <v>190</v>
      </c>
      <c r="D29" s="38"/>
      <c r="E29" s="38" t="s">
        <v>190</v>
      </c>
      <c r="F29" s="38" t="s">
        <v>190</v>
      </c>
      <c r="G29" s="38" t="s">
        <v>190</v>
      </c>
      <c r="H29" s="38" t="s">
        <v>190</v>
      </c>
      <c r="I29" s="38" t="s">
        <v>190</v>
      </c>
      <c r="J29" s="38" t="s">
        <v>190</v>
      </c>
      <c r="K29" s="38" t="s">
        <v>190</v>
      </c>
      <c r="L29" s="38" t="s">
        <v>190</v>
      </c>
      <c r="M29" s="38" t="s">
        <v>190</v>
      </c>
      <c r="N29" s="38"/>
      <c r="O29" s="38"/>
      <c r="P29" s="38"/>
      <c r="Q29" s="38"/>
      <c r="R29" s="38"/>
      <c r="S29" s="38"/>
      <c r="T29" s="38"/>
      <c r="U29" s="38"/>
      <c r="V29" s="38"/>
      <c r="W29" s="39">
        <f t="shared" si="6"/>
        <v>94.545454545454547</v>
      </c>
      <c r="X29" s="38">
        <v>8</v>
      </c>
      <c r="Y29" s="38">
        <v>9</v>
      </c>
      <c r="Z29" s="38">
        <v>10</v>
      </c>
      <c r="AA29" s="38">
        <v>10</v>
      </c>
      <c r="AB29" s="38">
        <v>10</v>
      </c>
      <c r="AC29" s="38">
        <v>9</v>
      </c>
      <c r="AD29" s="38">
        <v>8</v>
      </c>
      <c r="AE29" s="38">
        <v>4</v>
      </c>
      <c r="AF29" s="38">
        <v>38</v>
      </c>
      <c r="AG29" s="38"/>
      <c r="AH29" s="40">
        <f t="shared" si="7"/>
        <v>88</v>
      </c>
      <c r="AI29" s="40">
        <f t="shared" si="7"/>
        <v>94</v>
      </c>
      <c r="AJ29" s="40">
        <f t="shared" si="7"/>
        <v>100</v>
      </c>
      <c r="AK29" s="40">
        <f t="shared" si="7"/>
        <v>100</v>
      </c>
      <c r="AL29" s="40">
        <f t="shared" si="7"/>
        <v>100</v>
      </c>
      <c r="AM29" s="40">
        <f t="shared" si="7"/>
        <v>94</v>
      </c>
      <c r="AN29" s="40">
        <f t="shared" si="7"/>
        <v>88</v>
      </c>
      <c r="AO29" s="40">
        <f t="shared" si="7"/>
        <v>64</v>
      </c>
      <c r="AP29" s="40">
        <f t="shared" si="7"/>
        <v>97</v>
      </c>
      <c r="AQ29" s="40" t="str">
        <f t="shared" si="7"/>
        <v xml:space="preserve"> </v>
      </c>
      <c r="AR29" s="41">
        <f t="shared" si="8"/>
        <v>91.666666666666671</v>
      </c>
      <c r="AS29" s="38">
        <v>100</v>
      </c>
      <c r="AT29" s="38">
        <v>100</v>
      </c>
      <c r="AU29" s="38">
        <v>100</v>
      </c>
      <c r="AV29" s="38"/>
      <c r="AW29" s="38"/>
      <c r="AX29" s="38"/>
      <c r="AY29" s="38"/>
      <c r="AZ29" s="38"/>
      <c r="BA29" s="38"/>
      <c r="BB29" s="38"/>
      <c r="BC29" s="42">
        <f t="shared" si="9"/>
        <v>100</v>
      </c>
      <c r="BD29" s="42">
        <f t="shared" si="9"/>
        <v>100</v>
      </c>
      <c r="BE29" s="42">
        <f t="shared" si="9"/>
        <v>100</v>
      </c>
      <c r="BF29" s="42" t="str">
        <f t="shared" si="9"/>
        <v xml:space="preserve"> </v>
      </c>
      <c r="BG29" s="42" t="str">
        <f t="shared" si="9"/>
        <v xml:space="preserve"> </v>
      </c>
      <c r="BH29" s="42" t="str">
        <f t="shared" si="9"/>
        <v xml:space="preserve"> </v>
      </c>
      <c r="BI29" s="42" t="str">
        <f t="shared" si="9"/>
        <v xml:space="preserve"> </v>
      </c>
      <c r="BJ29" s="42" t="str">
        <f t="shared" si="9"/>
        <v xml:space="preserve"> </v>
      </c>
      <c r="BK29" s="42" t="str">
        <f t="shared" si="9"/>
        <v xml:space="preserve"> </v>
      </c>
      <c r="BL29" s="42" t="str">
        <f t="shared" si="9"/>
        <v xml:space="preserve"> </v>
      </c>
      <c r="BM29" s="43">
        <f t="shared" si="10"/>
        <v>100</v>
      </c>
      <c r="BN29" s="38">
        <v>92</v>
      </c>
      <c r="BO29" s="44">
        <f t="shared" si="11"/>
        <v>95.2</v>
      </c>
      <c r="BP29" s="20"/>
      <c r="BQ29" s="39">
        <f t="shared" si="20"/>
        <v>95.00393939393939</v>
      </c>
      <c r="BR29" s="23" t="str">
        <f t="shared" si="21"/>
        <v>PASSED</v>
      </c>
      <c r="BS29" s="45"/>
      <c r="BT29" s="46"/>
      <c r="BU29" s="46"/>
      <c r="BV29" s="46"/>
      <c r="BW29" s="21">
        <f t="shared" si="25"/>
        <v>1</v>
      </c>
      <c r="BX29" s="22" t="str">
        <f t="shared" si="25"/>
        <v/>
      </c>
      <c r="BY29" s="22">
        <f t="shared" si="25"/>
        <v>1</v>
      </c>
      <c r="BZ29" s="22">
        <f t="shared" si="25"/>
        <v>1</v>
      </c>
      <c r="CA29" s="22">
        <f t="shared" si="25"/>
        <v>1</v>
      </c>
      <c r="CB29" s="22">
        <f t="shared" si="25"/>
        <v>1</v>
      </c>
      <c r="CC29" s="22">
        <f t="shared" si="25"/>
        <v>1</v>
      </c>
      <c r="CD29" s="22">
        <f t="shared" si="25"/>
        <v>1</v>
      </c>
      <c r="CE29" s="22">
        <f t="shared" si="25"/>
        <v>1</v>
      </c>
      <c r="CF29" s="22">
        <f t="shared" si="25"/>
        <v>1</v>
      </c>
      <c r="CG29" s="22">
        <f t="shared" si="25"/>
        <v>1</v>
      </c>
      <c r="CH29" s="22" t="str">
        <f t="shared" si="25"/>
        <v/>
      </c>
      <c r="CI29" s="22" t="str">
        <f t="shared" si="25"/>
        <v/>
      </c>
      <c r="CJ29" s="22" t="str">
        <f t="shared" si="25"/>
        <v/>
      </c>
      <c r="CK29" s="22" t="str">
        <f t="shared" si="25"/>
        <v/>
      </c>
      <c r="CL29" s="22" t="str">
        <f t="shared" si="23"/>
        <v/>
      </c>
      <c r="CM29" s="22" t="str">
        <f t="shared" si="13"/>
        <v/>
      </c>
      <c r="CN29" s="22" t="str">
        <f t="shared" si="13"/>
        <v/>
      </c>
      <c r="CO29" s="22" t="str">
        <f t="shared" si="13"/>
        <v/>
      </c>
      <c r="CP29" s="22" t="str">
        <f t="shared" si="13"/>
        <v/>
      </c>
      <c r="CQ29" s="22">
        <f t="shared" si="22"/>
        <v>10</v>
      </c>
      <c r="CR29" s="22">
        <f t="shared" si="3"/>
        <v>11</v>
      </c>
      <c r="CS29" s="22" t="str">
        <f t="shared" si="26"/>
        <v/>
      </c>
      <c r="CT29" s="22" t="str">
        <f t="shared" si="26"/>
        <v/>
      </c>
      <c r="CU29" s="22" t="str">
        <f t="shared" si="26"/>
        <v/>
      </c>
      <c r="CV29" s="22" t="str">
        <f t="shared" si="26"/>
        <v/>
      </c>
      <c r="CW29" s="22" t="str">
        <f t="shared" si="26"/>
        <v/>
      </c>
      <c r="CX29" s="22" t="str">
        <f t="shared" si="26"/>
        <v/>
      </c>
      <c r="CY29" s="22" t="str">
        <f t="shared" si="26"/>
        <v/>
      </c>
      <c r="CZ29" s="22" t="str">
        <f t="shared" si="26"/>
        <v/>
      </c>
      <c r="DA29" s="22" t="str">
        <f t="shared" si="26"/>
        <v/>
      </c>
      <c r="DB29" s="22" t="str">
        <f t="shared" si="26"/>
        <v/>
      </c>
      <c r="DC29" s="22" t="str">
        <f t="shared" si="26"/>
        <v/>
      </c>
      <c r="DD29" s="22" t="str">
        <f t="shared" si="26"/>
        <v/>
      </c>
      <c r="DE29" s="22" t="str">
        <f t="shared" si="26"/>
        <v/>
      </c>
      <c r="DF29" s="22" t="str">
        <f t="shared" si="26"/>
        <v/>
      </c>
      <c r="DG29" s="22" t="str">
        <f t="shared" si="26"/>
        <v/>
      </c>
      <c r="DH29" s="22" t="str">
        <f t="shared" si="24"/>
        <v/>
      </c>
      <c r="DI29" s="22" t="str">
        <f t="shared" si="15"/>
        <v/>
      </c>
      <c r="DJ29" s="22" t="str">
        <f t="shared" si="15"/>
        <v/>
      </c>
      <c r="DK29" s="22" t="str">
        <f t="shared" si="15"/>
        <v/>
      </c>
      <c r="DL29" s="22" t="str">
        <f t="shared" si="15"/>
        <v/>
      </c>
      <c r="DM29" s="22">
        <f t="shared" si="16"/>
        <v>0</v>
      </c>
      <c r="DN29" s="36">
        <f t="shared" si="27"/>
        <v>10</v>
      </c>
      <c r="DO29" s="36">
        <f t="shared" si="27"/>
        <v>10</v>
      </c>
      <c r="DP29" s="36">
        <f t="shared" si="27"/>
        <v>10</v>
      </c>
      <c r="DQ29" s="36">
        <f t="shared" si="27"/>
        <v>10</v>
      </c>
      <c r="DR29" s="36">
        <f t="shared" si="27"/>
        <v>10</v>
      </c>
      <c r="DS29" s="36">
        <f t="shared" si="27"/>
        <v>10</v>
      </c>
      <c r="DT29" s="36">
        <f t="shared" si="27"/>
        <v>10</v>
      </c>
      <c r="DU29" s="36">
        <f t="shared" si="27"/>
        <v>10</v>
      </c>
      <c r="DV29" s="36">
        <f t="shared" si="27"/>
        <v>40</v>
      </c>
      <c r="DW29" s="36">
        <f t="shared" si="27"/>
        <v>0</v>
      </c>
      <c r="DX29" s="23">
        <f t="shared" si="27"/>
        <v>9</v>
      </c>
      <c r="DY29" s="23">
        <f t="shared" si="27"/>
        <v>100</v>
      </c>
      <c r="DZ29" s="23">
        <f t="shared" si="27"/>
        <v>100</v>
      </c>
      <c r="EA29" s="23">
        <f t="shared" si="27"/>
        <v>100</v>
      </c>
      <c r="EB29" s="23">
        <f t="shared" si="27"/>
        <v>0</v>
      </c>
      <c r="EC29" s="23">
        <f t="shared" si="27"/>
        <v>0</v>
      </c>
      <c r="ED29" s="23">
        <f t="shared" si="29"/>
        <v>0</v>
      </c>
      <c r="EE29" s="23">
        <f t="shared" si="29"/>
        <v>0</v>
      </c>
      <c r="EF29" s="23">
        <f t="shared" si="29"/>
        <v>0</v>
      </c>
      <c r="EG29" s="23">
        <f t="shared" si="29"/>
        <v>0</v>
      </c>
      <c r="EH29" s="23">
        <f t="shared" si="29"/>
        <v>0</v>
      </c>
      <c r="EI29" s="23">
        <f t="shared" si="29"/>
        <v>3</v>
      </c>
      <c r="EJ29" s="23">
        <f t="shared" si="29"/>
        <v>100</v>
      </c>
    </row>
    <row r="30" spans="1:140" ht="9.9" customHeight="1" x14ac:dyDescent="0.3">
      <c r="A30" s="23">
        <v>21</v>
      </c>
      <c r="B30" s="50" t="str">
        <f>IF(PRELIM!B30="","",PRELIM!B30)</f>
        <v>MALILA, EMMA MAE B.</v>
      </c>
      <c r="C30" s="38" t="s">
        <v>190</v>
      </c>
      <c r="D30" s="38" t="s">
        <v>190</v>
      </c>
      <c r="E30" s="38" t="s">
        <v>190</v>
      </c>
      <c r="F30" s="38" t="s">
        <v>190</v>
      </c>
      <c r="G30" s="38" t="s">
        <v>190</v>
      </c>
      <c r="H30" s="38" t="s">
        <v>190</v>
      </c>
      <c r="I30" s="38" t="s">
        <v>190</v>
      </c>
      <c r="J30" s="38" t="s">
        <v>190</v>
      </c>
      <c r="K30" s="38" t="s">
        <v>190</v>
      </c>
      <c r="L30" s="38" t="s">
        <v>190</v>
      </c>
      <c r="M30" s="38" t="s">
        <v>190</v>
      </c>
      <c r="N30" s="38"/>
      <c r="O30" s="38"/>
      <c r="P30" s="38"/>
      <c r="Q30" s="38"/>
      <c r="R30" s="38"/>
      <c r="S30" s="38"/>
      <c r="T30" s="38"/>
      <c r="U30" s="38"/>
      <c r="V30" s="38"/>
      <c r="W30" s="39">
        <f t="shared" si="6"/>
        <v>100</v>
      </c>
      <c r="X30" s="38">
        <v>5</v>
      </c>
      <c r="Y30" s="38">
        <v>7</v>
      </c>
      <c r="Z30" s="38">
        <v>10</v>
      </c>
      <c r="AA30" s="38">
        <v>9</v>
      </c>
      <c r="AB30" s="38">
        <v>8</v>
      </c>
      <c r="AC30" s="38">
        <v>5</v>
      </c>
      <c r="AD30" s="38">
        <v>5</v>
      </c>
      <c r="AE30" s="38">
        <v>6</v>
      </c>
      <c r="AF30" s="38">
        <v>21</v>
      </c>
      <c r="AG30" s="38"/>
      <c r="AH30" s="40">
        <f t="shared" si="7"/>
        <v>70</v>
      </c>
      <c r="AI30" s="40">
        <f t="shared" si="7"/>
        <v>82</v>
      </c>
      <c r="AJ30" s="40">
        <f t="shared" si="7"/>
        <v>100</v>
      </c>
      <c r="AK30" s="40">
        <f t="shared" si="7"/>
        <v>94</v>
      </c>
      <c r="AL30" s="40">
        <f t="shared" si="7"/>
        <v>88</v>
      </c>
      <c r="AM30" s="40">
        <f t="shared" si="7"/>
        <v>70</v>
      </c>
      <c r="AN30" s="40">
        <f t="shared" si="7"/>
        <v>70</v>
      </c>
      <c r="AO30" s="40">
        <f t="shared" si="7"/>
        <v>76</v>
      </c>
      <c r="AP30" s="40">
        <f t="shared" si="7"/>
        <v>71.5</v>
      </c>
      <c r="AQ30" s="40" t="str">
        <f t="shared" si="7"/>
        <v xml:space="preserve"> </v>
      </c>
      <c r="AR30" s="41">
        <f t="shared" si="8"/>
        <v>80.166666666666671</v>
      </c>
      <c r="AS30" s="38">
        <v>100</v>
      </c>
      <c r="AT30" s="38">
        <v>100</v>
      </c>
      <c r="AU30" s="38">
        <v>100</v>
      </c>
      <c r="AV30" s="38"/>
      <c r="AW30" s="38"/>
      <c r="AX30" s="38"/>
      <c r="AY30" s="38"/>
      <c r="AZ30" s="38"/>
      <c r="BA30" s="38"/>
      <c r="BB30" s="38"/>
      <c r="BC30" s="42">
        <f t="shared" si="9"/>
        <v>100</v>
      </c>
      <c r="BD30" s="42">
        <f t="shared" si="9"/>
        <v>100</v>
      </c>
      <c r="BE30" s="42">
        <f t="shared" si="9"/>
        <v>100</v>
      </c>
      <c r="BF30" s="42" t="str">
        <f t="shared" si="9"/>
        <v xml:space="preserve"> </v>
      </c>
      <c r="BG30" s="42" t="str">
        <f t="shared" si="9"/>
        <v xml:space="preserve"> </v>
      </c>
      <c r="BH30" s="42" t="str">
        <f t="shared" si="9"/>
        <v xml:space="preserve"> </v>
      </c>
      <c r="BI30" s="42" t="str">
        <f t="shared" si="9"/>
        <v xml:space="preserve"> </v>
      </c>
      <c r="BJ30" s="42" t="str">
        <f t="shared" si="9"/>
        <v xml:space="preserve"> </v>
      </c>
      <c r="BK30" s="42" t="str">
        <f t="shared" si="9"/>
        <v xml:space="preserve"> </v>
      </c>
      <c r="BL30" s="42" t="str">
        <f t="shared" si="9"/>
        <v xml:space="preserve"> </v>
      </c>
      <c r="BM30" s="43">
        <f t="shared" si="10"/>
        <v>100</v>
      </c>
      <c r="BN30" s="38">
        <v>76</v>
      </c>
      <c r="BO30" s="44">
        <f t="shared" si="11"/>
        <v>85.6</v>
      </c>
      <c r="BP30" s="20"/>
      <c r="BQ30" s="39">
        <f t="shared" si="20"/>
        <v>87.12166666666667</v>
      </c>
      <c r="BR30" s="23" t="str">
        <f t="shared" si="21"/>
        <v>PASSED</v>
      </c>
      <c r="BS30" s="45"/>
      <c r="BT30" s="46"/>
      <c r="BU30" s="46"/>
      <c r="BV30" s="46"/>
      <c r="BW30" s="21">
        <f t="shared" si="25"/>
        <v>1</v>
      </c>
      <c r="BX30" s="22">
        <f t="shared" si="25"/>
        <v>1</v>
      </c>
      <c r="BY30" s="22">
        <f t="shared" si="25"/>
        <v>1</v>
      </c>
      <c r="BZ30" s="22">
        <f t="shared" si="25"/>
        <v>1</v>
      </c>
      <c r="CA30" s="22">
        <f t="shared" si="25"/>
        <v>1</v>
      </c>
      <c r="CB30" s="22">
        <f t="shared" si="25"/>
        <v>1</v>
      </c>
      <c r="CC30" s="22">
        <f t="shared" si="25"/>
        <v>1</v>
      </c>
      <c r="CD30" s="22">
        <f t="shared" si="25"/>
        <v>1</v>
      </c>
      <c r="CE30" s="22">
        <f t="shared" si="25"/>
        <v>1</v>
      </c>
      <c r="CF30" s="22">
        <f t="shared" si="25"/>
        <v>1</v>
      </c>
      <c r="CG30" s="22">
        <f t="shared" si="25"/>
        <v>1</v>
      </c>
      <c r="CH30" s="22" t="str">
        <f t="shared" si="25"/>
        <v/>
      </c>
      <c r="CI30" s="22" t="str">
        <f t="shared" si="25"/>
        <v/>
      </c>
      <c r="CJ30" s="22" t="str">
        <f t="shared" si="25"/>
        <v/>
      </c>
      <c r="CK30" s="22" t="str">
        <f t="shared" si="25"/>
        <v/>
      </c>
      <c r="CL30" s="22" t="str">
        <f t="shared" si="23"/>
        <v/>
      </c>
      <c r="CM30" s="22" t="str">
        <f t="shared" si="13"/>
        <v/>
      </c>
      <c r="CN30" s="22" t="str">
        <f t="shared" si="13"/>
        <v/>
      </c>
      <c r="CO30" s="22" t="str">
        <f t="shared" si="13"/>
        <v/>
      </c>
      <c r="CP30" s="22" t="str">
        <f t="shared" si="13"/>
        <v/>
      </c>
      <c r="CQ30" s="22">
        <f t="shared" si="22"/>
        <v>11</v>
      </c>
      <c r="CR30" s="22">
        <f t="shared" si="3"/>
        <v>11</v>
      </c>
      <c r="CS30" s="22" t="str">
        <f t="shared" si="26"/>
        <v/>
      </c>
      <c r="CT30" s="22" t="str">
        <f t="shared" si="26"/>
        <v/>
      </c>
      <c r="CU30" s="22" t="str">
        <f t="shared" si="26"/>
        <v/>
      </c>
      <c r="CV30" s="22" t="str">
        <f t="shared" si="26"/>
        <v/>
      </c>
      <c r="CW30" s="22" t="str">
        <f t="shared" si="26"/>
        <v/>
      </c>
      <c r="CX30" s="22" t="str">
        <f t="shared" si="26"/>
        <v/>
      </c>
      <c r="CY30" s="22" t="str">
        <f t="shared" si="26"/>
        <v/>
      </c>
      <c r="CZ30" s="22" t="str">
        <f t="shared" si="26"/>
        <v/>
      </c>
      <c r="DA30" s="22" t="str">
        <f t="shared" si="26"/>
        <v/>
      </c>
      <c r="DB30" s="22" t="str">
        <f t="shared" si="26"/>
        <v/>
      </c>
      <c r="DC30" s="22" t="str">
        <f t="shared" si="26"/>
        <v/>
      </c>
      <c r="DD30" s="22" t="str">
        <f t="shared" si="26"/>
        <v/>
      </c>
      <c r="DE30" s="22" t="str">
        <f t="shared" si="26"/>
        <v/>
      </c>
      <c r="DF30" s="22" t="str">
        <f t="shared" si="26"/>
        <v/>
      </c>
      <c r="DG30" s="22" t="str">
        <f t="shared" si="26"/>
        <v/>
      </c>
      <c r="DH30" s="22" t="str">
        <f t="shared" si="24"/>
        <v/>
      </c>
      <c r="DI30" s="22" t="str">
        <f t="shared" si="15"/>
        <v/>
      </c>
      <c r="DJ30" s="22" t="str">
        <f t="shared" si="15"/>
        <v/>
      </c>
      <c r="DK30" s="22" t="str">
        <f t="shared" si="15"/>
        <v/>
      </c>
      <c r="DL30" s="22" t="str">
        <f t="shared" si="15"/>
        <v/>
      </c>
      <c r="DM30" s="22">
        <f t="shared" si="16"/>
        <v>0</v>
      </c>
      <c r="DN30" s="36">
        <f t="shared" si="27"/>
        <v>10</v>
      </c>
      <c r="DO30" s="36">
        <f t="shared" si="27"/>
        <v>10</v>
      </c>
      <c r="DP30" s="36">
        <f t="shared" si="27"/>
        <v>10</v>
      </c>
      <c r="DQ30" s="36">
        <f t="shared" si="27"/>
        <v>10</v>
      </c>
      <c r="DR30" s="36">
        <f t="shared" si="27"/>
        <v>10</v>
      </c>
      <c r="DS30" s="36">
        <f t="shared" si="27"/>
        <v>10</v>
      </c>
      <c r="DT30" s="36">
        <f t="shared" si="27"/>
        <v>10</v>
      </c>
      <c r="DU30" s="36">
        <f t="shared" si="27"/>
        <v>10</v>
      </c>
      <c r="DV30" s="36">
        <f t="shared" si="27"/>
        <v>40</v>
      </c>
      <c r="DW30" s="36">
        <f t="shared" si="27"/>
        <v>0</v>
      </c>
      <c r="DX30" s="23">
        <f t="shared" si="27"/>
        <v>9</v>
      </c>
      <c r="DY30" s="23">
        <f t="shared" si="27"/>
        <v>100</v>
      </c>
      <c r="DZ30" s="23">
        <f t="shared" si="27"/>
        <v>100</v>
      </c>
      <c r="EA30" s="23">
        <f t="shared" si="27"/>
        <v>100</v>
      </c>
      <c r="EB30" s="23">
        <f t="shared" si="27"/>
        <v>0</v>
      </c>
      <c r="EC30" s="23">
        <f t="shared" si="27"/>
        <v>0</v>
      </c>
      <c r="ED30" s="23">
        <f t="shared" si="29"/>
        <v>0</v>
      </c>
      <c r="EE30" s="23">
        <f t="shared" si="29"/>
        <v>0</v>
      </c>
      <c r="EF30" s="23">
        <f t="shared" si="29"/>
        <v>0</v>
      </c>
      <c r="EG30" s="23">
        <f t="shared" si="29"/>
        <v>0</v>
      </c>
      <c r="EH30" s="23">
        <f t="shared" si="29"/>
        <v>0</v>
      </c>
      <c r="EI30" s="23">
        <f t="shared" si="29"/>
        <v>3</v>
      </c>
      <c r="EJ30" s="23">
        <f t="shared" si="29"/>
        <v>100</v>
      </c>
    </row>
    <row r="31" spans="1:140" ht="9.9" customHeight="1" x14ac:dyDescent="0.3">
      <c r="A31" s="23">
        <v>22</v>
      </c>
      <c r="B31" s="50" t="str">
        <f>IF(PRELIM!B31="","",PRELIM!B31)</f>
        <v>MENDEZ, SHYZIEL C.</v>
      </c>
      <c r="C31" s="38"/>
      <c r="D31" s="38" t="s">
        <v>190</v>
      </c>
      <c r="E31" s="38" t="s">
        <v>190</v>
      </c>
      <c r="F31" s="38" t="s">
        <v>190</v>
      </c>
      <c r="G31" s="38" t="s">
        <v>190</v>
      </c>
      <c r="H31" s="38"/>
      <c r="I31" s="38" t="s">
        <v>190</v>
      </c>
      <c r="J31" s="38" t="s">
        <v>190</v>
      </c>
      <c r="K31" s="38"/>
      <c r="L31" s="38" t="s">
        <v>190</v>
      </c>
      <c r="M31" s="38" t="s">
        <v>190</v>
      </c>
      <c r="N31" s="38"/>
      <c r="O31" s="38"/>
      <c r="P31" s="38"/>
      <c r="Q31" s="38"/>
      <c r="R31" s="38"/>
      <c r="S31" s="38"/>
      <c r="T31" s="38"/>
      <c r="U31" s="38"/>
      <c r="V31" s="38"/>
      <c r="W31" s="39">
        <f t="shared" si="6"/>
        <v>83.63636363636364</v>
      </c>
      <c r="X31" s="38">
        <v>5</v>
      </c>
      <c r="Y31" s="38">
        <v>7</v>
      </c>
      <c r="Z31" s="38">
        <v>10</v>
      </c>
      <c r="AA31" s="38">
        <v>7</v>
      </c>
      <c r="AB31" s="38">
        <v>10</v>
      </c>
      <c r="AC31" s="38">
        <v>5</v>
      </c>
      <c r="AD31" s="38">
        <v>7</v>
      </c>
      <c r="AE31" s="38">
        <v>4</v>
      </c>
      <c r="AF31" s="38">
        <v>38</v>
      </c>
      <c r="AG31" s="38"/>
      <c r="AH31" s="40">
        <f t="shared" si="7"/>
        <v>70</v>
      </c>
      <c r="AI31" s="40">
        <f t="shared" si="7"/>
        <v>82</v>
      </c>
      <c r="AJ31" s="40">
        <f t="shared" si="7"/>
        <v>100</v>
      </c>
      <c r="AK31" s="40">
        <f t="shared" si="7"/>
        <v>82</v>
      </c>
      <c r="AL31" s="40">
        <f t="shared" si="7"/>
        <v>100</v>
      </c>
      <c r="AM31" s="40">
        <f t="shared" si="7"/>
        <v>70</v>
      </c>
      <c r="AN31" s="40">
        <f t="shared" si="7"/>
        <v>82</v>
      </c>
      <c r="AO31" s="40">
        <f t="shared" si="7"/>
        <v>64</v>
      </c>
      <c r="AP31" s="40">
        <f t="shared" si="7"/>
        <v>97</v>
      </c>
      <c r="AQ31" s="40" t="str">
        <f t="shared" si="7"/>
        <v xml:space="preserve"> </v>
      </c>
      <c r="AR31" s="41">
        <f t="shared" si="8"/>
        <v>83</v>
      </c>
      <c r="AS31" s="38">
        <v>100</v>
      </c>
      <c r="AT31" s="38">
        <v>100</v>
      </c>
      <c r="AU31" s="38">
        <v>100</v>
      </c>
      <c r="AV31" s="38"/>
      <c r="AW31" s="38"/>
      <c r="AX31" s="38"/>
      <c r="AY31" s="38"/>
      <c r="AZ31" s="38"/>
      <c r="BA31" s="38"/>
      <c r="BB31" s="38"/>
      <c r="BC31" s="42">
        <f t="shared" si="9"/>
        <v>100</v>
      </c>
      <c r="BD31" s="42">
        <f t="shared" si="9"/>
        <v>100</v>
      </c>
      <c r="BE31" s="42">
        <f t="shared" si="9"/>
        <v>100</v>
      </c>
      <c r="BF31" s="42" t="str">
        <f t="shared" si="9"/>
        <v xml:space="preserve"> </v>
      </c>
      <c r="BG31" s="42" t="str">
        <f t="shared" si="9"/>
        <v xml:space="preserve"> </v>
      </c>
      <c r="BH31" s="42" t="str">
        <f t="shared" si="9"/>
        <v xml:space="preserve"> </v>
      </c>
      <c r="BI31" s="42" t="str">
        <f t="shared" si="9"/>
        <v xml:space="preserve"> </v>
      </c>
      <c r="BJ31" s="42" t="str">
        <f t="shared" si="9"/>
        <v xml:space="preserve"> </v>
      </c>
      <c r="BK31" s="42" t="str">
        <f t="shared" si="9"/>
        <v xml:space="preserve"> </v>
      </c>
      <c r="BL31" s="42" t="str">
        <f t="shared" si="9"/>
        <v xml:space="preserve"> </v>
      </c>
      <c r="BM31" s="43">
        <f t="shared" si="10"/>
        <v>100</v>
      </c>
      <c r="BN31" s="38">
        <v>83</v>
      </c>
      <c r="BO31" s="44">
        <f t="shared" si="11"/>
        <v>89.8</v>
      </c>
      <c r="BP31" s="20"/>
      <c r="BQ31" s="39">
        <f t="shared" si="20"/>
        <v>89.321818181818188</v>
      </c>
      <c r="BR31" s="23" t="str">
        <f t="shared" si="21"/>
        <v>PASSED</v>
      </c>
      <c r="BS31" s="45"/>
      <c r="BT31" s="46"/>
      <c r="BU31" s="46"/>
      <c r="BV31" s="46"/>
      <c r="BW31" s="21" t="str">
        <f t="shared" si="25"/>
        <v/>
      </c>
      <c r="BX31" s="22">
        <f t="shared" si="25"/>
        <v>1</v>
      </c>
      <c r="BY31" s="22">
        <f t="shared" si="25"/>
        <v>1</v>
      </c>
      <c r="BZ31" s="22">
        <f t="shared" si="25"/>
        <v>1</v>
      </c>
      <c r="CA31" s="22">
        <f t="shared" si="25"/>
        <v>1</v>
      </c>
      <c r="CB31" s="22" t="str">
        <f t="shared" si="25"/>
        <v/>
      </c>
      <c r="CC31" s="22">
        <f t="shared" si="25"/>
        <v>1</v>
      </c>
      <c r="CD31" s="22">
        <f t="shared" si="25"/>
        <v>1</v>
      </c>
      <c r="CE31" s="22" t="str">
        <f t="shared" si="25"/>
        <v/>
      </c>
      <c r="CF31" s="22">
        <f t="shared" si="25"/>
        <v>1</v>
      </c>
      <c r="CG31" s="22">
        <f t="shared" si="25"/>
        <v>1</v>
      </c>
      <c r="CH31" s="22" t="str">
        <f t="shared" si="25"/>
        <v/>
      </c>
      <c r="CI31" s="22" t="str">
        <f t="shared" si="25"/>
        <v/>
      </c>
      <c r="CJ31" s="22" t="str">
        <f t="shared" si="25"/>
        <v/>
      </c>
      <c r="CK31" s="22" t="str">
        <f t="shared" si="25"/>
        <v/>
      </c>
      <c r="CL31" s="22" t="str">
        <f t="shared" si="23"/>
        <v/>
      </c>
      <c r="CM31" s="22" t="str">
        <f t="shared" si="13"/>
        <v/>
      </c>
      <c r="CN31" s="22" t="str">
        <f t="shared" si="13"/>
        <v/>
      </c>
      <c r="CO31" s="22" t="str">
        <f t="shared" si="13"/>
        <v/>
      </c>
      <c r="CP31" s="22" t="str">
        <f t="shared" si="13"/>
        <v/>
      </c>
      <c r="CQ31" s="22">
        <f t="shared" si="22"/>
        <v>8</v>
      </c>
      <c r="CR31" s="22">
        <f t="shared" si="3"/>
        <v>11</v>
      </c>
      <c r="CS31" s="22" t="str">
        <f t="shared" si="26"/>
        <v/>
      </c>
      <c r="CT31" s="22" t="str">
        <f t="shared" si="26"/>
        <v/>
      </c>
      <c r="CU31" s="22" t="str">
        <f t="shared" si="26"/>
        <v/>
      </c>
      <c r="CV31" s="22" t="str">
        <f t="shared" si="26"/>
        <v/>
      </c>
      <c r="CW31" s="22" t="str">
        <f t="shared" si="26"/>
        <v/>
      </c>
      <c r="CX31" s="22" t="str">
        <f t="shared" si="26"/>
        <v/>
      </c>
      <c r="CY31" s="22" t="str">
        <f t="shared" si="26"/>
        <v/>
      </c>
      <c r="CZ31" s="22" t="str">
        <f t="shared" si="26"/>
        <v/>
      </c>
      <c r="DA31" s="22" t="str">
        <f t="shared" si="26"/>
        <v/>
      </c>
      <c r="DB31" s="22" t="str">
        <f t="shared" si="26"/>
        <v/>
      </c>
      <c r="DC31" s="22" t="str">
        <f t="shared" si="26"/>
        <v/>
      </c>
      <c r="DD31" s="22" t="str">
        <f t="shared" si="26"/>
        <v/>
      </c>
      <c r="DE31" s="22" t="str">
        <f t="shared" si="26"/>
        <v/>
      </c>
      <c r="DF31" s="22" t="str">
        <f t="shared" si="26"/>
        <v/>
      </c>
      <c r="DG31" s="22" t="str">
        <f t="shared" si="26"/>
        <v/>
      </c>
      <c r="DH31" s="22" t="str">
        <f t="shared" si="24"/>
        <v/>
      </c>
      <c r="DI31" s="22" t="str">
        <f t="shared" si="15"/>
        <v/>
      </c>
      <c r="DJ31" s="22" t="str">
        <f t="shared" si="15"/>
        <v/>
      </c>
      <c r="DK31" s="22" t="str">
        <f t="shared" si="15"/>
        <v/>
      </c>
      <c r="DL31" s="22" t="str">
        <f t="shared" si="15"/>
        <v/>
      </c>
      <c r="DM31" s="22">
        <f t="shared" si="16"/>
        <v>0</v>
      </c>
      <c r="DN31" s="36">
        <f t="shared" si="27"/>
        <v>10</v>
      </c>
      <c r="DO31" s="36">
        <f t="shared" si="27"/>
        <v>10</v>
      </c>
      <c r="DP31" s="36">
        <f t="shared" si="27"/>
        <v>10</v>
      </c>
      <c r="DQ31" s="36">
        <f t="shared" si="27"/>
        <v>10</v>
      </c>
      <c r="DR31" s="36">
        <f t="shared" si="27"/>
        <v>10</v>
      </c>
      <c r="DS31" s="36">
        <f t="shared" si="27"/>
        <v>10</v>
      </c>
      <c r="DT31" s="36">
        <f t="shared" si="27"/>
        <v>10</v>
      </c>
      <c r="DU31" s="36">
        <f t="shared" si="27"/>
        <v>10</v>
      </c>
      <c r="DV31" s="36">
        <f t="shared" si="27"/>
        <v>40</v>
      </c>
      <c r="DW31" s="36">
        <f t="shared" si="27"/>
        <v>0</v>
      </c>
      <c r="DX31" s="23">
        <f t="shared" si="27"/>
        <v>9</v>
      </c>
      <c r="DY31" s="23">
        <f t="shared" si="27"/>
        <v>100</v>
      </c>
      <c r="DZ31" s="23">
        <f t="shared" si="27"/>
        <v>100</v>
      </c>
      <c r="EA31" s="23">
        <f t="shared" si="27"/>
        <v>100</v>
      </c>
      <c r="EB31" s="23">
        <f t="shared" si="27"/>
        <v>0</v>
      </c>
      <c r="EC31" s="23">
        <f t="shared" si="27"/>
        <v>0</v>
      </c>
      <c r="ED31" s="23">
        <f t="shared" si="29"/>
        <v>0</v>
      </c>
      <c r="EE31" s="23">
        <f t="shared" si="29"/>
        <v>0</v>
      </c>
      <c r="EF31" s="23">
        <f t="shared" si="29"/>
        <v>0</v>
      </c>
      <c r="EG31" s="23">
        <f t="shared" si="29"/>
        <v>0</v>
      </c>
      <c r="EH31" s="23">
        <f t="shared" si="29"/>
        <v>0</v>
      </c>
      <c r="EI31" s="23">
        <f t="shared" si="29"/>
        <v>3</v>
      </c>
      <c r="EJ31" s="23">
        <f t="shared" si="29"/>
        <v>100</v>
      </c>
    </row>
    <row r="32" spans="1:140" ht="9.9" customHeight="1" x14ac:dyDescent="0.3">
      <c r="A32" s="23">
        <v>23</v>
      </c>
      <c r="B32" s="50" t="str">
        <f>IF(PRELIM!B32="","",PRELIM!B32)</f>
        <v>MORA, CLAURENCE  C.</v>
      </c>
      <c r="C32" s="38" t="s">
        <v>190</v>
      </c>
      <c r="D32" s="38" t="s">
        <v>190</v>
      </c>
      <c r="E32" s="38" t="s">
        <v>190</v>
      </c>
      <c r="F32" s="38" t="s">
        <v>190</v>
      </c>
      <c r="G32" s="38" t="s">
        <v>190</v>
      </c>
      <c r="H32" s="38" t="s">
        <v>190</v>
      </c>
      <c r="I32" s="38" t="s">
        <v>190</v>
      </c>
      <c r="J32" s="38" t="s">
        <v>190</v>
      </c>
      <c r="K32" s="38" t="s">
        <v>190</v>
      </c>
      <c r="L32" s="38" t="s">
        <v>190</v>
      </c>
      <c r="M32" s="38" t="s">
        <v>190</v>
      </c>
      <c r="N32" s="38"/>
      <c r="O32" s="38"/>
      <c r="P32" s="38"/>
      <c r="Q32" s="38"/>
      <c r="R32" s="38"/>
      <c r="S32" s="38"/>
      <c r="T32" s="38"/>
      <c r="U32" s="38"/>
      <c r="V32" s="38"/>
      <c r="W32" s="39">
        <f t="shared" si="6"/>
        <v>100</v>
      </c>
      <c r="X32" s="38">
        <v>8</v>
      </c>
      <c r="Y32" s="38">
        <v>6</v>
      </c>
      <c r="Z32" s="38">
        <v>5</v>
      </c>
      <c r="AA32" s="38">
        <v>6</v>
      </c>
      <c r="AB32" s="38">
        <v>7</v>
      </c>
      <c r="AC32" s="38">
        <v>4</v>
      </c>
      <c r="AD32" s="38">
        <v>6</v>
      </c>
      <c r="AE32" s="38">
        <v>5</v>
      </c>
      <c r="AF32" s="38">
        <v>21</v>
      </c>
      <c r="AG32" s="38"/>
      <c r="AH32" s="40">
        <f t="shared" si="7"/>
        <v>88</v>
      </c>
      <c r="AI32" s="40">
        <f t="shared" si="7"/>
        <v>76</v>
      </c>
      <c r="AJ32" s="40">
        <f t="shared" si="7"/>
        <v>70</v>
      </c>
      <c r="AK32" s="40">
        <f t="shared" si="7"/>
        <v>76</v>
      </c>
      <c r="AL32" s="40">
        <f t="shared" si="7"/>
        <v>82</v>
      </c>
      <c r="AM32" s="40">
        <f t="shared" si="7"/>
        <v>64</v>
      </c>
      <c r="AN32" s="40">
        <f t="shared" si="7"/>
        <v>76</v>
      </c>
      <c r="AO32" s="40">
        <f t="shared" si="7"/>
        <v>70</v>
      </c>
      <c r="AP32" s="40">
        <f t="shared" si="7"/>
        <v>71.5</v>
      </c>
      <c r="AQ32" s="40" t="str">
        <f t="shared" si="7"/>
        <v xml:space="preserve"> </v>
      </c>
      <c r="AR32" s="41">
        <f t="shared" si="8"/>
        <v>74.833333333333329</v>
      </c>
      <c r="AS32" s="38">
        <v>100</v>
      </c>
      <c r="AT32" s="38">
        <v>100</v>
      </c>
      <c r="AU32" s="38">
        <v>100</v>
      </c>
      <c r="AV32" s="38"/>
      <c r="AW32" s="38"/>
      <c r="AX32" s="38"/>
      <c r="AY32" s="38"/>
      <c r="AZ32" s="38"/>
      <c r="BA32" s="38"/>
      <c r="BB32" s="38"/>
      <c r="BC32" s="42">
        <f t="shared" si="9"/>
        <v>100</v>
      </c>
      <c r="BD32" s="42">
        <f t="shared" si="9"/>
        <v>100</v>
      </c>
      <c r="BE32" s="42">
        <f t="shared" si="9"/>
        <v>100</v>
      </c>
      <c r="BF32" s="42" t="str">
        <f t="shared" si="9"/>
        <v xml:space="preserve"> </v>
      </c>
      <c r="BG32" s="42" t="str">
        <f t="shared" si="9"/>
        <v xml:space="preserve"> </v>
      </c>
      <c r="BH32" s="42" t="str">
        <f t="shared" si="9"/>
        <v xml:space="preserve"> </v>
      </c>
      <c r="BI32" s="42" t="str">
        <f t="shared" si="9"/>
        <v xml:space="preserve"> </v>
      </c>
      <c r="BJ32" s="42" t="str">
        <f t="shared" si="9"/>
        <v xml:space="preserve"> </v>
      </c>
      <c r="BK32" s="42" t="str">
        <f t="shared" si="9"/>
        <v xml:space="preserve"> </v>
      </c>
      <c r="BL32" s="42" t="str">
        <f t="shared" si="9"/>
        <v xml:space="preserve"> </v>
      </c>
      <c r="BM32" s="43">
        <f t="shared" si="10"/>
        <v>100</v>
      </c>
      <c r="BN32" s="38">
        <v>54</v>
      </c>
      <c r="BO32" s="44">
        <f t="shared" si="11"/>
        <v>72.400000000000006</v>
      </c>
      <c r="BP32" s="20"/>
      <c r="BQ32" s="39">
        <f t="shared" si="20"/>
        <v>78.528333333333336</v>
      </c>
      <c r="BR32" s="23" t="str">
        <f t="shared" si="21"/>
        <v>PASSED</v>
      </c>
      <c r="BS32" s="45"/>
      <c r="BT32" s="46"/>
      <c r="BU32" s="46"/>
      <c r="BV32" s="46"/>
      <c r="BW32" s="21">
        <f t="shared" si="25"/>
        <v>1</v>
      </c>
      <c r="BX32" s="22">
        <f t="shared" si="25"/>
        <v>1</v>
      </c>
      <c r="BY32" s="22">
        <f t="shared" si="25"/>
        <v>1</v>
      </c>
      <c r="BZ32" s="22">
        <f t="shared" si="25"/>
        <v>1</v>
      </c>
      <c r="CA32" s="22">
        <f t="shared" si="25"/>
        <v>1</v>
      </c>
      <c r="CB32" s="22">
        <f t="shared" si="25"/>
        <v>1</v>
      </c>
      <c r="CC32" s="22">
        <f t="shared" si="25"/>
        <v>1</v>
      </c>
      <c r="CD32" s="22">
        <f t="shared" si="25"/>
        <v>1</v>
      </c>
      <c r="CE32" s="22">
        <f t="shared" si="25"/>
        <v>1</v>
      </c>
      <c r="CF32" s="22">
        <f t="shared" si="25"/>
        <v>1</v>
      </c>
      <c r="CG32" s="22">
        <f t="shared" si="25"/>
        <v>1</v>
      </c>
      <c r="CH32" s="22" t="str">
        <f t="shared" si="25"/>
        <v/>
      </c>
      <c r="CI32" s="22" t="str">
        <f t="shared" si="25"/>
        <v/>
      </c>
      <c r="CJ32" s="22" t="str">
        <f t="shared" si="25"/>
        <v/>
      </c>
      <c r="CK32" s="22" t="str">
        <f t="shared" si="25"/>
        <v/>
      </c>
      <c r="CL32" s="22" t="str">
        <f t="shared" si="23"/>
        <v/>
      </c>
      <c r="CM32" s="22" t="str">
        <f t="shared" si="13"/>
        <v/>
      </c>
      <c r="CN32" s="22" t="str">
        <f t="shared" si="13"/>
        <v/>
      </c>
      <c r="CO32" s="22" t="str">
        <f t="shared" si="13"/>
        <v/>
      </c>
      <c r="CP32" s="22" t="str">
        <f t="shared" si="13"/>
        <v/>
      </c>
      <c r="CQ32" s="22">
        <f t="shared" si="22"/>
        <v>11</v>
      </c>
      <c r="CR32" s="22">
        <f t="shared" si="3"/>
        <v>11</v>
      </c>
      <c r="CS32" s="22" t="str">
        <f t="shared" si="26"/>
        <v/>
      </c>
      <c r="CT32" s="22" t="str">
        <f t="shared" si="26"/>
        <v/>
      </c>
      <c r="CU32" s="22" t="str">
        <f t="shared" si="26"/>
        <v/>
      </c>
      <c r="CV32" s="22" t="str">
        <f t="shared" si="26"/>
        <v/>
      </c>
      <c r="CW32" s="22" t="str">
        <f t="shared" si="26"/>
        <v/>
      </c>
      <c r="CX32" s="22" t="str">
        <f t="shared" si="26"/>
        <v/>
      </c>
      <c r="CY32" s="22" t="str">
        <f t="shared" si="26"/>
        <v/>
      </c>
      <c r="CZ32" s="22" t="str">
        <f t="shared" si="26"/>
        <v/>
      </c>
      <c r="DA32" s="22" t="str">
        <f t="shared" si="26"/>
        <v/>
      </c>
      <c r="DB32" s="22" t="str">
        <f t="shared" si="26"/>
        <v/>
      </c>
      <c r="DC32" s="22" t="str">
        <f t="shared" si="26"/>
        <v/>
      </c>
      <c r="DD32" s="22" t="str">
        <f t="shared" si="26"/>
        <v/>
      </c>
      <c r="DE32" s="22" t="str">
        <f t="shared" si="26"/>
        <v/>
      </c>
      <c r="DF32" s="22" t="str">
        <f t="shared" si="26"/>
        <v/>
      </c>
      <c r="DG32" s="22" t="str">
        <f t="shared" si="26"/>
        <v/>
      </c>
      <c r="DH32" s="22" t="str">
        <f t="shared" si="24"/>
        <v/>
      </c>
      <c r="DI32" s="22" t="str">
        <f t="shared" si="15"/>
        <v/>
      </c>
      <c r="DJ32" s="22" t="str">
        <f t="shared" si="15"/>
        <v/>
      </c>
      <c r="DK32" s="22" t="str">
        <f t="shared" si="15"/>
        <v/>
      </c>
      <c r="DL32" s="22" t="str">
        <f t="shared" si="15"/>
        <v/>
      </c>
      <c r="DM32" s="22">
        <f t="shared" si="16"/>
        <v>0</v>
      </c>
      <c r="DN32" s="36">
        <f t="shared" si="27"/>
        <v>10</v>
      </c>
      <c r="DO32" s="36">
        <f t="shared" si="27"/>
        <v>10</v>
      </c>
      <c r="DP32" s="36">
        <f t="shared" si="27"/>
        <v>10</v>
      </c>
      <c r="DQ32" s="36">
        <f t="shared" si="27"/>
        <v>10</v>
      </c>
      <c r="DR32" s="36">
        <f t="shared" si="27"/>
        <v>10</v>
      </c>
      <c r="DS32" s="36">
        <f t="shared" si="27"/>
        <v>10</v>
      </c>
      <c r="DT32" s="36">
        <f t="shared" si="27"/>
        <v>10</v>
      </c>
      <c r="DU32" s="36">
        <f t="shared" si="27"/>
        <v>10</v>
      </c>
      <c r="DV32" s="36">
        <f t="shared" si="27"/>
        <v>40</v>
      </c>
      <c r="DW32" s="36">
        <f t="shared" si="27"/>
        <v>0</v>
      </c>
      <c r="DX32" s="23">
        <f t="shared" si="27"/>
        <v>9</v>
      </c>
      <c r="DY32" s="23">
        <f t="shared" si="27"/>
        <v>100</v>
      </c>
      <c r="DZ32" s="23">
        <f t="shared" si="27"/>
        <v>100</v>
      </c>
      <c r="EA32" s="23">
        <f t="shared" si="27"/>
        <v>100</v>
      </c>
      <c r="EB32" s="23">
        <f t="shared" si="27"/>
        <v>0</v>
      </c>
      <c r="EC32" s="23">
        <f t="shared" si="27"/>
        <v>0</v>
      </c>
      <c r="ED32" s="23">
        <f t="shared" si="29"/>
        <v>0</v>
      </c>
      <c r="EE32" s="23">
        <f t="shared" si="29"/>
        <v>0</v>
      </c>
      <c r="EF32" s="23">
        <f t="shared" si="29"/>
        <v>0</v>
      </c>
      <c r="EG32" s="23">
        <f t="shared" si="29"/>
        <v>0</v>
      </c>
      <c r="EH32" s="23">
        <f t="shared" si="29"/>
        <v>0</v>
      </c>
      <c r="EI32" s="23">
        <f t="shared" si="29"/>
        <v>3</v>
      </c>
      <c r="EJ32" s="23">
        <f t="shared" si="29"/>
        <v>100</v>
      </c>
    </row>
    <row r="33" spans="1:140" ht="9.9" customHeight="1" x14ac:dyDescent="0.3">
      <c r="A33" s="23">
        <v>24</v>
      </c>
      <c r="B33" s="50" t="str">
        <f>IF(PRELIM!B33="","",PRELIM!B33)</f>
        <v>MORALES, JANE MANELYN C.</v>
      </c>
      <c r="C33" s="38" t="s">
        <v>190</v>
      </c>
      <c r="D33" s="38"/>
      <c r="E33" s="38" t="s">
        <v>190</v>
      </c>
      <c r="F33" s="38" t="s">
        <v>190</v>
      </c>
      <c r="G33" s="38" t="s">
        <v>190</v>
      </c>
      <c r="H33" s="38" t="s">
        <v>190</v>
      </c>
      <c r="I33" s="38" t="s">
        <v>190</v>
      </c>
      <c r="J33" s="38" t="s">
        <v>190</v>
      </c>
      <c r="K33" s="38" t="s">
        <v>190</v>
      </c>
      <c r="L33" s="38" t="s">
        <v>190</v>
      </c>
      <c r="M33" s="38" t="s">
        <v>190</v>
      </c>
      <c r="N33" s="38"/>
      <c r="O33" s="38"/>
      <c r="P33" s="38"/>
      <c r="Q33" s="38"/>
      <c r="R33" s="38"/>
      <c r="S33" s="38"/>
      <c r="T33" s="38"/>
      <c r="U33" s="38"/>
      <c r="V33" s="38"/>
      <c r="W33" s="39">
        <f t="shared" si="6"/>
        <v>94.545454545454547</v>
      </c>
      <c r="X33" s="38">
        <v>7</v>
      </c>
      <c r="Y33" s="38">
        <v>8</v>
      </c>
      <c r="Z33" s="38">
        <v>9</v>
      </c>
      <c r="AA33" s="38">
        <v>5</v>
      </c>
      <c r="AB33" s="38">
        <v>8</v>
      </c>
      <c r="AC33" s="38">
        <v>3</v>
      </c>
      <c r="AD33" s="38">
        <v>5</v>
      </c>
      <c r="AE33" s="38">
        <v>5</v>
      </c>
      <c r="AF33" s="38">
        <v>25</v>
      </c>
      <c r="AG33" s="38"/>
      <c r="AH33" s="40">
        <f t="shared" si="7"/>
        <v>82</v>
      </c>
      <c r="AI33" s="40">
        <f t="shared" si="7"/>
        <v>88</v>
      </c>
      <c r="AJ33" s="40">
        <f t="shared" si="7"/>
        <v>94</v>
      </c>
      <c r="AK33" s="40">
        <f t="shared" si="7"/>
        <v>70</v>
      </c>
      <c r="AL33" s="40">
        <f t="shared" si="7"/>
        <v>88</v>
      </c>
      <c r="AM33" s="40">
        <f t="shared" si="7"/>
        <v>58</v>
      </c>
      <c r="AN33" s="40">
        <f t="shared" si="7"/>
        <v>70</v>
      </c>
      <c r="AO33" s="40">
        <f t="shared" si="7"/>
        <v>70</v>
      </c>
      <c r="AP33" s="40">
        <f t="shared" si="7"/>
        <v>77.5</v>
      </c>
      <c r="AQ33" s="40" t="str">
        <f t="shared" si="7"/>
        <v xml:space="preserve"> </v>
      </c>
      <c r="AR33" s="41">
        <f t="shared" si="8"/>
        <v>77.5</v>
      </c>
      <c r="AS33" s="38">
        <v>100</v>
      </c>
      <c r="AT33" s="38">
        <v>100</v>
      </c>
      <c r="AU33" s="38">
        <v>100</v>
      </c>
      <c r="AV33" s="38"/>
      <c r="AW33" s="38"/>
      <c r="AX33" s="38"/>
      <c r="AY33" s="38"/>
      <c r="AZ33" s="38"/>
      <c r="BA33" s="38"/>
      <c r="BB33" s="38"/>
      <c r="BC33" s="42">
        <f t="shared" si="9"/>
        <v>100</v>
      </c>
      <c r="BD33" s="42">
        <f t="shared" si="9"/>
        <v>100</v>
      </c>
      <c r="BE33" s="42">
        <f t="shared" si="9"/>
        <v>100</v>
      </c>
      <c r="BF33" s="42" t="str">
        <f t="shared" si="9"/>
        <v xml:space="preserve"> </v>
      </c>
      <c r="BG33" s="42" t="str">
        <f t="shared" si="9"/>
        <v xml:space="preserve"> </v>
      </c>
      <c r="BH33" s="42" t="str">
        <f t="shared" si="9"/>
        <v xml:space="preserve"> </v>
      </c>
      <c r="BI33" s="42" t="str">
        <f t="shared" si="9"/>
        <v xml:space="preserve"> </v>
      </c>
      <c r="BJ33" s="42" t="str">
        <f t="shared" si="9"/>
        <v xml:space="preserve"> </v>
      </c>
      <c r="BK33" s="42" t="str">
        <f t="shared" si="9"/>
        <v xml:space="preserve"> </v>
      </c>
      <c r="BL33" s="42" t="str">
        <f t="shared" si="9"/>
        <v xml:space="preserve"> </v>
      </c>
      <c r="BM33" s="43">
        <f t="shared" si="10"/>
        <v>100</v>
      </c>
      <c r="BN33" s="38">
        <v>82</v>
      </c>
      <c r="BO33" s="44">
        <f t="shared" si="11"/>
        <v>89.199999999999989</v>
      </c>
      <c r="BP33" s="20"/>
      <c r="BQ33" s="39">
        <f t="shared" si="20"/>
        <v>88.162272727272722</v>
      </c>
      <c r="BR33" s="23" t="str">
        <f t="shared" si="21"/>
        <v>PASSED</v>
      </c>
      <c r="BS33" s="45"/>
      <c r="BT33" s="46"/>
      <c r="BU33" s="46"/>
      <c r="BV33" s="46"/>
      <c r="BW33" s="21">
        <f t="shared" si="25"/>
        <v>1</v>
      </c>
      <c r="BX33" s="22" t="str">
        <f t="shared" si="25"/>
        <v/>
      </c>
      <c r="BY33" s="22">
        <f t="shared" si="25"/>
        <v>1</v>
      </c>
      <c r="BZ33" s="22">
        <f t="shared" si="25"/>
        <v>1</v>
      </c>
      <c r="CA33" s="22">
        <f t="shared" si="25"/>
        <v>1</v>
      </c>
      <c r="CB33" s="22">
        <f t="shared" si="25"/>
        <v>1</v>
      </c>
      <c r="CC33" s="22">
        <f t="shared" si="25"/>
        <v>1</v>
      </c>
      <c r="CD33" s="22">
        <f t="shared" si="25"/>
        <v>1</v>
      </c>
      <c r="CE33" s="22">
        <f t="shared" si="25"/>
        <v>1</v>
      </c>
      <c r="CF33" s="22">
        <f t="shared" si="25"/>
        <v>1</v>
      </c>
      <c r="CG33" s="22">
        <f t="shared" si="25"/>
        <v>1</v>
      </c>
      <c r="CH33" s="22" t="str">
        <f t="shared" si="25"/>
        <v/>
      </c>
      <c r="CI33" s="22" t="str">
        <f t="shared" si="25"/>
        <v/>
      </c>
      <c r="CJ33" s="22" t="str">
        <f t="shared" si="25"/>
        <v/>
      </c>
      <c r="CK33" s="22" t="str">
        <f t="shared" si="25"/>
        <v/>
      </c>
      <c r="CL33" s="22" t="str">
        <f t="shared" si="23"/>
        <v/>
      </c>
      <c r="CM33" s="22" t="str">
        <f t="shared" si="13"/>
        <v/>
      </c>
      <c r="CN33" s="22" t="str">
        <f t="shared" si="13"/>
        <v/>
      </c>
      <c r="CO33" s="22" t="str">
        <f t="shared" si="13"/>
        <v/>
      </c>
      <c r="CP33" s="22" t="str">
        <f t="shared" si="13"/>
        <v/>
      </c>
      <c r="CQ33" s="22">
        <f t="shared" si="22"/>
        <v>10</v>
      </c>
      <c r="CR33" s="22">
        <f t="shared" si="3"/>
        <v>11</v>
      </c>
      <c r="CS33" s="22" t="str">
        <f t="shared" si="26"/>
        <v/>
      </c>
      <c r="CT33" s="22" t="str">
        <f t="shared" si="26"/>
        <v/>
      </c>
      <c r="CU33" s="22" t="str">
        <f t="shared" si="26"/>
        <v/>
      </c>
      <c r="CV33" s="22" t="str">
        <f t="shared" si="26"/>
        <v/>
      </c>
      <c r="CW33" s="22" t="str">
        <f t="shared" si="26"/>
        <v/>
      </c>
      <c r="CX33" s="22" t="str">
        <f t="shared" si="26"/>
        <v/>
      </c>
      <c r="CY33" s="22" t="str">
        <f t="shared" si="26"/>
        <v/>
      </c>
      <c r="CZ33" s="22" t="str">
        <f t="shared" si="26"/>
        <v/>
      </c>
      <c r="DA33" s="22" t="str">
        <f t="shared" si="26"/>
        <v/>
      </c>
      <c r="DB33" s="22" t="str">
        <f t="shared" si="26"/>
        <v/>
      </c>
      <c r="DC33" s="22" t="str">
        <f t="shared" si="26"/>
        <v/>
      </c>
      <c r="DD33" s="22" t="str">
        <f t="shared" si="26"/>
        <v/>
      </c>
      <c r="DE33" s="22" t="str">
        <f t="shared" si="26"/>
        <v/>
      </c>
      <c r="DF33" s="22" t="str">
        <f t="shared" si="26"/>
        <v/>
      </c>
      <c r="DG33" s="22" t="str">
        <f t="shared" si="26"/>
        <v/>
      </c>
      <c r="DH33" s="22" t="str">
        <f t="shared" si="24"/>
        <v/>
      </c>
      <c r="DI33" s="22" t="str">
        <f t="shared" si="15"/>
        <v/>
      </c>
      <c r="DJ33" s="22" t="str">
        <f t="shared" si="15"/>
        <v/>
      </c>
      <c r="DK33" s="22" t="str">
        <f t="shared" si="15"/>
        <v/>
      </c>
      <c r="DL33" s="22" t="str">
        <f t="shared" si="15"/>
        <v/>
      </c>
      <c r="DM33" s="22">
        <f t="shared" si="16"/>
        <v>0</v>
      </c>
      <c r="DN33" s="36">
        <f t="shared" si="27"/>
        <v>10</v>
      </c>
      <c r="DO33" s="36">
        <f t="shared" si="27"/>
        <v>10</v>
      </c>
      <c r="DP33" s="36">
        <f t="shared" si="27"/>
        <v>10</v>
      </c>
      <c r="DQ33" s="36">
        <f t="shared" si="27"/>
        <v>10</v>
      </c>
      <c r="DR33" s="36">
        <f t="shared" si="27"/>
        <v>10</v>
      </c>
      <c r="DS33" s="36">
        <f t="shared" si="27"/>
        <v>10</v>
      </c>
      <c r="DT33" s="36">
        <f t="shared" si="27"/>
        <v>10</v>
      </c>
      <c r="DU33" s="36">
        <f t="shared" si="27"/>
        <v>10</v>
      </c>
      <c r="DV33" s="36">
        <f t="shared" si="27"/>
        <v>40</v>
      </c>
      <c r="DW33" s="36">
        <f t="shared" si="27"/>
        <v>0</v>
      </c>
      <c r="DX33" s="23">
        <f t="shared" si="27"/>
        <v>9</v>
      </c>
      <c r="DY33" s="23">
        <f t="shared" si="27"/>
        <v>100</v>
      </c>
      <c r="DZ33" s="23">
        <f t="shared" si="27"/>
        <v>100</v>
      </c>
      <c r="EA33" s="23">
        <f t="shared" si="27"/>
        <v>100</v>
      </c>
      <c r="EB33" s="23">
        <f t="shared" si="27"/>
        <v>0</v>
      </c>
      <c r="EC33" s="23">
        <f t="shared" si="27"/>
        <v>0</v>
      </c>
      <c r="ED33" s="23">
        <f t="shared" si="29"/>
        <v>0</v>
      </c>
      <c r="EE33" s="23">
        <f t="shared" si="29"/>
        <v>0</v>
      </c>
      <c r="EF33" s="23">
        <f t="shared" si="29"/>
        <v>0</v>
      </c>
      <c r="EG33" s="23">
        <f t="shared" si="29"/>
        <v>0</v>
      </c>
      <c r="EH33" s="23">
        <f t="shared" si="29"/>
        <v>0</v>
      </c>
      <c r="EI33" s="23">
        <f t="shared" si="29"/>
        <v>3</v>
      </c>
      <c r="EJ33" s="23">
        <f t="shared" si="29"/>
        <v>100</v>
      </c>
    </row>
    <row r="34" spans="1:140" ht="9.9" customHeight="1" x14ac:dyDescent="0.3">
      <c r="A34" s="23">
        <v>25</v>
      </c>
      <c r="B34" s="50" t="str">
        <f>IF(PRELIM!B34="","",PRELIM!B34)</f>
        <v>NARAGA,  JHAMAICA R.</v>
      </c>
      <c r="C34" s="38" t="s">
        <v>190</v>
      </c>
      <c r="D34" s="38" t="s">
        <v>190</v>
      </c>
      <c r="E34" s="38" t="s">
        <v>190</v>
      </c>
      <c r="F34" s="38" t="s">
        <v>190</v>
      </c>
      <c r="G34" s="38" t="s">
        <v>190</v>
      </c>
      <c r="H34" s="38" t="s">
        <v>190</v>
      </c>
      <c r="I34" s="38" t="s">
        <v>190</v>
      </c>
      <c r="J34" s="38" t="s">
        <v>190</v>
      </c>
      <c r="K34" s="38" t="s">
        <v>190</v>
      </c>
      <c r="L34" s="38" t="s">
        <v>190</v>
      </c>
      <c r="M34" s="38" t="s">
        <v>190</v>
      </c>
      <c r="N34" s="38"/>
      <c r="O34" s="38"/>
      <c r="P34" s="38"/>
      <c r="Q34" s="38"/>
      <c r="R34" s="38"/>
      <c r="S34" s="38"/>
      <c r="T34" s="38"/>
      <c r="U34" s="38"/>
      <c r="V34" s="38"/>
      <c r="W34" s="39">
        <f t="shared" si="6"/>
        <v>100</v>
      </c>
      <c r="X34" s="38">
        <v>5</v>
      </c>
      <c r="Y34" s="38">
        <v>6</v>
      </c>
      <c r="Z34" s="38">
        <v>8</v>
      </c>
      <c r="AA34" s="38">
        <v>6</v>
      </c>
      <c r="AB34" s="38">
        <v>7</v>
      </c>
      <c r="AC34" s="38">
        <v>5</v>
      </c>
      <c r="AD34" s="38">
        <v>6</v>
      </c>
      <c r="AE34" s="38">
        <v>4</v>
      </c>
      <c r="AF34" s="38">
        <v>26</v>
      </c>
      <c r="AG34" s="38"/>
      <c r="AH34" s="40">
        <f t="shared" si="7"/>
        <v>70</v>
      </c>
      <c r="AI34" s="40">
        <f t="shared" si="7"/>
        <v>76</v>
      </c>
      <c r="AJ34" s="40">
        <f t="shared" si="7"/>
        <v>88</v>
      </c>
      <c r="AK34" s="40">
        <f t="shared" si="7"/>
        <v>76</v>
      </c>
      <c r="AL34" s="40">
        <f t="shared" si="7"/>
        <v>82</v>
      </c>
      <c r="AM34" s="40">
        <f t="shared" si="7"/>
        <v>70</v>
      </c>
      <c r="AN34" s="40">
        <f t="shared" si="7"/>
        <v>76</v>
      </c>
      <c r="AO34" s="40">
        <f t="shared" si="7"/>
        <v>64</v>
      </c>
      <c r="AP34" s="40">
        <f t="shared" si="7"/>
        <v>79</v>
      </c>
      <c r="AQ34" s="40" t="str">
        <f t="shared" si="7"/>
        <v xml:space="preserve"> </v>
      </c>
      <c r="AR34" s="41">
        <f t="shared" si="8"/>
        <v>75.666666666666671</v>
      </c>
      <c r="AS34" s="38">
        <v>100</v>
      </c>
      <c r="AT34" s="38">
        <v>100</v>
      </c>
      <c r="AU34" s="38">
        <v>100</v>
      </c>
      <c r="AV34" s="38"/>
      <c r="AW34" s="38"/>
      <c r="AX34" s="38"/>
      <c r="AY34" s="38"/>
      <c r="AZ34" s="38"/>
      <c r="BA34" s="38"/>
      <c r="BB34" s="38"/>
      <c r="BC34" s="42">
        <f t="shared" si="9"/>
        <v>100</v>
      </c>
      <c r="BD34" s="42">
        <f t="shared" si="9"/>
        <v>100</v>
      </c>
      <c r="BE34" s="42">
        <f t="shared" si="9"/>
        <v>100</v>
      </c>
      <c r="BF34" s="42" t="str">
        <f t="shared" si="9"/>
        <v xml:space="preserve"> </v>
      </c>
      <c r="BG34" s="42" t="str">
        <f t="shared" si="9"/>
        <v xml:space="preserve"> </v>
      </c>
      <c r="BH34" s="42" t="str">
        <f t="shared" si="9"/>
        <v xml:space="preserve"> </v>
      </c>
      <c r="BI34" s="42" t="str">
        <f t="shared" si="9"/>
        <v xml:space="preserve"> </v>
      </c>
      <c r="BJ34" s="42" t="str">
        <f t="shared" si="9"/>
        <v xml:space="preserve"> </v>
      </c>
      <c r="BK34" s="42" t="str">
        <f t="shared" si="9"/>
        <v xml:space="preserve"> </v>
      </c>
      <c r="BL34" s="42" t="str">
        <f t="shared" si="9"/>
        <v xml:space="preserve"> </v>
      </c>
      <c r="BM34" s="43">
        <f t="shared" si="10"/>
        <v>100</v>
      </c>
      <c r="BN34" s="38">
        <v>74</v>
      </c>
      <c r="BO34" s="44">
        <f t="shared" si="11"/>
        <v>84.4</v>
      </c>
      <c r="BP34" s="20"/>
      <c r="BQ34" s="39">
        <f t="shared" si="20"/>
        <v>85.336666666666673</v>
      </c>
      <c r="BR34" s="23" t="str">
        <f t="shared" si="21"/>
        <v>PASSED</v>
      </c>
      <c r="BS34" s="45"/>
      <c r="BT34" s="46"/>
      <c r="BU34" s="46"/>
      <c r="BV34" s="46"/>
      <c r="BW34" s="21">
        <f t="shared" si="25"/>
        <v>1</v>
      </c>
      <c r="BX34" s="22">
        <f t="shared" si="25"/>
        <v>1</v>
      </c>
      <c r="BY34" s="22">
        <f t="shared" si="25"/>
        <v>1</v>
      </c>
      <c r="BZ34" s="22">
        <f t="shared" si="25"/>
        <v>1</v>
      </c>
      <c r="CA34" s="22">
        <f t="shared" si="25"/>
        <v>1</v>
      </c>
      <c r="CB34" s="22">
        <f t="shared" si="25"/>
        <v>1</v>
      </c>
      <c r="CC34" s="22">
        <f t="shared" si="25"/>
        <v>1</v>
      </c>
      <c r="CD34" s="22">
        <f t="shared" si="25"/>
        <v>1</v>
      </c>
      <c r="CE34" s="22">
        <f t="shared" si="25"/>
        <v>1</v>
      </c>
      <c r="CF34" s="22">
        <f t="shared" si="25"/>
        <v>1</v>
      </c>
      <c r="CG34" s="22">
        <f t="shared" si="25"/>
        <v>1</v>
      </c>
      <c r="CH34" s="22" t="str">
        <f t="shared" si="25"/>
        <v/>
      </c>
      <c r="CI34" s="22" t="str">
        <f t="shared" si="25"/>
        <v/>
      </c>
      <c r="CJ34" s="22" t="str">
        <f t="shared" si="25"/>
        <v/>
      </c>
      <c r="CK34" s="22" t="str">
        <f t="shared" si="25"/>
        <v/>
      </c>
      <c r="CL34" s="22" t="str">
        <f t="shared" si="23"/>
        <v/>
      </c>
      <c r="CM34" s="22" t="str">
        <f t="shared" si="13"/>
        <v/>
      </c>
      <c r="CN34" s="22" t="str">
        <f t="shared" si="13"/>
        <v/>
      </c>
      <c r="CO34" s="22" t="str">
        <f t="shared" si="13"/>
        <v/>
      </c>
      <c r="CP34" s="22" t="str">
        <f t="shared" si="13"/>
        <v/>
      </c>
      <c r="CQ34" s="22">
        <f t="shared" si="22"/>
        <v>11</v>
      </c>
      <c r="CR34" s="22">
        <f t="shared" si="3"/>
        <v>11</v>
      </c>
      <c r="CS34" s="22" t="str">
        <f t="shared" si="26"/>
        <v/>
      </c>
      <c r="CT34" s="22" t="str">
        <f t="shared" si="26"/>
        <v/>
      </c>
      <c r="CU34" s="22" t="str">
        <f t="shared" si="26"/>
        <v/>
      </c>
      <c r="CV34" s="22" t="str">
        <f t="shared" si="26"/>
        <v/>
      </c>
      <c r="CW34" s="22" t="str">
        <f t="shared" si="26"/>
        <v/>
      </c>
      <c r="CX34" s="22" t="str">
        <f t="shared" si="26"/>
        <v/>
      </c>
      <c r="CY34" s="22" t="str">
        <f t="shared" si="26"/>
        <v/>
      </c>
      <c r="CZ34" s="22" t="str">
        <f t="shared" si="26"/>
        <v/>
      </c>
      <c r="DA34" s="22" t="str">
        <f t="shared" si="26"/>
        <v/>
      </c>
      <c r="DB34" s="22" t="str">
        <f t="shared" si="26"/>
        <v/>
      </c>
      <c r="DC34" s="22" t="str">
        <f t="shared" si="26"/>
        <v/>
      </c>
      <c r="DD34" s="22" t="str">
        <f t="shared" si="26"/>
        <v/>
      </c>
      <c r="DE34" s="22" t="str">
        <f t="shared" si="26"/>
        <v/>
      </c>
      <c r="DF34" s="22" t="str">
        <f t="shared" si="26"/>
        <v/>
      </c>
      <c r="DG34" s="22" t="str">
        <f t="shared" si="26"/>
        <v/>
      </c>
      <c r="DH34" s="22" t="str">
        <f t="shared" si="24"/>
        <v/>
      </c>
      <c r="DI34" s="22" t="str">
        <f t="shared" si="15"/>
        <v/>
      </c>
      <c r="DJ34" s="22" t="str">
        <f t="shared" si="15"/>
        <v/>
      </c>
      <c r="DK34" s="22" t="str">
        <f t="shared" si="15"/>
        <v/>
      </c>
      <c r="DL34" s="22" t="str">
        <f t="shared" si="15"/>
        <v/>
      </c>
      <c r="DM34" s="22">
        <f t="shared" si="16"/>
        <v>0</v>
      </c>
      <c r="DN34" s="36">
        <f t="shared" si="27"/>
        <v>10</v>
      </c>
      <c r="DO34" s="36">
        <f t="shared" si="27"/>
        <v>10</v>
      </c>
      <c r="DP34" s="36">
        <f t="shared" si="27"/>
        <v>10</v>
      </c>
      <c r="DQ34" s="36">
        <f t="shared" si="27"/>
        <v>10</v>
      </c>
      <c r="DR34" s="36">
        <f t="shared" si="27"/>
        <v>10</v>
      </c>
      <c r="DS34" s="36">
        <f t="shared" si="27"/>
        <v>10</v>
      </c>
      <c r="DT34" s="36">
        <f t="shared" si="27"/>
        <v>10</v>
      </c>
      <c r="DU34" s="36">
        <f t="shared" si="27"/>
        <v>10</v>
      </c>
      <c r="DV34" s="36">
        <f t="shared" si="27"/>
        <v>40</v>
      </c>
      <c r="DW34" s="36">
        <f t="shared" si="27"/>
        <v>0</v>
      </c>
      <c r="DX34" s="23">
        <f t="shared" si="27"/>
        <v>9</v>
      </c>
      <c r="DY34" s="23">
        <f t="shared" si="27"/>
        <v>100</v>
      </c>
      <c r="DZ34" s="23">
        <f t="shared" si="27"/>
        <v>100</v>
      </c>
      <c r="EA34" s="23">
        <f t="shared" si="27"/>
        <v>100</v>
      </c>
      <c r="EB34" s="23">
        <f t="shared" si="27"/>
        <v>0</v>
      </c>
      <c r="EC34" s="23">
        <f t="shared" si="27"/>
        <v>0</v>
      </c>
      <c r="ED34" s="23">
        <f t="shared" si="29"/>
        <v>0</v>
      </c>
      <c r="EE34" s="23">
        <f t="shared" si="29"/>
        <v>0</v>
      </c>
      <c r="EF34" s="23">
        <f t="shared" si="29"/>
        <v>0</v>
      </c>
      <c r="EG34" s="23">
        <f t="shared" si="29"/>
        <v>0</v>
      </c>
      <c r="EH34" s="23">
        <f t="shared" si="29"/>
        <v>0</v>
      </c>
      <c r="EI34" s="23">
        <f t="shared" si="29"/>
        <v>3</v>
      </c>
      <c r="EJ34" s="23">
        <f t="shared" si="29"/>
        <v>100</v>
      </c>
    </row>
    <row r="35" spans="1:140" ht="9.9" customHeight="1" x14ac:dyDescent="0.3">
      <c r="A35" s="23">
        <v>26</v>
      </c>
      <c r="B35" s="50" t="str">
        <f>IF(PRELIM!B35="","",PRELIM!B35)</f>
        <v>ONGQUE, CHERRY A.</v>
      </c>
      <c r="C35" s="38" t="s">
        <v>190</v>
      </c>
      <c r="D35" s="38" t="s">
        <v>190</v>
      </c>
      <c r="E35" s="38" t="s">
        <v>190</v>
      </c>
      <c r="F35" s="38" t="s">
        <v>190</v>
      </c>
      <c r="G35" s="38" t="s">
        <v>190</v>
      </c>
      <c r="H35" s="38" t="s">
        <v>190</v>
      </c>
      <c r="I35" s="38" t="s">
        <v>190</v>
      </c>
      <c r="J35" s="38" t="s">
        <v>190</v>
      </c>
      <c r="K35" s="38" t="s">
        <v>190</v>
      </c>
      <c r="L35" s="38" t="s">
        <v>190</v>
      </c>
      <c r="M35" s="38" t="s">
        <v>190</v>
      </c>
      <c r="N35" s="38"/>
      <c r="O35" s="38"/>
      <c r="P35" s="38"/>
      <c r="Q35" s="38"/>
      <c r="R35" s="38"/>
      <c r="S35" s="38"/>
      <c r="T35" s="38"/>
      <c r="U35" s="38"/>
      <c r="V35" s="38"/>
      <c r="W35" s="39">
        <f t="shared" si="6"/>
        <v>100</v>
      </c>
      <c r="X35" s="38">
        <v>8</v>
      </c>
      <c r="Y35" s="38">
        <v>8</v>
      </c>
      <c r="Z35" s="38">
        <v>8</v>
      </c>
      <c r="AA35" s="38">
        <v>9</v>
      </c>
      <c r="AB35" s="38">
        <v>10</v>
      </c>
      <c r="AC35" s="38">
        <v>6</v>
      </c>
      <c r="AD35" s="38">
        <v>5</v>
      </c>
      <c r="AE35" s="38">
        <v>3</v>
      </c>
      <c r="AF35" s="38">
        <v>23</v>
      </c>
      <c r="AG35" s="38"/>
      <c r="AH35" s="40">
        <f t="shared" si="7"/>
        <v>88</v>
      </c>
      <c r="AI35" s="40">
        <f t="shared" si="7"/>
        <v>88</v>
      </c>
      <c r="AJ35" s="40">
        <f t="shared" si="7"/>
        <v>88</v>
      </c>
      <c r="AK35" s="40">
        <f t="shared" si="7"/>
        <v>94</v>
      </c>
      <c r="AL35" s="40">
        <f t="shared" si="7"/>
        <v>100</v>
      </c>
      <c r="AM35" s="40">
        <f t="shared" ref="AM35:AQ59" si="30">IF(DS35&gt;=1,(((AC35/DS35)*60)+40)," ")</f>
        <v>76</v>
      </c>
      <c r="AN35" s="40">
        <f t="shared" si="30"/>
        <v>70</v>
      </c>
      <c r="AO35" s="40">
        <f t="shared" si="30"/>
        <v>58</v>
      </c>
      <c r="AP35" s="40">
        <f t="shared" si="30"/>
        <v>74.5</v>
      </c>
      <c r="AQ35" s="40" t="str">
        <f t="shared" si="30"/>
        <v xml:space="preserve"> </v>
      </c>
      <c r="AR35" s="41">
        <f t="shared" si="8"/>
        <v>81.833333333333329</v>
      </c>
      <c r="AS35" s="38">
        <v>100</v>
      </c>
      <c r="AT35" s="38">
        <v>100</v>
      </c>
      <c r="AU35" s="38">
        <v>100</v>
      </c>
      <c r="AV35" s="38"/>
      <c r="AW35" s="38"/>
      <c r="AX35" s="38"/>
      <c r="AY35" s="38"/>
      <c r="AZ35" s="38"/>
      <c r="BA35" s="38"/>
      <c r="BB35" s="38"/>
      <c r="BC35" s="42">
        <f t="shared" si="9"/>
        <v>100</v>
      </c>
      <c r="BD35" s="42">
        <f t="shared" si="9"/>
        <v>100</v>
      </c>
      <c r="BE35" s="42">
        <f t="shared" si="9"/>
        <v>100</v>
      </c>
      <c r="BF35" s="42" t="str">
        <f t="shared" si="9"/>
        <v xml:space="preserve"> </v>
      </c>
      <c r="BG35" s="42" t="str">
        <f t="shared" si="9"/>
        <v xml:space="preserve"> </v>
      </c>
      <c r="BH35" s="42" t="str">
        <f t="shared" ref="BH35:BL59" si="31">IF(ED35&gt;=1,(((AX35/ED35)*60)+40)," ")</f>
        <v xml:space="preserve"> </v>
      </c>
      <c r="BI35" s="42" t="str">
        <f t="shared" si="31"/>
        <v xml:space="preserve"> </v>
      </c>
      <c r="BJ35" s="42" t="str">
        <f t="shared" si="31"/>
        <v xml:space="preserve"> </v>
      </c>
      <c r="BK35" s="42" t="str">
        <f t="shared" si="31"/>
        <v xml:space="preserve"> </v>
      </c>
      <c r="BL35" s="42" t="str">
        <f t="shared" si="31"/>
        <v xml:space="preserve"> </v>
      </c>
      <c r="BM35" s="43">
        <f t="shared" si="10"/>
        <v>100</v>
      </c>
      <c r="BN35" s="38">
        <v>78</v>
      </c>
      <c r="BO35" s="44">
        <f t="shared" si="11"/>
        <v>86.800000000000011</v>
      </c>
      <c r="BP35" s="20"/>
      <c r="BQ35" s="39">
        <f t="shared" si="20"/>
        <v>88.198333333333338</v>
      </c>
      <c r="BR35" s="23" t="str">
        <f t="shared" si="21"/>
        <v>PASSED</v>
      </c>
      <c r="BS35" s="45"/>
      <c r="BT35" s="46"/>
      <c r="BU35" s="46"/>
      <c r="BV35" s="46"/>
      <c r="BW35" s="21">
        <f t="shared" si="25"/>
        <v>1</v>
      </c>
      <c r="BX35" s="22">
        <f t="shared" si="25"/>
        <v>1</v>
      </c>
      <c r="BY35" s="22">
        <f t="shared" si="25"/>
        <v>1</v>
      </c>
      <c r="BZ35" s="22">
        <f t="shared" si="25"/>
        <v>1</v>
      </c>
      <c r="CA35" s="22">
        <f t="shared" si="25"/>
        <v>1</v>
      </c>
      <c r="CB35" s="22">
        <f t="shared" si="25"/>
        <v>1</v>
      </c>
      <c r="CC35" s="22">
        <f t="shared" si="25"/>
        <v>1</v>
      </c>
      <c r="CD35" s="22">
        <f t="shared" si="25"/>
        <v>1</v>
      </c>
      <c r="CE35" s="22">
        <f t="shared" si="25"/>
        <v>1</v>
      </c>
      <c r="CF35" s="22">
        <f t="shared" si="25"/>
        <v>1</v>
      </c>
      <c r="CG35" s="22">
        <f t="shared" si="25"/>
        <v>1</v>
      </c>
      <c r="CH35" s="22" t="str">
        <f t="shared" si="25"/>
        <v/>
      </c>
      <c r="CI35" s="22" t="str">
        <f t="shared" si="25"/>
        <v/>
      </c>
      <c r="CJ35" s="22" t="str">
        <f t="shared" si="25"/>
        <v/>
      </c>
      <c r="CK35" s="22" t="str">
        <f t="shared" si="25"/>
        <v/>
      </c>
      <c r="CL35" s="22" t="str">
        <f t="shared" si="23"/>
        <v/>
      </c>
      <c r="CM35" s="22" t="str">
        <f t="shared" si="13"/>
        <v/>
      </c>
      <c r="CN35" s="22" t="str">
        <f t="shared" si="13"/>
        <v/>
      </c>
      <c r="CO35" s="22" t="str">
        <f t="shared" si="13"/>
        <v/>
      </c>
      <c r="CP35" s="22" t="str">
        <f t="shared" si="13"/>
        <v/>
      </c>
      <c r="CQ35" s="22">
        <f t="shared" si="22"/>
        <v>11</v>
      </c>
      <c r="CR35" s="22">
        <f t="shared" si="3"/>
        <v>11</v>
      </c>
      <c r="CS35" s="22" t="str">
        <f t="shared" si="26"/>
        <v/>
      </c>
      <c r="CT35" s="22" t="str">
        <f t="shared" si="26"/>
        <v/>
      </c>
      <c r="CU35" s="22" t="str">
        <f t="shared" si="26"/>
        <v/>
      </c>
      <c r="CV35" s="22" t="str">
        <f t="shared" si="26"/>
        <v/>
      </c>
      <c r="CW35" s="22" t="str">
        <f t="shared" si="26"/>
        <v/>
      </c>
      <c r="CX35" s="22" t="str">
        <f t="shared" si="26"/>
        <v/>
      </c>
      <c r="CY35" s="22" t="str">
        <f t="shared" si="26"/>
        <v/>
      </c>
      <c r="CZ35" s="22" t="str">
        <f t="shared" si="26"/>
        <v/>
      </c>
      <c r="DA35" s="22" t="str">
        <f t="shared" si="26"/>
        <v/>
      </c>
      <c r="DB35" s="22" t="str">
        <f t="shared" si="26"/>
        <v/>
      </c>
      <c r="DC35" s="22" t="str">
        <f t="shared" si="26"/>
        <v/>
      </c>
      <c r="DD35" s="22" t="str">
        <f t="shared" si="26"/>
        <v/>
      </c>
      <c r="DE35" s="22" t="str">
        <f t="shared" si="26"/>
        <v/>
      </c>
      <c r="DF35" s="22" t="str">
        <f t="shared" si="26"/>
        <v/>
      </c>
      <c r="DG35" s="22" t="str">
        <f t="shared" si="26"/>
        <v/>
      </c>
      <c r="DH35" s="22" t="str">
        <f t="shared" si="24"/>
        <v/>
      </c>
      <c r="DI35" s="22" t="str">
        <f t="shared" si="15"/>
        <v/>
      </c>
      <c r="DJ35" s="22" t="str">
        <f t="shared" si="15"/>
        <v/>
      </c>
      <c r="DK35" s="22" t="str">
        <f t="shared" si="15"/>
        <v/>
      </c>
      <c r="DL35" s="22" t="str">
        <f t="shared" si="15"/>
        <v/>
      </c>
      <c r="DM35" s="22">
        <f t="shared" si="16"/>
        <v>0</v>
      </c>
      <c r="DN35" s="36">
        <f t="shared" si="27"/>
        <v>10</v>
      </c>
      <c r="DO35" s="36">
        <f t="shared" si="27"/>
        <v>10</v>
      </c>
      <c r="DP35" s="36">
        <f t="shared" si="27"/>
        <v>10</v>
      </c>
      <c r="DQ35" s="36">
        <f t="shared" si="27"/>
        <v>10</v>
      </c>
      <c r="DR35" s="36">
        <f t="shared" si="27"/>
        <v>10</v>
      </c>
      <c r="DS35" s="36">
        <f t="shared" si="27"/>
        <v>10</v>
      </c>
      <c r="DT35" s="36">
        <f t="shared" si="27"/>
        <v>10</v>
      </c>
      <c r="DU35" s="36">
        <f t="shared" si="27"/>
        <v>10</v>
      </c>
      <c r="DV35" s="36">
        <f t="shared" si="27"/>
        <v>40</v>
      </c>
      <c r="DW35" s="36">
        <f t="shared" si="27"/>
        <v>0</v>
      </c>
      <c r="DX35" s="23">
        <f t="shared" si="27"/>
        <v>9</v>
      </c>
      <c r="DY35" s="23">
        <f t="shared" si="27"/>
        <v>100</v>
      </c>
      <c r="DZ35" s="23">
        <f t="shared" si="27"/>
        <v>100</v>
      </c>
      <c r="EA35" s="23">
        <f t="shared" si="27"/>
        <v>100</v>
      </c>
      <c r="EB35" s="23">
        <f t="shared" si="27"/>
        <v>0</v>
      </c>
      <c r="EC35" s="23">
        <f t="shared" si="27"/>
        <v>0</v>
      </c>
      <c r="ED35" s="23">
        <f t="shared" si="29"/>
        <v>0</v>
      </c>
      <c r="EE35" s="23">
        <f t="shared" si="29"/>
        <v>0</v>
      </c>
      <c r="EF35" s="23">
        <f t="shared" si="29"/>
        <v>0</v>
      </c>
      <c r="EG35" s="23">
        <f t="shared" si="29"/>
        <v>0</v>
      </c>
      <c r="EH35" s="23">
        <f t="shared" si="29"/>
        <v>0</v>
      </c>
      <c r="EI35" s="23">
        <f t="shared" si="29"/>
        <v>3</v>
      </c>
      <c r="EJ35" s="23">
        <f t="shared" si="29"/>
        <v>100</v>
      </c>
    </row>
    <row r="36" spans="1:140" ht="9.9" customHeight="1" x14ac:dyDescent="0.3">
      <c r="A36" s="23">
        <v>27</v>
      </c>
      <c r="B36" s="50" t="str">
        <f>IF(PRELIM!B36="","",PRELIM!B36)</f>
        <v>PAT, APRIL JANE L.</v>
      </c>
      <c r="C36" s="38" t="s">
        <v>190</v>
      </c>
      <c r="D36" s="38"/>
      <c r="E36" s="38" t="s">
        <v>190</v>
      </c>
      <c r="F36" s="38" t="s">
        <v>190</v>
      </c>
      <c r="G36" s="38"/>
      <c r="H36" s="38" t="s">
        <v>190</v>
      </c>
      <c r="I36" s="38" t="s">
        <v>190</v>
      </c>
      <c r="J36" s="38" t="s">
        <v>190</v>
      </c>
      <c r="K36" s="38" t="s">
        <v>190</v>
      </c>
      <c r="L36" s="38" t="s">
        <v>190</v>
      </c>
      <c r="M36" s="38" t="s">
        <v>190</v>
      </c>
      <c r="N36" s="38"/>
      <c r="O36" s="38"/>
      <c r="P36" s="38"/>
      <c r="Q36" s="38"/>
      <c r="R36" s="38"/>
      <c r="S36" s="38"/>
      <c r="T36" s="38"/>
      <c r="U36" s="38"/>
      <c r="V36" s="38"/>
      <c r="W36" s="39">
        <f t="shared" si="6"/>
        <v>89.090909090909093</v>
      </c>
      <c r="X36" s="38">
        <v>3</v>
      </c>
      <c r="Y36" s="38">
        <v>7</v>
      </c>
      <c r="Z36" s="38">
        <v>8</v>
      </c>
      <c r="AA36" s="38">
        <v>6</v>
      </c>
      <c r="AB36" s="38">
        <v>8</v>
      </c>
      <c r="AC36" s="38">
        <v>3</v>
      </c>
      <c r="AD36" s="38">
        <v>5</v>
      </c>
      <c r="AE36" s="38">
        <v>5</v>
      </c>
      <c r="AF36" s="38">
        <v>33</v>
      </c>
      <c r="AG36" s="38"/>
      <c r="AH36" s="40">
        <f t="shared" ref="AH36:AL59" si="32">IF(DN36&gt;=1,(((X36/DN36)*60)+40)," ")</f>
        <v>58</v>
      </c>
      <c r="AI36" s="40">
        <f t="shared" si="32"/>
        <v>82</v>
      </c>
      <c r="AJ36" s="40">
        <f t="shared" si="32"/>
        <v>88</v>
      </c>
      <c r="AK36" s="40">
        <f t="shared" si="32"/>
        <v>76</v>
      </c>
      <c r="AL36" s="40">
        <f t="shared" si="32"/>
        <v>88</v>
      </c>
      <c r="AM36" s="40">
        <f t="shared" si="30"/>
        <v>58</v>
      </c>
      <c r="AN36" s="40">
        <f t="shared" si="30"/>
        <v>70</v>
      </c>
      <c r="AO36" s="40">
        <f t="shared" si="30"/>
        <v>70</v>
      </c>
      <c r="AP36" s="40">
        <f t="shared" si="30"/>
        <v>89.5</v>
      </c>
      <c r="AQ36" s="40" t="str">
        <f t="shared" si="30"/>
        <v xml:space="preserve"> </v>
      </c>
      <c r="AR36" s="41">
        <f t="shared" si="8"/>
        <v>75.5</v>
      </c>
      <c r="AS36" s="38">
        <v>20</v>
      </c>
      <c r="AT36" s="38">
        <v>20</v>
      </c>
      <c r="AU36" s="38">
        <v>100</v>
      </c>
      <c r="AV36" s="38"/>
      <c r="AW36" s="38"/>
      <c r="AX36" s="38"/>
      <c r="AY36" s="38"/>
      <c r="AZ36" s="38"/>
      <c r="BA36" s="38"/>
      <c r="BB36" s="38"/>
      <c r="BC36" s="42">
        <f t="shared" ref="BC36:BG59" si="33">IF(DY36&gt;=1,(((AS36/DY36)*60)+40)," ")</f>
        <v>52</v>
      </c>
      <c r="BD36" s="42">
        <f t="shared" si="33"/>
        <v>52</v>
      </c>
      <c r="BE36" s="42">
        <f t="shared" si="33"/>
        <v>100</v>
      </c>
      <c r="BF36" s="42" t="str">
        <f t="shared" si="33"/>
        <v xml:space="preserve"> </v>
      </c>
      <c r="BG36" s="42" t="str">
        <f t="shared" si="33"/>
        <v xml:space="preserve"> </v>
      </c>
      <c r="BH36" s="42" t="str">
        <f t="shared" si="31"/>
        <v xml:space="preserve"> </v>
      </c>
      <c r="BI36" s="42" t="str">
        <f t="shared" si="31"/>
        <v xml:space="preserve"> </v>
      </c>
      <c r="BJ36" s="42" t="str">
        <f t="shared" si="31"/>
        <v xml:space="preserve"> </v>
      </c>
      <c r="BK36" s="42" t="str">
        <f t="shared" si="31"/>
        <v xml:space="preserve"> </v>
      </c>
      <c r="BL36" s="42" t="str">
        <f t="shared" si="31"/>
        <v xml:space="preserve"> </v>
      </c>
      <c r="BM36" s="43">
        <f t="shared" si="10"/>
        <v>68</v>
      </c>
      <c r="BN36" s="38">
        <v>61</v>
      </c>
      <c r="BO36" s="44">
        <f t="shared" si="11"/>
        <v>76.599999999999994</v>
      </c>
      <c r="BP36" s="20"/>
      <c r="BQ36" s="39">
        <f t="shared" si="20"/>
        <v>75.659545454545452</v>
      </c>
      <c r="BR36" s="23" t="str">
        <f t="shared" si="21"/>
        <v>PASSED</v>
      </c>
      <c r="BS36" s="45"/>
      <c r="BT36" s="46"/>
      <c r="BU36" s="46"/>
      <c r="BV36" s="46"/>
      <c r="BW36" s="21">
        <f t="shared" si="25"/>
        <v>1</v>
      </c>
      <c r="BX36" s="22" t="str">
        <f t="shared" si="25"/>
        <v/>
      </c>
      <c r="BY36" s="22">
        <f t="shared" si="25"/>
        <v>1</v>
      </c>
      <c r="BZ36" s="22">
        <f t="shared" si="25"/>
        <v>1</v>
      </c>
      <c r="CA36" s="22" t="str">
        <f t="shared" si="25"/>
        <v/>
      </c>
      <c r="CB36" s="22">
        <f t="shared" si="25"/>
        <v>1</v>
      </c>
      <c r="CC36" s="22">
        <f t="shared" si="25"/>
        <v>1</v>
      </c>
      <c r="CD36" s="22">
        <f t="shared" si="25"/>
        <v>1</v>
      </c>
      <c r="CE36" s="22">
        <f t="shared" si="25"/>
        <v>1</v>
      </c>
      <c r="CF36" s="22">
        <f t="shared" si="25"/>
        <v>1</v>
      </c>
      <c r="CG36" s="22">
        <f t="shared" si="25"/>
        <v>1</v>
      </c>
      <c r="CH36" s="22" t="str">
        <f t="shared" si="25"/>
        <v/>
      </c>
      <c r="CI36" s="22" t="str">
        <f t="shared" si="25"/>
        <v/>
      </c>
      <c r="CJ36" s="22" t="str">
        <f t="shared" si="25"/>
        <v/>
      </c>
      <c r="CK36" s="22" t="str">
        <f t="shared" si="25"/>
        <v/>
      </c>
      <c r="CL36" s="22" t="str">
        <f t="shared" si="23"/>
        <v/>
      </c>
      <c r="CM36" s="22" t="str">
        <f t="shared" si="13"/>
        <v/>
      </c>
      <c r="CN36" s="22" t="str">
        <f t="shared" si="13"/>
        <v/>
      </c>
      <c r="CO36" s="22" t="str">
        <f t="shared" si="13"/>
        <v/>
      </c>
      <c r="CP36" s="22" t="str">
        <f t="shared" si="13"/>
        <v/>
      </c>
      <c r="CQ36" s="22">
        <f t="shared" si="22"/>
        <v>9</v>
      </c>
      <c r="CR36" s="22">
        <f t="shared" si="3"/>
        <v>11</v>
      </c>
      <c r="CS36" s="22" t="str">
        <f t="shared" si="26"/>
        <v/>
      </c>
      <c r="CT36" s="22" t="str">
        <f t="shared" si="26"/>
        <v/>
      </c>
      <c r="CU36" s="22" t="str">
        <f t="shared" si="26"/>
        <v/>
      </c>
      <c r="CV36" s="22" t="str">
        <f t="shared" si="26"/>
        <v/>
      </c>
      <c r="CW36" s="22" t="str">
        <f t="shared" si="26"/>
        <v/>
      </c>
      <c r="CX36" s="22" t="str">
        <f t="shared" si="26"/>
        <v/>
      </c>
      <c r="CY36" s="22" t="str">
        <f t="shared" si="26"/>
        <v/>
      </c>
      <c r="CZ36" s="22" t="str">
        <f t="shared" si="26"/>
        <v/>
      </c>
      <c r="DA36" s="22" t="str">
        <f t="shared" si="26"/>
        <v/>
      </c>
      <c r="DB36" s="22" t="str">
        <f t="shared" si="26"/>
        <v/>
      </c>
      <c r="DC36" s="22" t="str">
        <f t="shared" si="26"/>
        <v/>
      </c>
      <c r="DD36" s="22" t="str">
        <f t="shared" si="26"/>
        <v/>
      </c>
      <c r="DE36" s="22" t="str">
        <f t="shared" si="26"/>
        <v/>
      </c>
      <c r="DF36" s="22" t="str">
        <f t="shared" si="26"/>
        <v/>
      </c>
      <c r="DG36" s="22" t="str">
        <f t="shared" si="26"/>
        <v/>
      </c>
      <c r="DH36" s="22" t="str">
        <f t="shared" si="24"/>
        <v/>
      </c>
      <c r="DI36" s="22" t="str">
        <f t="shared" si="15"/>
        <v/>
      </c>
      <c r="DJ36" s="22" t="str">
        <f t="shared" si="15"/>
        <v/>
      </c>
      <c r="DK36" s="22" t="str">
        <f t="shared" si="15"/>
        <v/>
      </c>
      <c r="DL36" s="22" t="str">
        <f t="shared" si="15"/>
        <v/>
      </c>
      <c r="DM36" s="22">
        <f t="shared" si="16"/>
        <v>0</v>
      </c>
      <c r="DN36" s="36">
        <f t="shared" si="27"/>
        <v>10</v>
      </c>
      <c r="DO36" s="36">
        <f t="shared" si="27"/>
        <v>10</v>
      </c>
      <c r="DP36" s="36">
        <f t="shared" si="27"/>
        <v>10</v>
      </c>
      <c r="DQ36" s="36">
        <f t="shared" si="27"/>
        <v>10</v>
      </c>
      <c r="DR36" s="36">
        <f t="shared" si="27"/>
        <v>10</v>
      </c>
      <c r="DS36" s="36">
        <f t="shared" si="27"/>
        <v>10</v>
      </c>
      <c r="DT36" s="36">
        <f t="shared" si="27"/>
        <v>10</v>
      </c>
      <c r="DU36" s="36">
        <f t="shared" si="27"/>
        <v>10</v>
      </c>
      <c r="DV36" s="36">
        <f t="shared" si="27"/>
        <v>40</v>
      </c>
      <c r="DW36" s="36">
        <f t="shared" si="27"/>
        <v>0</v>
      </c>
      <c r="DX36" s="23">
        <f t="shared" si="27"/>
        <v>9</v>
      </c>
      <c r="DY36" s="23">
        <f t="shared" si="27"/>
        <v>100</v>
      </c>
      <c r="DZ36" s="23">
        <f t="shared" si="27"/>
        <v>100</v>
      </c>
      <c r="EA36" s="23">
        <f t="shared" si="27"/>
        <v>100</v>
      </c>
      <c r="EB36" s="23">
        <f t="shared" si="27"/>
        <v>0</v>
      </c>
      <c r="EC36" s="23">
        <f t="shared" si="27"/>
        <v>0</v>
      </c>
      <c r="ED36" s="23">
        <f t="shared" si="29"/>
        <v>0</v>
      </c>
      <c r="EE36" s="23">
        <f t="shared" si="29"/>
        <v>0</v>
      </c>
      <c r="EF36" s="23">
        <f t="shared" si="29"/>
        <v>0</v>
      </c>
      <c r="EG36" s="23">
        <f t="shared" si="29"/>
        <v>0</v>
      </c>
      <c r="EH36" s="23">
        <f t="shared" si="29"/>
        <v>0</v>
      </c>
      <c r="EI36" s="23">
        <f t="shared" si="29"/>
        <v>3</v>
      </c>
      <c r="EJ36" s="23">
        <f t="shared" si="29"/>
        <v>100</v>
      </c>
    </row>
    <row r="37" spans="1:140" ht="9.9" customHeight="1" x14ac:dyDescent="0.3">
      <c r="A37" s="23">
        <v>28</v>
      </c>
      <c r="B37" s="50" t="str">
        <f>IF(PRELIM!B37="","",PRELIM!B37)</f>
        <v>RICALDE, HARVEY C.</v>
      </c>
      <c r="C37" s="38"/>
      <c r="D37" s="38"/>
      <c r="E37" s="38" t="s">
        <v>190</v>
      </c>
      <c r="F37" s="38" t="s">
        <v>190</v>
      </c>
      <c r="G37" s="38" t="s">
        <v>190</v>
      </c>
      <c r="H37" s="38"/>
      <c r="I37" s="38" t="s">
        <v>190</v>
      </c>
      <c r="J37" s="38" t="s">
        <v>190</v>
      </c>
      <c r="K37" s="38" t="s">
        <v>190</v>
      </c>
      <c r="L37" s="38" t="s">
        <v>190</v>
      </c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9">
        <f t="shared" si="6"/>
        <v>78.181818181818187</v>
      </c>
      <c r="X37" s="38">
        <v>3</v>
      </c>
      <c r="Y37" s="38">
        <v>7</v>
      </c>
      <c r="Z37" s="38">
        <v>10</v>
      </c>
      <c r="AA37" s="38">
        <v>8</v>
      </c>
      <c r="AB37" s="38">
        <v>7</v>
      </c>
      <c r="AC37" s="38">
        <v>5</v>
      </c>
      <c r="AD37" s="38">
        <v>7</v>
      </c>
      <c r="AE37" s="38">
        <v>4</v>
      </c>
      <c r="AF37" s="38">
        <v>36</v>
      </c>
      <c r="AG37" s="38"/>
      <c r="AH37" s="40">
        <f t="shared" si="32"/>
        <v>58</v>
      </c>
      <c r="AI37" s="40">
        <f t="shared" si="32"/>
        <v>82</v>
      </c>
      <c r="AJ37" s="40">
        <f t="shared" si="32"/>
        <v>100</v>
      </c>
      <c r="AK37" s="40">
        <f t="shared" si="32"/>
        <v>88</v>
      </c>
      <c r="AL37" s="40">
        <f t="shared" si="32"/>
        <v>82</v>
      </c>
      <c r="AM37" s="40">
        <f t="shared" si="30"/>
        <v>70</v>
      </c>
      <c r="AN37" s="40">
        <f t="shared" si="30"/>
        <v>82</v>
      </c>
      <c r="AO37" s="40">
        <f t="shared" si="30"/>
        <v>64</v>
      </c>
      <c r="AP37" s="40">
        <f t="shared" si="30"/>
        <v>94</v>
      </c>
      <c r="AQ37" s="40" t="str">
        <f t="shared" si="30"/>
        <v xml:space="preserve"> </v>
      </c>
      <c r="AR37" s="41">
        <f t="shared" si="8"/>
        <v>80</v>
      </c>
      <c r="AS37" s="38">
        <v>100</v>
      </c>
      <c r="AT37" s="38">
        <v>100</v>
      </c>
      <c r="AU37" s="38">
        <v>100</v>
      </c>
      <c r="AV37" s="38"/>
      <c r="AW37" s="38"/>
      <c r="AX37" s="38"/>
      <c r="AY37" s="38"/>
      <c r="AZ37" s="38"/>
      <c r="BA37" s="38"/>
      <c r="BB37" s="38"/>
      <c r="BC37" s="42">
        <f t="shared" si="33"/>
        <v>100</v>
      </c>
      <c r="BD37" s="42">
        <f t="shared" si="33"/>
        <v>100</v>
      </c>
      <c r="BE37" s="42">
        <f t="shared" si="33"/>
        <v>100</v>
      </c>
      <c r="BF37" s="42" t="str">
        <f t="shared" si="33"/>
        <v xml:space="preserve"> </v>
      </c>
      <c r="BG37" s="42" t="str">
        <f t="shared" si="33"/>
        <v xml:space="preserve"> </v>
      </c>
      <c r="BH37" s="42" t="str">
        <f t="shared" si="31"/>
        <v xml:space="preserve"> </v>
      </c>
      <c r="BI37" s="42" t="str">
        <f t="shared" si="31"/>
        <v xml:space="preserve"> </v>
      </c>
      <c r="BJ37" s="42" t="str">
        <f t="shared" si="31"/>
        <v xml:space="preserve"> </v>
      </c>
      <c r="BK37" s="42" t="str">
        <f t="shared" si="31"/>
        <v xml:space="preserve"> </v>
      </c>
      <c r="BL37" s="42" t="str">
        <f t="shared" si="31"/>
        <v xml:space="preserve"> </v>
      </c>
      <c r="BM37" s="43">
        <f t="shared" si="10"/>
        <v>100</v>
      </c>
      <c r="BN37" s="38">
        <v>56</v>
      </c>
      <c r="BO37" s="44">
        <f t="shared" si="11"/>
        <v>73.599999999999994</v>
      </c>
      <c r="BP37" s="20"/>
      <c r="BQ37" s="39">
        <f t="shared" si="20"/>
        <v>79.389090909090896</v>
      </c>
      <c r="BR37" s="23" t="str">
        <f t="shared" si="21"/>
        <v>PASSED</v>
      </c>
      <c r="BS37" s="45"/>
      <c r="BT37" s="46"/>
      <c r="BU37" s="46"/>
      <c r="BV37" s="46"/>
      <c r="BW37" s="21" t="str">
        <f t="shared" si="25"/>
        <v/>
      </c>
      <c r="BX37" s="22" t="str">
        <f t="shared" si="25"/>
        <v/>
      </c>
      <c r="BY37" s="22">
        <f t="shared" si="25"/>
        <v>1</v>
      </c>
      <c r="BZ37" s="22">
        <f t="shared" si="25"/>
        <v>1</v>
      </c>
      <c r="CA37" s="22">
        <f t="shared" si="25"/>
        <v>1</v>
      </c>
      <c r="CB37" s="22" t="str">
        <f t="shared" si="25"/>
        <v/>
      </c>
      <c r="CC37" s="22">
        <f t="shared" si="25"/>
        <v>1</v>
      </c>
      <c r="CD37" s="22">
        <f t="shared" si="25"/>
        <v>1</v>
      </c>
      <c r="CE37" s="22">
        <f t="shared" si="25"/>
        <v>1</v>
      </c>
      <c r="CF37" s="22">
        <f t="shared" si="25"/>
        <v>1</v>
      </c>
      <c r="CG37" s="22" t="str">
        <f t="shared" si="25"/>
        <v/>
      </c>
      <c r="CH37" s="22" t="str">
        <f t="shared" si="25"/>
        <v/>
      </c>
      <c r="CI37" s="22" t="str">
        <f t="shared" si="25"/>
        <v/>
      </c>
      <c r="CJ37" s="22" t="str">
        <f t="shared" si="25"/>
        <v/>
      </c>
      <c r="CK37" s="22" t="str">
        <f t="shared" si="25"/>
        <v/>
      </c>
      <c r="CL37" s="22" t="str">
        <f t="shared" si="23"/>
        <v/>
      </c>
      <c r="CM37" s="22" t="str">
        <f t="shared" si="13"/>
        <v/>
      </c>
      <c r="CN37" s="22" t="str">
        <f t="shared" si="13"/>
        <v/>
      </c>
      <c r="CO37" s="22" t="str">
        <f t="shared" si="13"/>
        <v/>
      </c>
      <c r="CP37" s="22" t="str">
        <f t="shared" si="13"/>
        <v/>
      </c>
      <c r="CQ37" s="22">
        <f t="shared" si="22"/>
        <v>7</v>
      </c>
      <c r="CR37" s="22">
        <f t="shared" si="3"/>
        <v>11</v>
      </c>
      <c r="CS37" s="22" t="str">
        <f t="shared" si="26"/>
        <v/>
      </c>
      <c r="CT37" s="22" t="str">
        <f t="shared" si="26"/>
        <v/>
      </c>
      <c r="CU37" s="22" t="str">
        <f t="shared" si="26"/>
        <v/>
      </c>
      <c r="CV37" s="22" t="str">
        <f t="shared" si="26"/>
        <v/>
      </c>
      <c r="CW37" s="22" t="str">
        <f t="shared" si="26"/>
        <v/>
      </c>
      <c r="CX37" s="22" t="str">
        <f t="shared" si="26"/>
        <v/>
      </c>
      <c r="CY37" s="22" t="str">
        <f t="shared" si="26"/>
        <v/>
      </c>
      <c r="CZ37" s="22" t="str">
        <f t="shared" si="26"/>
        <v/>
      </c>
      <c r="DA37" s="22" t="str">
        <f t="shared" si="26"/>
        <v/>
      </c>
      <c r="DB37" s="22" t="str">
        <f t="shared" si="26"/>
        <v/>
      </c>
      <c r="DC37" s="22" t="str">
        <f t="shared" si="26"/>
        <v/>
      </c>
      <c r="DD37" s="22" t="str">
        <f t="shared" si="26"/>
        <v/>
      </c>
      <c r="DE37" s="22" t="str">
        <f t="shared" si="26"/>
        <v/>
      </c>
      <c r="DF37" s="22" t="str">
        <f t="shared" si="26"/>
        <v/>
      </c>
      <c r="DG37" s="22" t="str">
        <f t="shared" si="26"/>
        <v/>
      </c>
      <c r="DH37" s="22" t="str">
        <f t="shared" si="24"/>
        <v/>
      </c>
      <c r="DI37" s="22" t="str">
        <f t="shared" si="15"/>
        <v/>
      </c>
      <c r="DJ37" s="22" t="str">
        <f t="shared" si="15"/>
        <v/>
      </c>
      <c r="DK37" s="22" t="str">
        <f t="shared" si="15"/>
        <v/>
      </c>
      <c r="DL37" s="22" t="str">
        <f t="shared" si="15"/>
        <v/>
      </c>
      <c r="DM37" s="22">
        <f t="shared" si="16"/>
        <v>0</v>
      </c>
      <c r="DN37" s="36">
        <f t="shared" si="27"/>
        <v>10</v>
      </c>
      <c r="DO37" s="36">
        <f t="shared" si="27"/>
        <v>10</v>
      </c>
      <c r="DP37" s="36">
        <f t="shared" si="27"/>
        <v>10</v>
      </c>
      <c r="DQ37" s="36">
        <f t="shared" si="27"/>
        <v>10</v>
      </c>
      <c r="DR37" s="36">
        <f t="shared" si="27"/>
        <v>10</v>
      </c>
      <c r="DS37" s="36">
        <f t="shared" si="27"/>
        <v>10</v>
      </c>
      <c r="DT37" s="36">
        <f t="shared" si="27"/>
        <v>10</v>
      </c>
      <c r="DU37" s="36">
        <f t="shared" si="27"/>
        <v>10</v>
      </c>
      <c r="DV37" s="36">
        <f t="shared" si="27"/>
        <v>40</v>
      </c>
      <c r="DW37" s="36">
        <f t="shared" si="27"/>
        <v>0</v>
      </c>
      <c r="DX37" s="23">
        <f t="shared" si="27"/>
        <v>9</v>
      </c>
      <c r="DY37" s="23">
        <f t="shared" si="27"/>
        <v>100</v>
      </c>
      <c r="DZ37" s="23">
        <f t="shared" si="27"/>
        <v>100</v>
      </c>
      <c r="EA37" s="23">
        <f t="shared" si="27"/>
        <v>100</v>
      </c>
      <c r="EB37" s="23">
        <f t="shared" si="27"/>
        <v>0</v>
      </c>
      <c r="EC37" s="23">
        <f t="shared" si="27"/>
        <v>0</v>
      </c>
      <c r="ED37" s="23">
        <f t="shared" si="29"/>
        <v>0</v>
      </c>
      <c r="EE37" s="23">
        <f t="shared" si="29"/>
        <v>0</v>
      </c>
      <c r="EF37" s="23">
        <f t="shared" si="29"/>
        <v>0</v>
      </c>
      <c r="EG37" s="23">
        <f t="shared" si="29"/>
        <v>0</v>
      </c>
      <c r="EH37" s="23">
        <f t="shared" si="29"/>
        <v>0</v>
      </c>
      <c r="EI37" s="23">
        <f t="shared" si="29"/>
        <v>3</v>
      </c>
      <c r="EJ37" s="23">
        <f t="shared" si="29"/>
        <v>100</v>
      </c>
    </row>
    <row r="38" spans="1:140" ht="9.9" customHeight="1" x14ac:dyDescent="0.3">
      <c r="A38" s="23">
        <v>29</v>
      </c>
      <c r="B38" s="50" t="str">
        <f>IF(PRELIM!B38="","",PRELIM!B38)</f>
        <v>ROJAS, CYREL KEN L.</v>
      </c>
      <c r="C38" s="38" t="s">
        <v>190</v>
      </c>
      <c r="D38" s="38" t="s">
        <v>190</v>
      </c>
      <c r="E38" s="38" t="s">
        <v>190</v>
      </c>
      <c r="F38" s="38" t="s">
        <v>190</v>
      </c>
      <c r="G38" s="38" t="s">
        <v>190</v>
      </c>
      <c r="H38" s="38" t="s">
        <v>190</v>
      </c>
      <c r="I38" s="38" t="s">
        <v>190</v>
      </c>
      <c r="J38" s="38" t="s">
        <v>190</v>
      </c>
      <c r="K38" s="38" t="s">
        <v>190</v>
      </c>
      <c r="L38" s="38" t="s">
        <v>190</v>
      </c>
      <c r="M38" s="38" t="s">
        <v>190</v>
      </c>
      <c r="N38" s="38"/>
      <c r="O38" s="38"/>
      <c r="P38" s="38"/>
      <c r="Q38" s="38"/>
      <c r="R38" s="38"/>
      <c r="S38" s="38"/>
      <c r="T38" s="38"/>
      <c r="U38" s="38"/>
      <c r="V38" s="38"/>
      <c r="W38" s="39">
        <f t="shared" si="6"/>
        <v>100</v>
      </c>
      <c r="X38" s="38">
        <v>5</v>
      </c>
      <c r="Y38" s="38">
        <v>8</v>
      </c>
      <c r="Z38" s="38">
        <v>8</v>
      </c>
      <c r="AA38" s="38">
        <v>6</v>
      </c>
      <c r="AB38" s="38">
        <v>4</v>
      </c>
      <c r="AC38" s="38">
        <v>2</v>
      </c>
      <c r="AD38" s="38">
        <v>3</v>
      </c>
      <c r="AE38" s="38">
        <v>6</v>
      </c>
      <c r="AF38" s="38">
        <v>20</v>
      </c>
      <c r="AG38" s="38"/>
      <c r="AH38" s="40">
        <f t="shared" si="32"/>
        <v>70</v>
      </c>
      <c r="AI38" s="40">
        <f t="shared" si="32"/>
        <v>88</v>
      </c>
      <c r="AJ38" s="40">
        <f t="shared" si="32"/>
        <v>88</v>
      </c>
      <c r="AK38" s="40">
        <f t="shared" si="32"/>
        <v>76</v>
      </c>
      <c r="AL38" s="40">
        <f t="shared" si="32"/>
        <v>64</v>
      </c>
      <c r="AM38" s="40">
        <f t="shared" si="30"/>
        <v>52</v>
      </c>
      <c r="AN38" s="40">
        <f t="shared" si="30"/>
        <v>58</v>
      </c>
      <c r="AO38" s="40">
        <f t="shared" si="30"/>
        <v>76</v>
      </c>
      <c r="AP38" s="40">
        <f t="shared" si="30"/>
        <v>70</v>
      </c>
      <c r="AQ38" s="40" t="str">
        <f t="shared" si="30"/>
        <v xml:space="preserve"> </v>
      </c>
      <c r="AR38" s="41">
        <f t="shared" si="8"/>
        <v>71.333333333333329</v>
      </c>
      <c r="AS38" s="38">
        <v>70</v>
      </c>
      <c r="AT38" s="38">
        <v>70</v>
      </c>
      <c r="AU38" s="38">
        <v>100</v>
      </c>
      <c r="AV38" s="38"/>
      <c r="AW38" s="38"/>
      <c r="AX38" s="38"/>
      <c r="AY38" s="38"/>
      <c r="AZ38" s="38"/>
      <c r="BA38" s="38"/>
      <c r="BB38" s="38"/>
      <c r="BC38" s="42">
        <f t="shared" si="33"/>
        <v>82</v>
      </c>
      <c r="BD38" s="42">
        <f t="shared" si="33"/>
        <v>82</v>
      </c>
      <c r="BE38" s="42">
        <f t="shared" si="33"/>
        <v>100</v>
      </c>
      <c r="BF38" s="42" t="str">
        <f t="shared" si="33"/>
        <v xml:space="preserve"> </v>
      </c>
      <c r="BG38" s="42" t="str">
        <f t="shared" si="33"/>
        <v xml:space="preserve"> </v>
      </c>
      <c r="BH38" s="42" t="str">
        <f t="shared" si="31"/>
        <v xml:space="preserve"> </v>
      </c>
      <c r="BI38" s="42" t="str">
        <f t="shared" si="31"/>
        <v xml:space="preserve"> </v>
      </c>
      <c r="BJ38" s="42" t="str">
        <f t="shared" si="31"/>
        <v xml:space="preserve"> </v>
      </c>
      <c r="BK38" s="42" t="str">
        <f t="shared" si="31"/>
        <v xml:space="preserve"> </v>
      </c>
      <c r="BL38" s="42" t="str">
        <f t="shared" si="31"/>
        <v xml:space="preserve"> </v>
      </c>
      <c r="BM38" s="43">
        <f t="shared" si="10"/>
        <v>88</v>
      </c>
      <c r="BN38" s="38">
        <v>57</v>
      </c>
      <c r="BO38" s="44">
        <f t="shared" si="11"/>
        <v>74.199999999999989</v>
      </c>
      <c r="BP38" s="20"/>
      <c r="BQ38" s="39">
        <f t="shared" si="20"/>
        <v>76.843333333333334</v>
      </c>
      <c r="BR38" s="23" t="str">
        <f t="shared" si="21"/>
        <v>PASSED</v>
      </c>
      <c r="BS38" s="45"/>
      <c r="BT38" s="46"/>
      <c r="BU38" s="46"/>
      <c r="BV38" s="46"/>
      <c r="BW38" s="21">
        <f t="shared" si="25"/>
        <v>1</v>
      </c>
      <c r="BX38" s="22">
        <f t="shared" si="25"/>
        <v>1</v>
      </c>
      <c r="BY38" s="22">
        <f t="shared" si="25"/>
        <v>1</v>
      </c>
      <c r="BZ38" s="22">
        <f t="shared" si="25"/>
        <v>1</v>
      </c>
      <c r="CA38" s="22">
        <f t="shared" si="25"/>
        <v>1</v>
      </c>
      <c r="CB38" s="22">
        <f t="shared" si="25"/>
        <v>1</v>
      </c>
      <c r="CC38" s="22">
        <f t="shared" si="25"/>
        <v>1</v>
      </c>
      <c r="CD38" s="22">
        <f t="shared" si="25"/>
        <v>1</v>
      </c>
      <c r="CE38" s="22">
        <f t="shared" si="25"/>
        <v>1</v>
      </c>
      <c r="CF38" s="22">
        <f t="shared" si="25"/>
        <v>1</v>
      </c>
      <c r="CG38" s="22">
        <f t="shared" si="25"/>
        <v>1</v>
      </c>
      <c r="CH38" s="22" t="str">
        <f t="shared" si="25"/>
        <v/>
      </c>
      <c r="CI38" s="22" t="str">
        <f t="shared" si="25"/>
        <v/>
      </c>
      <c r="CJ38" s="22" t="str">
        <f t="shared" si="25"/>
        <v/>
      </c>
      <c r="CK38" s="22" t="str">
        <f t="shared" si="25"/>
        <v/>
      </c>
      <c r="CL38" s="22" t="str">
        <f t="shared" si="23"/>
        <v/>
      </c>
      <c r="CM38" s="22" t="str">
        <f t="shared" si="13"/>
        <v/>
      </c>
      <c r="CN38" s="22" t="str">
        <f t="shared" si="13"/>
        <v/>
      </c>
      <c r="CO38" s="22" t="str">
        <f t="shared" si="13"/>
        <v/>
      </c>
      <c r="CP38" s="22" t="str">
        <f t="shared" si="13"/>
        <v/>
      </c>
      <c r="CQ38" s="22">
        <f t="shared" si="22"/>
        <v>11</v>
      </c>
      <c r="CR38" s="22">
        <f t="shared" si="3"/>
        <v>11</v>
      </c>
      <c r="CS38" s="22" t="str">
        <f t="shared" si="26"/>
        <v/>
      </c>
      <c r="CT38" s="22" t="str">
        <f t="shared" si="26"/>
        <v/>
      </c>
      <c r="CU38" s="22" t="str">
        <f t="shared" si="26"/>
        <v/>
      </c>
      <c r="CV38" s="22" t="str">
        <f t="shared" si="26"/>
        <v/>
      </c>
      <c r="CW38" s="22" t="str">
        <f t="shared" si="26"/>
        <v/>
      </c>
      <c r="CX38" s="22" t="str">
        <f t="shared" si="26"/>
        <v/>
      </c>
      <c r="CY38" s="22" t="str">
        <f t="shared" si="26"/>
        <v/>
      </c>
      <c r="CZ38" s="22" t="str">
        <f t="shared" si="26"/>
        <v/>
      </c>
      <c r="DA38" s="22" t="str">
        <f t="shared" si="26"/>
        <v/>
      </c>
      <c r="DB38" s="22" t="str">
        <f t="shared" si="26"/>
        <v/>
      </c>
      <c r="DC38" s="22" t="str">
        <f t="shared" si="26"/>
        <v/>
      </c>
      <c r="DD38" s="22" t="str">
        <f t="shared" si="26"/>
        <v/>
      </c>
      <c r="DE38" s="22" t="str">
        <f t="shared" si="26"/>
        <v/>
      </c>
      <c r="DF38" s="22" t="str">
        <f t="shared" si="26"/>
        <v/>
      </c>
      <c r="DG38" s="22" t="str">
        <f t="shared" si="26"/>
        <v/>
      </c>
      <c r="DH38" s="22" t="str">
        <f t="shared" si="24"/>
        <v/>
      </c>
      <c r="DI38" s="22" t="str">
        <f t="shared" si="15"/>
        <v/>
      </c>
      <c r="DJ38" s="22" t="str">
        <f t="shared" si="15"/>
        <v/>
      </c>
      <c r="DK38" s="22" t="str">
        <f t="shared" si="15"/>
        <v/>
      </c>
      <c r="DL38" s="22" t="str">
        <f t="shared" si="15"/>
        <v/>
      </c>
      <c r="DM38" s="22">
        <f t="shared" si="16"/>
        <v>0</v>
      </c>
      <c r="DN38" s="36">
        <f t="shared" si="27"/>
        <v>10</v>
      </c>
      <c r="DO38" s="36">
        <f t="shared" si="27"/>
        <v>10</v>
      </c>
      <c r="DP38" s="36">
        <f t="shared" si="27"/>
        <v>10</v>
      </c>
      <c r="DQ38" s="36">
        <f t="shared" si="27"/>
        <v>10</v>
      </c>
      <c r="DR38" s="36">
        <f t="shared" si="27"/>
        <v>10</v>
      </c>
      <c r="DS38" s="36">
        <f t="shared" si="27"/>
        <v>10</v>
      </c>
      <c r="DT38" s="36">
        <f t="shared" si="27"/>
        <v>10</v>
      </c>
      <c r="DU38" s="36">
        <f t="shared" si="27"/>
        <v>10</v>
      </c>
      <c r="DV38" s="36">
        <f t="shared" si="27"/>
        <v>40</v>
      </c>
      <c r="DW38" s="36">
        <f t="shared" si="27"/>
        <v>0</v>
      </c>
      <c r="DX38" s="23">
        <f t="shared" si="27"/>
        <v>9</v>
      </c>
      <c r="DY38" s="23">
        <f t="shared" si="27"/>
        <v>100</v>
      </c>
      <c r="DZ38" s="23">
        <f t="shared" si="27"/>
        <v>100</v>
      </c>
      <c r="EA38" s="23">
        <f t="shared" si="27"/>
        <v>100</v>
      </c>
      <c r="EB38" s="23">
        <f t="shared" si="27"/>
        <v>0</v>
      </c>
      <c r="EC38" s="23">
        <f t="shared" si="27"/>
        <v>0</v>
      </c>
      <c r="ED38" s="23">
        <f t="shared" si="29"/>
        <v>0</v>
      </c>
      <c r="EE38" s="23">
        <f t="shared" si="29"/>
        <v>0</v>
      </c>
      <c r="EF38" s="23">
        <f t="shared" si="29"/>
        <v>0</v>
      </c>
      <c r="EG38" s="23">
        <f t="shared" si="29"/>
        <v>0</v>
      </c>
      <c r="EH38" s="23">
        <f t="shared" si="29"/>
        <v>0</v>
      </c>
      <c r="EI38" s="23">
        <f t="shared" si="29"/>
        <v>3</v>
      </c>
      <c r="EJ38" s="23">
        <f t="shared" si="29"/>
        <v>100</v>
      </c>
    </row>
    <row r="39" spans="1:140" ht="9.9" customHeight="1" x14ac:dyDescent="0.3">
      <c r="A39" s="23">
        <v>30</v>
      </c>
      <c r="B39" s="50" t="str">
        <f>IF(PRELIM!B39="","",PRELIM!B39)</f>
        <v>SAMLING, GHEZERIE C.</v>
      </c>
      <c r="C39" s="38" t="s">
        <v>190</v>
      </c>
      <c r="D39" s="38" t="s">
        <v>190</v>
      </c>
      <c r="E39" s="38" t="s">
        <v>190</v>
      </c>
      <c r="F39" s="38" t="s">
        <v>190</v>
      </c>
      <c r="G39" s="38" t="s">
        <v>190</v>
      </c>
      <c r="H39" s="38" t="s">
        <v>190</v>
      </c>
      <c r="I39" s="38" t="s">
        <v>190</v>
      </c>
      <c r="J39" s="38" t="s">
        <v>190</v>
      </c>
      <c r="K39" s="38" t="s">
        <v>190</v>
      </c>
      <c r="L39" s="38" t="s">
        <v>190</v>
      </c>
      <c r="M39" s="38" t="s">
        <v>190</v>
      </c>
      <c r="N39" s="38"/>
      <c r="O39" s="38"/>
      <c r="P39" s="38"/>
      <c r="Q39" s="38"/>
      <c r="R39" s="38"/>
      <c r="S39" s="38"/>
      <c r="T39" s="38"/>
      <c r="U39" s="38"/>
      <c r="V39" s="38"/>
      <c r="W39" s="39">
        <f t="shared" si="6"/>
        <v>100</v>
      </c>
      <c r="X39" s="38">
        <v>5</v>
      </c>
      <c r="Y39" s="38">
        <v>7</v>
      </c>
      <c r="Z39" s="38">
        <v>8</v>
      </c>
      <c r="AA39" s="38">
        <v>7</v>
      </c>
      <c r="AB39" s="38">
        <v>9</v>
      </c>
      <c r="AC39" s="38">
        <v>2</v>
      </c>
      <c r="AD39" s="38">
        <v>3</v>
      </c>
      <c r="AE39" s="38">
        <v>5</v>
      </c>
      <c r="AF39" s="38">
        <v>25</v>
      </c>
      <c r="AG39" s="38"/>
      <c r="AH39" s="40">
        <f t="shared" si="32"/>
        <v>70</v>
      </c>
      <c r="AI39" s="40">
        <f t="shared" si="32"/>
        <v>82</v>
      </c>
      <c r="AJ39" s="40">
        <f t="shared" si="32"/>
        <v>88</v>
      </c>
      <c r="AK39" s="40">
        <f t="shared" si="32"/>
        <v>82</v>
      </c>
      <c r="AL39" s="40">
        <f t="shared" si="32"/>
        <v>94</v>
      </c>
      <c r="AM39" s="40">
        <f t="shared" si="30"/>
        <v>52</v>
      </c>
      <c r="AN39" s="40">
        <f t="shared" si="30"/>
        <v>58</v>
      </c>
      <c r="AO39" s="40">
        <f t="shared" si="30"/>
        <v>70</v>
      </c>
      <c r="AP39" s="40">
        <f t="shared" si="30"/>
        <v>77.5</v>
      </c>
      <c r="AQ39" s="40" t="str">
        <f t="shared" si="30"/>
        <v xml:space="preserve"> </v>
      </c>
      <c r="AR39" s="41">
        <f t="shared" si="8"/>
        <v>74.833333333333329</v>
      </c>
      <c r="AS39" s="38">
        <v>100</v>
      </c>
      <c r="AT39" s="38">
        <v>100</v>
      </c>
      <c r="AU39" s="38">
        <v>100</v>
      </c>
      <c r="AV39" s="38"/>
      <c r="AW39" s="38"/>
      <c r="AX39" s="38"/>
      <c r="AY39" s="38"/>
      <c r="AZ39" s="38"/>
      <c r="BA39" s="38"/>
      <c r="BB39" s="38"/>
      <c r="BC39" s="42">
        <f t="shared" si="33"/>
        <v>100</v>
      </c>
      <c r="BD39" s="42">
        <f t="shared" si="33"/>
        <v>100</v>
      </c>
      <c r="BE39" s="42">
        <f t="shared" si="33"/>
        <v>100</v>
      </c>
      <c r="BF39" s="42" t="str">
        <f t="shared" si="33"/>
        <v xml:space="preserve"> </v>
      </c>
      <c r="BG39" s="42" t="str">
        <f t="shared" si="33"/>
        <v xml:space="preserve"> </v>
      </c>
      <c r="BH39" s="42" t="str">
        <f t="shared" si="31"/>
        <v xml:space="preserve"> </v>
      </c>
      <c r="BI39" s="42" t="str">
        <f t="shared" si="31"/>
        <v xml:space="preserve"> </v>
      </c>
      <c r="BJ39" s="42" t="str">
        <f t="shared" si="31"/>
        <v xml:space="preserve"> </v>
      </c>
      <c r="BK39" s="42" t="str">
        <f t="shared" si="31"/>
        <v xml:space="preserve"> </v>
      </c>
      <c r="BL39" s="42" t="str">
        <f t="shared" si="31"/>
        <v xml:space="preserve"> </v>
      </c>
      <c r="BM39" s="43">
        <f t="shared" si="10"/>
        <v>100</v>
      </c>
      <c r="BN39" s="38">
        <v>58</v>
      </c>
      <c r="BO39" s="44">
        <f t="shared" si="11"/>
        <v>74.8</v>
      </c>
      <c r="BP39" s="20"/>
      <c r="BQ39" s="39">
        <f t="shared" si="20"/>
        <v>79.848333333333329</v>
      </c>
      <c r="BR39" s="23" t="str">
        <f t="shared" si="21"/>
        <v>PASSED</v>
      </c>
      <c r="BS39" s="45"/>
      <c r="BT39" s="46"/>
      <c r="BU39" s="46"/>
      <c r="BV39" s="46"/>
      <c r="BW39" s="21">
        <f t="shared" si="25"/>
        <v>1</v>
      </c>
      <c r="BX39" s="22">
        <f t="shared" si="25"/>
        <v>1</v>
      </c>
      <c r="BY39" s="22">
        <f t="shared" si="25"/>
        <v>1</v>
      </c>
      <c r="BZ39" s="22">
        <f t="shared" si="25"/>
        <v>1</v>
      </c>
      <c r="CA39" s="22">
        <f t="shared" si="25"/>
        <v>1</v>
      </c>
      <c r="CB39" s="22">
        <f t="shared" si="25"/>
        <v>1</v>
      </c>
      <c r="CC39" s="22">
        <f t="shared" si="25"/>
        <v>1</v>
      </c>
      <c r="CD39" s="22">
        <f t="shared" si="25"/>
        <v>1</v>
      </c>
      <c r="CE39" s="22">
        <f t="shared" si="25"/>
        <v>1</v>
      </c>
      <c r="CF39" s="22">
        <f t="shared" si="25"/>
        <v>1</v>
      </c>
      <c r="CG39" s="22">
        <f t="shared" si="25"/>
        <v>1</v>
      </c>
      <c r="CH39" s="22" t="str">
        <f t="shared" si="25"/>
        <v/>
      </c>
      <c r="CI39" s="22" t="str">
        <f t="shared" si="25"/>
        <v/>
      </c>
      <c r="CJ39" s="22" t="str">
        <f t="shared" si="25"/>
        <v/>
      </c>
      <c r="CK39" s="22" t="str">
        <f t="shared" si="25"/>
        <v/>
      </c>
      <c r="CL39" s="22" t="str">
        <f t="shared" si="23"/>
        <v/>
      </c>
      <c r="CM39" s="22" t="str">
        <f t="shared" si="13"/>
        <v/>
      </c>
      <c r="CN39" s="22" t="str">
        <f t="shared" si="13"/>
        <v/>
      </c>
      <c r="CO39" s="22" t="str">
        <f t="shared" si="13"/>
        <v/>
      </c>
      <c r="CP39" s="22" t="str">
        <f t="shared" si="13"/>
        <v/>
      </c>
      <c r="CQ39" s="22">
        <f t="shared" si="22"/>
        <v>11</v>
      </c>
      <c r="CR39" s="22">
        <f t="shared" si="3"/>
        <v>11</v>
      </c>
      <c r="CS39" s="22" t="str">
        <f t="shared" si="26"/>
        <v/>
      </c>
      <c r="CT39" s="22" t="str">
        <f t="shared" si="26"/>
        <v/>
      </c>
      <c r="CU39" s="22" t="str">
        <f t="shared" si="26"/>
        <v/>
      </c>
      <c r="CV39" s="22" t="str">
        <f t="shared" si="26"/>
        <v/>
      </c>
      <c r="CW39" s="22" t="str">
        <f t="shared" si="26"/>
        <v/>
      </c>
      <c r="CX39" s="22" t="str">
        <f t="shared" si="26"/>
        <v/>
      </c>
      <c r="CY39" s="22" t="str">
        <f t="shared" si="26"/>
        <v/>
      </c>
      <c r="CZ39" s="22" t="str">
        <f t="shared" si="26"/>
        <v/>
      </c>
      <c r="DA39" s="22" t="str">
        <f t="shared" si="26"/>
        <v/>
      </c>
      <c r="DB39" s="22" t="str">
        <f t="shared" si="26"/>
        <v/>
      </c>
      <c r="DC39" s="22" t="str">
        <f t="shared" si="26"/>
        <v/>
      </c>
      <c r="DD39" s="22" t="str">
        <f t="shared" si="26"/>
        <v/>
      </c>
      <c r="DE39" s="22" t="str">
        <f t="shared" si="26"/>
        <v/>
      </c>
      <c r="DF39" s="22" t="str">
        <f t="shared" si="26"/>
        <v/>
      </c>
      <c r="DG39" s="22" t="str">
        <f t="shared" si="26"/>
        <v/>
      </c>
      <c r="DH39" s="22" t="str">
        <f t="shared" si="24"/>
        <v/>
      </c>
      <c r="DI39" s="22" t="str">
        <f t="shared" si="15"/>
        <v/>
      </c>
      <c r="DJ39" s="22" t="str">
        <f t="shared" si="15"/>
        <v/>
      </c>
      <c r="DK39" s="22" t="str">
        <f t="shared" si="15"/>
        <v/>
      </c>
      <c r="DL39" s="22" t="str">
        <f t="shared" si="15"/>
        <v/>
      </c>
      <c r="DM39" s="22">
        <f t="shared" si="16"/>
        <v>0</v>
      </c>
      <c r="DN39" s="36">
        <f t="shared" si="27"/>
        <v>10</v>
      </c>
      <c r="DO39" s="36">
        <f t="shared" si="27"/>
        <v>10</v>
      </c>
      <c r="DP39" s="36">
        <f t="shared" si="27"/>
        <v>10</v>
      </c>
      <c r="DQ39" s="36">
        <f t="shared" si="27"/>
        <v>10</v>
      </c>
      <c r="DR39" s="36">
        <f t="shared" si="27"/>
        <v>10</v>
      </c>
      <c r="DS39" s="36">
        <f t="shared" si="27"/>
        <v>10</v>
      </c>
      <c r="DT39" s="36">
        <f t="shared" si="27"/>
        <v>10</v>
      </c>
      <c r="DU39" s="36">
        <f t="shared" si="27"/>
        <v>10</v>
      </c>
      <c r="DV39" s="36">
        <f t="shared" si="27"/>
        <v>40</v>
      </c>
      <c r="DW39" s="36">
        <f t="shared" si="27"/>
        <v>0</v>
      </c>
      <c r="DX39" s="23">
        <f t="shared" si="27"/>
        <v>9</v>
      </c>
      <c r="DY39" s="23">
        <f t="shared" si="27"/>
        <v>100</v>
      </c>
      <c r="DZ39" s="23">
        <f t="shared" si="27"/>
        <v>100</v>
      </c>
      <c r="EA39" s="23">
        <f t="shared" si="27"/>
        <v>100</v>
      </c>
      <c r="EB39" s="23">
        <f t="shared" si="27"/>
        <v>0</v>
      </c>
      <c r="EC39" s="23">
        <f t="shared" si="27"/>
        <v>0</v>
      </c>
      <c r="ED39" s="23">
        <f t="shared" si="29"/>
        <v>0</v>
      </c>
      <c r="EE39" s="23">
        <f t="shared" si="29"/>
        <v>0</v>
      </c>
      <c r="EF39" s="23">
        <f t="shared" si="29"/>
        <v>0</v>
      </c>
      <c r="EG39" s="23">
        <f t="shared" si="29"/>
        <v>0</v>
      </c>
      <c r="EH39" s="23">
        <f t="shared" si="29"/>
        <v>0</v>
      </c>
      <c r="EI39" s="23">
        <f t="shared" si="29"/>
        <v>3</v>
      </c>
      <c r="EJ39" s="23">
        <f t="shared" si="29"/>
        <v>100</v>
      </c>
    </row>
    <row r="40" spans="1:140" ht="9.9" customHeight="1" x14ac:dyDescent="0.3">
      <c r="A40" s="23">
        <v>31</v>
      </c>
      <c r="B40" s="50" t="str">
        <f>IF(PRELIM!B40="","",PRELIM!B40)</f>
        <v>SAPIO, DIETHER E.</v>
      </c>
      <c r="C40" s="38" t="s">
        <v>190</v>
      </c>
      <c r="D40" s="38" t="s">
        <v>190</v>
      </c>
      <c r="E40" s="38" t="s">
        <v>190</v>
      </c>
      <c r="F40" s="38" t="s">
        <v>190</v>
      </c>
      <c r="G40" s="38" t="s">
        <v>190</v>
      </c>
      <c r="H40" s="38" t="s">
        <v>190</v>
      </c>
      <c r="I40" s="38" t="s">
        <v>190</v>
      </c>
      <c r="J40" s="38" t="s">
        <v>190</v>
      </c>
      <c r="K40" s="38" t="s">
        <v>190</v>
      </c>
      <c r="L40" s="38" t="s">
        <v>190</v>
      </c>
      <c r="M40" s="38" t="s">
        <v>190</v>
      </c>
      <c r="N40" s="38"/>
      <c r="O40" s="38"/>
      <c r="P40" s="38"/>
      <c r="Q40" s="38"/>
      <c r="R40" s="38"/>
      <c r="S40" s="38"/>
      <c r="T40" s="38"/>
      <c r="U40" s="38"/>
      <c r="V40" s="38"/>
      <c r="W40" s="39">
        <f t="shared" si="6"/>
        <v>100</v>
      </c>
      <c r="X40" s="38">
        <v>4</v>
      </c>
      <c r="Y40" s="38">
        <v>8</v>
      </c>
      <c r="Z40" s="38">
        <v>5</v>
      </c>
      <c r="AA40" s="38">
        <v>5</v>
      </c>
      <c r="AB40" s="38">
        <v>6</v>
      </c>
      <c r="AC40" s="38">
        <v>4</v>
      </c>
      <c r="AD40" s="38">
        <v>2</v>
      </c>
      <c r="AE40" s="38">
        <v>1</v>
      </c>
      <c r="AF40" s="38">
        <v>20</v>
      </c>
      <c r="AG40" s="38"/>
      <c r="AH40" s="40">
        <f t="shared" si="32"/>
        <v>64</v>
      </c>
      <c r="AI40" s="40">
        <f t="shared" si="32"/>
        <v>88</v>
      </c>
      <c r="AJ40" s="40">
        <f t="shared" si="32"/>
        <v>70</v>
      </c>
      <c r="AK40" s="40">
        <f t="shared" si="32"/>
        <v>70</v>
      </c>
      <c r="AL40" s="40">
        <f t="shared" si="32"/>
        <v>76</v>
      </c>
      <c r="AM40" s="40">
        <f t="shared" si="30"/>
        <v>64</v>
      </c>
      <c r="AN40" s="40">
        <f t="shared" si="30"/>
        <v>52</v>
      </c>
      <c r="AO40" s="40">
        <f t="shared" si="30"/>
        <v>46</v>
      </c>
      <c r="AP40" s="40">
        <f t="shared" si="30"/>
        <v>70</v>
      </c>
      <c r="AQ40" s="40" t="str">
        <f t="shared" si="30"/>
        <v xml:space="preserve"> </v>
      </c>
      <c r="AR40" s="41">
        <f t="shared" si="8"/>
        <v>66.666666666666671</v>
      </c>
      <c r="AS40" s="38">
        <v>100</v>
      </c>
      <c r="AT40" s="38">
        <v>100</v>
      </c>
      <c r="AU40" s="38">
        <v>100</v>
      </c>
      <c r="AV40" s="38"/>
      <c r="AW40" s="38"/>
      <c r="AX40" s="38"/>
      <c r="AY40" s="38"/>
      <c r="AZ40" s="38"/>
      <c r="BA40" s="38"/>
      <c r="BB40" s="38"/>
      <c r="BC40" s="42">
        <f t="shared" si="33"/>
        <v>100</v>
      </c>
      <c r="BD40" s="42">
        <f t="shared" si="33"/>
        <v>100</v>
      </c>
      <c r="BE40" s="42">
        <f t="shared" si="33"/>
        <v>100</v>
      </c>
      <c r="BF40" s="42" t="str">
        <f t="shared" si="33"/>
        <v xml:space="preserve"> </v>
      </c>
      <c r="BG40" s="42" t="str">
        <f t="shared" si="33"/>
        <v xml:space="preserve"> </v>
      </c>
      <c r="BH40" s="42" t="str">
        <f t="shared" si="31"/>
        <v xml:space="preserve"> </v>
      </c>
      <c r="BI40" s="42" t="str">
        <f t="shared" si="31"/>
        <v xml:space="preserve"> </v>
      </c>
      <c r="BJ40" s="42" t="str">
        <f t="shared" si="31"/>
        <v xml:space="preserve"> </v>
      </c>
      <c r="BK40" s="42" t="str">
        <f t="shared" si="31"/>
        <v xml:space="preserve"> </v>
      </c>
      <c r="BL40" s="42" t="str">
        <f t="shared" si="31"/>
        <v xml:space="preserve"> </v>
      </c>
      <c r="BM40" s="43">
        <f t="shared" si="10"/>
        <v>100</v>
      </c>
      <c r="BN40" s="38">
        <v>47</v>
      </c>
      <c r="BO40" s="44">
        <f t="shared" si="11"/>
        <v>68.2</v>
      </c>
      <c r="BP40" s="20"/>
      <c r="BQ40" s="39">
        <f t="shared" si="20"/>
        <v>74.176666666666677</v>
      </c>
      <c r="BR40" s="23" t="str">
        <f t="shared" si="21"/>
        <v>FAILED</v>
      </c>
      <c r="BS40" s="45"/>
      <c r="BT40" s="46"/>
      <c r="BU40" s="46"/>
      <c r="BV40" s="46"/>
      <c r="BW40" s="21">
        <f t="shared" si="25"/>
        <v>1</v>
      </c>
      <c r="BX40" s="22">
        <f t="shared" si="25"/>
        <v>1</v>
      </c>
      <c r="BY40" s="22">
        <f t="shared" si="25"/>
        <v>1</v>
      </c>
      <c r="BZ40" s="22">
        <f t="shared" si="25"/>
        <v>1</v>
      </c>
      <c r="CA40" s="22">
        <f t="shared" si="25"/>
        <v>1</v>
      </c>
      <c r="CB40" s="22">
        <f t="shared" si="25"/>
        <v>1</v>
      </c>
      <c r="CC40" s="22">
        <f t="shared" si="25"/>
        <v>1</v>
      </c>
      <c r="CD40" s="22">
        <f t="shared" si="25"/>
        <v>1</v>
      </c>
      <c r="CE40" s="22">
        <f t="shared" si="25"/>
        <v>1</v>
      </c>
      <c r="CF40" s="22">
        <f t="shared" si="25"/>
        <v>1</v>
      </c>
      <c r="CG40" s="22">
        <f t="shared" si="25"/>
        <v>1</v>
      </c>
      <c r="CH40" s="22" t="str">
        <f t="shared" si="25"/>
        <v/>
      </c>
      <c r="CI40" s="22" t="str">
        <f t="shared" si="25"/>
        <v/>
      </c>
      <c r="CJ40" s="22" t="str">
        <f t="shared" si="25"/>
        <v/>
      </c>
      <c r="CK40" s="22" t="str">
        <f t="shared" si="25"/>
        <v/>
      </c>
      <c r="CL40" s="22" t="str">
        <f t="shared" si="23"/>
        <v/>
      </c>
      <c r="CM40" s="22" t="str">
        <f t="shared" si="13"/>
        <v/>
      </c>
      <c r="CN40" s="22" t="str">
        <f t="shared" si="13"/>
        <v/>
      </c>
      <c r="CO40" s="22" t="str">
        <f t="shared" si="13"/>
        <v/>
      </c>
      <c r="CP40" s="22" t="str">
        <f t="shared" si="13"/>
        <v/>
      </c>
      <c r="CQ40" s="22">
        <f t="shared" si="22"/>
        <v>11</v>
      </c>
      <c r="CR40" s="22">
        <f t="shared" si="3"/>
        <v>11</v>
      </c>
      <c r="CS40" s="22" t="str">
        <f t="shared" si="26"/>
        <v/>
      </c>
      <c r="CT40" s="22" t="str">
        <f t="shared" si="26"/>
        <v/>
      </c>
      <c r="CU40" s="22" t="str">
        <f t="shared" si="26"/>
        <v/>
      </c>
      <c r="CV40" s="22" t="str">
        <f t="shared" si="26"/>
        <v/>
      </c>
      <c r="CW40" s="22" t="str">
        <f t="shared" si="26"/>
        <v/>
      </c>
      <c r="CX40" s="22" t="str">
        <f t="shared" si="26"/>
        <v/>
      </c>
      <c r="CY40" s="22" t="str">
        <f t="shared" si="26"/>
        <v/>
      </c>
      <c r="CZ40" s="22" t="str">
        <f t="shared" si="26"/>
        <v/>
      </c>
      <c r="DA40" s="22" t="str">
        <f t="shared" si="26"/>
        <v/>
      </c>
      <c r="DB40" s="22" t="str">
        <f t="shared" si="26"/>
        <v/>
      </c>
      <c r="DC40" s="22" t="str">
        <f t="shared" si="26"/>
        <v/>
      </c>
      <c r="DD40" s="22" t="str">
        <f t="shared" si="26"/>
        <v/>
      </c>
      <c r="DE40" s="22" t="str">
        <f t="shared" si="26"/>
        <v/>
      </c>
      <c r="DF40" s="22" t="str">
        <f t="shared" si="26"/>
        <v/>
      </c>
      <c r="DG40" s="22" t="str">
        <f t="shared" si="26"/>
        <v/>
      </c>
      <c r="DH40" s="22" t="str">
        <f t="shared" si="24"/>
        <v/>
      </c>
      <c r="DI40" s="22" t="str">
        <f t="shared" si="15"/>
        <v/>
      </c>
      <c r="DJ40" s="22" t="str">
        <f t="shared" si="15"/>
        <v/>
      </c>
      <c r="DK40" s="22" t="str">
        <f t="shared" si="15"/>
        <v/>
      </c>
      <c r="DL40" s="22" t="str">
        <f t="shared" si="15"/>
        <v/>
      </c>
      <c r="DM40" s="22">
        <f t="shared" si="16"/>
        <v>0</v>
      </c>
      <c r="DN40" s="36">
        <f t="shared" si="27"/>
        <v>10</v>
      </c>
      <c r="DO40" s="36">
        <f t="shared" si="27"/>
        <v>10</v>
      </c>
      <c r="DP40" s="36">
        <f t="shared" si="27"/>
        <v>10</v>
      </c>
      <c r="DQ40" s="36">
        <f t="shared" si="27"/>
        <v>10</v>
      </c>
      <c r="DR40" s="36">
        <f t="shared" si="27"/>
        <v>10</v>
      </c>
      <c r="DS40" s="36">
        <f t="shared" si="27"/>
        <v>10</v>
      </c>
      <c r="DT40" s="36">
        <f t="shared" si="27"/>
        <v>10</v>
      </c>
      <c r="DU40" s="36">
        <f t="shared" si="27"/>
        <v>10</v>
      </c>
      <c r="DV40" s="36">
        <f t="shared" si="27"/>
        <v>40</v>
      </c>
      <c r="DW40" s="36">
        <f t="shared" si="27"/>
        <v>0</v>
      </c>
      <c r="DX40" s="23">
        <f t="shared" si="27"/>
        <v>9</v>
      </c>
      <c r="DY40" s="23">
        <f t="shared" si="27"/>
        <v>100</v>
      </c>
      <c r="DZ40" s="23">
        <f t="shared" si="27"/>
        <v>100</v>
      </c>
      <c r="EA40" s="23">
        <f t="shared" si="27"/>
        <v>100</v>
      </c>
      <c r="EB40" s="23">
        <f t="shared" si="27"/>
        <v>0</v>
      </c>
      <c r="EC40" s="23">
        <f t="shared" si="27"/>
        <v>0</v>
      </c>
      <c r="ED40" s="23">
        <f t="shared" si="29"/>
        <v>0</v>
      </c>
      <c r="EE40" s="23">
        <f t="shared" si="29"/>
        <v>0</v>
      </c>
      <c r="EF40" s="23">
        <f t="shared" si="29"/>
        <v>0</v>
      </c>
      <c r="EG40" s="23">
        <f t="shared" si="29"/>
        <v>0</v>
      </c>
      <c r="EH40" s="23">
        <f t="shared" si="29"/>
        <v>0</v>
      </c>
      <c r="EI40" s="23">
        <f t="shared" si="29"/>
        <v>3</v>
      </c>
      <c r="EJ40" s="23">
        <f t="shared" si="29"/>
        <v>100</v>
      </c>
    </row>
    <row r="41" spans="1:140" ht="9.9" customHeight="1" x14ac:dyDescent="0.3">
      <c r="A41" s="23">
        <v>32</v>
      </c>
      <c r="B41" s="50" t="str">
        <f>IF(PRELIM!B41="","",PRELIM!B41)</f>
        <v>SILPAO, JHON CHRISTIAN G.</v>
      </c>
      <c r="C41" s="38" t="s">
        <v>190</v>
      </c>
      <c r="D41" s="38" t="s">
        <v>190</v>
      </c>
      <c r="E41" s="38" t="s">
        <v>190</v>
      </c>
      <c r="F41" s="38" t="s">
        <v>190</v>
      </c>
      <c r="G41" s="38" t="s">
        <v>190</v>
      </c>
      <c r="H41" s="38" t="s">
        <v>190</v>
      </c>
      <c r="I41" s="38" t="s">
        <v>190</v>
      </c>
      <c r="J41" s="38" t="s">
        <v>190</v>
      </c>
      <c r="K41" s="38" t="s">
        <v>190</v>
      </c>
      <c r="L41" s="38" t="s">
        <v>190</v>
      </c>
      <c r="M41" s="38" t="s">
        <v>190</v>
      </c>
      <c r="N41" s="38"/>
      <c r="O41" s="38"/>
      <c r="P41" s="38"/>
      <c r="Q41" s="38"/>
      <c r="R41" s="38"/>
      <c r="S41" s="38"/>
      <c r="T41" s="38"/>
      <c r="U41" s="38"/>
      <c r="V41" s="38"/>
      <c r="W41" s="39">
        <f t="shared" si="6"/>
        <v>100</v>
      </c>
      <c r="X41" s="38">
        <v>6</v>
      </c>
      <c r="Y41" s="38">
        <v>9</v>
      </c>
      <c r="Z41" s="38">
        <v>8</v>
      </c>
      <c r="AA41" s="38">
        <v>8</v>
      </c>
      <c r="AB41" s="38">
        <v>8</v>
      </c>
      <c r="AC41" s="38">
        <v>2</v>
      </c>
      <c r="AD41" s="38">
        <v>9</v>
      </c>
      <c r="AE41" s="38">
        <v>5</v>
      </c>
      <c r="AF41" s="38">
        <v>31</v>
      </c>
      <c r="AG41" s="38"/>
      <c r="AH41" s="40">
        <f t="shared" si="32"/>
        <v>76</v>
      </c>
      <c r="AI41" s="40">
        <f t="shared" si="32"/>
        <v>94</v>
      </c>
      <c r="AJ41" s="40">
        <f t="shared" si="32"/>
        <v>88</v>
      </c>
      <c r="AK41" s="40">
        <f t="shared" si="32"/>
        <v>88</v>
      </c>
      <c r="AL41" s="40">
        <f t="shared" si="32"/>
        <v>88</v>
      </c>
      <c r="AM41" s="40">
        <f t="shared" si="30"/>
        <v>52</v>
      </c>
      <c r="AN41" s="40">
        <f t="shared" si="30"/>
        <v>94</v>
      </c>
      <c r="AO41" s="40">
        <f t="shared" si="30"/>
        <v>70</v>
      </c>
      <c r="AP41" s="40">
        <f t="shared" si="30"/>
        <v>86.5</v>
      </c>
      <c r="AQ41" s="40" t="str">
        <f t="shared" si="30"/>
        <v xml:space="preserve"> </v>
      </c>
      <c r="AR41" s="41">
        <f t="shared" si="8"/>
        <v>81.833333333333329</v>
      </c>
      <c r="AS41" s="38">
        <v>100</v>
      </c>
      <c r="AT41" s="38">
        <v>100</v>
      </c>
      <c r="AU41" s="38">
        <v>100</v>
      </c>
      <c r="AV41" s="38"/>
      <c r="AW41" s="38"/>
      <c r="AX41" s="38"/>
      <c r="AY41" s="38"/>
      <c r="AZ41" s="38"/>
      <c r="BA41" s="38"/>
      <c r="BB41" s="38"/>
      <c r="BC41" s="42">
        <f t="shared" si="33"/>
        <v>100</v>
      </c>
      <c r="BD41" s="42">
        <f t="shared" si="33"/>
        <v>100</v>
      </c>
      <c r="BE41" s="42">
        <f t="shared" si="33"/>
        <v>100</v>
      </c>
      <c r="BF41" s="42" t="str">
        <f t="shared" si="33"/>
        <v xml:space="preserve"> </v>
      </c>
      <c r="BG41" s="42" t="str">
        <f t="shared" si="33"/>
        <v xml:space="preserve"> </v>
      </c>
      <c r="BH41" s="42" t="str">
        <f t="shared" si="31"/>
        <v xml:space="preserve"> </v>
      </c>
      <c r="BI41" s="42" t="str">
        <f t="shared" si="31"/>
        <v xml:space="preserve"> </v>
      </c>
      <c r="BJ41" s="42" t="str">
        <f t="shared" si="31"/>
        <v xml:space="preserve"> </v>
      </c>
      <c r="BK41" s="42" t="str">
        <f t="shared" si="31"/>
        <v xml:space="preserve"> </v>
      </c>
      <c r="BL41" s="42" t="str">
        <f t="shared" si="31"/>
        <v xml:space="preserve"> </v>
      </c>
      <c r="BM41" s="43">
        <f t="shared" si="10"/>
        <v>100</v>
      </c>
      <c r="BN41" s="38">
        <v>65</v>
      </c>
      <c r="BO41" s="44">
        <f t="shared" si="11"/>
        <v>79</v>
      </c>
      <c r="BP41" s="20"/>
      <c r="BQ41" s="39">
        <f t="shared" si="20"/>
        <v>83.908333333333331</v>
      </c>
      <c r="BR41" s="23" t="str">
        <f t="shared" si="21"/>
        <v>PASSED</v>
      </c>
      <c r="BS41" s="45"/>
      <c r="BT41" s="46"/>
      <c r="BU41" s="46"/>
      <c r="BV41" s="46"/>
      <c r="BW41" s="21">
        <f t="shared" si="25"/>
        <v>1</v>
      </c>
      <c r="BX41" s="22">
        <f t="shared" si="25"/>
        <v>1</v>
      </c>
      <c r="BY41" s="22">
        <f t="shared" si="25"/>
        <v>1</v>
      </c>
      <c r="BZ41" s="22">
        <f t="shared" si="25"/>
        <v>1</v>
      </c>
      <c r="CA41" s="22">
        <f t="shared" si="25"/>
        <v>1</v>
      </c>
      <c r="CB41" s="22">
        <f t="shared" si="25"/>
        <v>1</v>
      </c>
      <c r="CC41" s="22">
        <f t="shared" si="25"/>
        <v>1</v>
      </c>
      <c r="CD41" s="22">
        <f t="shared" si="25"/>
        <v>1</v>
      </c>
      <c r="CE41" s="22">
        <f t="shared" si="25"/>
        <v>1</v>
      </c>
      <c r="CF41" s="22">
        <f t="shared" si="25"/>
        <v>1</v>
      </c>
      <c r="CG41" s="22">
        <f t="shared" si="25"/>
        <v>1</v>
      </c>
      <c r="CH41" s="22" t="str">
        <f t="shared" si="25"/>
        <v/>
      </c>
      <c r="CI41" s="22" t="str">
        <f t="shared" si="25"/>
        <v/>
      </c>
      <c r="CJ41" s="22" t="str">
        <f t="shared" si="25"/>
        <v/>
      </c>
      <c r="CK41" s="22" t="str">
        <f t="shared" si="25"/>
        <v/>
      </c>
      <c r="CL41" s="22" t="str">
        <f t="shared" si="23"/>
        <v/>
      </c>
      <c r="CM41" s="22" t="str">
        <f t="shared" si="13"/>
        <v/>
      </c>
      <c r="CN41" s="22" t="str">
        <f t="shared" si="13"/>
        <v/>
      </c>
      <c r="CO41" s="22" t="str">
        <f t="shared" si="13"/>
        <v/>
      </c>
      <c r="CP41" s="22" t="str">
        <f t="shared" si="13"/>
        <v/>
      </c>
      <c r="CQ41" s="22">
        <f t="shared" si="22"/>
        <v>11</v>
      </c>
      <c r="CR41" s="22">
        <f t="shared" si="3"/>
        <v>11</v>
      </c>
      <c r="CS41" s="22" t="str">
        <f t="shared" si="26"/>
        <v/>
      </c>
      <c r="CT41" s="22" t="str">
        <f t="shared" si="26"/>
        <v/>
      </c>
      <c r="CU41" s="22" t="str">
        <f t="shared" si="26"/>
        <v/>
      </c>
      <c r="CV41" s="22" t="str">
        <f t="shared" si="26"/>
        <v/>
      </c>
      <c r="CW41" s="22" t="str">
        <f t="shared" si="26"/>
        <v/>
      </c>
      <c r="CX41" s="22" t="str">
        <f t="shared" si="26"/>
        <v/>
      </c>
      <c r="CY41" s="22" t="str">
        <f t="shared" si="26"/>
        <v/>
      </c>
      <c r="CZ41" s="22" t="str">
        <f t="shared" si="26"/>
        <v/>
      </c>
      <c r="DA41" s="22" t="str">
        <f t="shared" si="26"/>
        <v/>
      </c>
      <c r="DB41" s="22" t="str">
        <f t="shared" si="26"/>
        <v/>
      </c>
      <c r="DC41" s="22" t="str">
        <f t="shared" si="26"/>
        <v/>
      </c>
      <c r="DD41" s="22" t="str">
        <f t="shared" si="26"/>
        <v/>
      </c>
      <c r="DE41" s="22" t="str">
        <f t="shared" si="26"/>
        <v/>
      </c>
      <c r="DF41" s="22" t="str">
        <f t="shared" si="26"/>
        <v/>
      </c>
      <c r="DG41" s="22" t="str">
        <f t="shared" si="26"/>
        <v/>
      </c>
      <c r="DH41" s="22" t="str">
        <f t="shared" si="24"/>
        <v/>
      </c>
      <c r="DI41" s="22" t="str">
        <f t="shared" si="15"/>
        <v/>
      </c>
      <c r="DJ41" s="22" t="str">
        <f t="shared" si="15"/>
        <v/>
      </c>
      <c r="DK41" s="22" t="str">
        <f t="shared" si="15"/>
        <v/>
      </c>
      <c r="DL41" s="22" t="str">
        <f t="shared" si="15"/>
        <v/>
      </c>
      <c r="DM41" s="22">
        <f t="shared" si="16"/>
        <v>0</v>
      </c>
      <c r="DN41" s="36">
        <f t="shared" si="27"/>
        <v>10</v>
      </c>
      <c r="DO41" s="36">
        <f t="shared" si="27"/>
        <v>10</v>
      </c>
      <c r="DP41" s="36">
        <f t="shared" si="27"/>
        <v>10</v>
      </c>
      <c r="DQ41" s="36">
        <f t="shared" si="27"/>
        <v>10</v>
      </c>
      <c r="DR41" s="36">
        <f t="shared" si="27"/>
        <v>10</v>
      </c>
      <c r="DS41" s="36">
        <f t="shared" si="27"/>
        <v>10</v>
      </c>
      <c r="DT41" s="36">
        <f t="shared" si="27"/>
        <v>10</v>
      </c>
      <c r="DU41" s="36">
        <f t="shared" si="27"/>
        <v>10</v>
      </c>
      <c r="DV41" s="36">
        <f t="shared" si="27"/>
        <v>40</v>
      </c>
      <c r="DW41" s="36">
        <f t="shared" si="27"/>
        <v>0</v>
      </c>
      <c r="DX41" s="23">
        <f t="shared" si="27"/>
        <v>9</v>
      </c>
      <c r="DY41" s="23">
        <f t="shared" si="27"/>
        <v>100</v>
      </c>
      <c r="DZ41" s="23">
        <f t="shared" si="27"/>
        <v>100</v>
      </c>
      <c r="EA41" s="23">
        <f t="shared" si="27"/>
        <v>100</v>
      </c>
      <c r="EB41" s="23">
        <f t="shared" si="27"/>
        <v>0</v>
      </c>
      <c r="EC41" s="23">
        <f t="shared" si="27"/>
        <v>0</v>
      </c>
      <c r="ED41" s="23">
        <f t="shared" si="29"/>
        <v>0</v>
      </c>
      <c r="EE41" s="23">
        <f t="shared" si="29"/>
        <v>0</v>
      </c>
      <c r="EF41" s="23">
        <f t="shared" si="29"/>
        <v>0</v>
      </c>
      <c r="EG41" s="23">
        <f t="shared" si="29"/>
        <v>0</v>
      </c>
      <c r="EH41" s="23">
        <f t="shared" si="29"/>
        <v>0</v>
      </c>
      <c r="EI41" s="23">
        <f t="shared" si="29"/>
        <v>3</v>
      </c>
      <c r="EJ41" s="23">
        <f t="shared" si="29"/>
        <v>100</v>
      </c>
    </row>
    <row r="42" spans="1:140" ht="9.9" customHeight="1" x14ac:dyDescent="0.3">
      <c r="A42" s="23">
        <v>33</v>
      </c>
      <c r="B42" s="50" t="str">
        <f>IF(PRELIM!B42="","",PRELIM!B42)</f>
        <v>TIMUAY, JUVY MAE T</v>
      </c>
      <c r="C42" s="38" t="s">
        <v>190</v>
      </c>
      <c r="D42" s="38" t="s">
        <v>190</v>
      </c>
      <c r="E42" s="38" t="s">
        <v>190</v>
      </c>
      <c r="F42" s="38" t="s">
        <v>190</v>
      </c>
      <c r="G42" s="38" t="s">
        <v>190</v>
      </c>
      <c r="H42" s="38" t="s">
        <v>190</v>
      </c>
      <c r="I42" s="38" t="s">
        <v>190</v>
      </c>
      <c r="J42" s="38" t="s">
        <v>190</v>
      </c>
      <c r="K42" s="38" t="s">
        <v>190</v>
      </c>
      <c r="L42" s="38" t="s">
        <v>190</v>
      </c>
      <c r="M42" s="38" t="s">
        <v>190</v>
      </c>
      <c r="N42" s="38"/>
      <c r="O42" s="38"/>
      <c r="P42" s="38"/>
      <c r="Q42" s="38"/>
      <c r="R42" s="38"/>
      <c r="S42" s="38"/>
      <c r="T42" s="38"/>
      <c r="U42" s="38"/>
      <c r="V42" s="38"/>
      <c r="W42" s="39">
        <f t="shared" si="6"/>
        <v>100</v>
      </c>
      <c r="X42" s="38">
        <v>6</v>
      </c>
      <c r="Y42" s="38">
        <v>8</v>
      </c>
      <c r="Z42" s="38">
        <v>9</v>
      </c>
      <c r="AA42" s="38">
        <v>7</v>
      </c>
      <c r="AB42" s="38">
        <v>8</v>
      </c>
      <c r="AC42" s="38">
        <v>4</v>
      </c>
      <c r="AD42" s="38">
        <v>7</v>
      </c>
      <c r="AE42" s="38">
        <v>6</v>
      </c>
      <c r="AF42" s="38">
        <v>40</v>
      </c>
      <c r="AG42" s="38"/>
      <c r="AH42" s="40">
        <f t="shared" si="32"/>
        <v>76</v>
      </c>
      <c r="AI42" s="40">
        <f t="shared" si="32"/>
        <v>88</v>
      </c>
      <c r="AJ42" s="40">
        <f t="shared" si="32"/>
        <v>94</v>
      </c>
      <c r="AK42" s="40">
        <f t="shared" si="32"/>
        <v>82</v>
      </c>
      <c r="AL42" s="40">
        <f t="shared" si="32"/>
        <v>88</v>
      </c>
      <c r="AM42" s="40">
        <f t="shared" si="30"/>
        <v>64</v>
      </c>
      <c r="AN42" s="40">
        <f t="shared" si="30"/>
        <v>82</v>
      </c>
      <c r="AO42" s="40">
        <f t="shared" si="30"/>
        <v>76</v>
      </c>
      <c r="AP42" s="40">
        <f t="shared" si="30"/>
        <v>100</v>
      </c>
      <c r="AQ42" s="40" t="str">
        <f t="shared" si="30"/>
        <v xml:space="preserve"> </v>
      </c>
      <c r="AR42" s="41">
        <f t="shared" si="8"/>
        <v>83.333333333333329</v>
      </c>
      <c r="AS42" s="38">
        <v>100</v>
      </c>
      <c r="AT42" s="38">
        <v>100</v>
      </c>
      <c r="AU42" s="38">
        <v>100</v>
      </c>
      <c r="AV42" s="38"/>
      <c r="AW42" s="38"/>
      <c r="AX42" s="38"/>
      <c r="AY42" s="38"/>
      <c r="AZ42" s="38"/>
      <c r="BA42" s="38"/>
      <c r="BB42" s="38"/>
      <c r="BC42" s="42">
        <f t="shared" si="33"/>
        <v>100</v>
      </c>
      <c r="BD42" s="42">
        <f t="shared" si="33"/>
        <v>100</v>
      </c>
      <c r="BE42" s="42">
        <f t="shared" si="33"/>
        <v>100</v>
      </c>
      <c r="BF42" s="42" t="str">
        <f t="shared" si="33"/>
        <v xml:space="preserve"> </v>
      </c>
      <c r="BG42" s="42" t="str">
        <f t="shared" si="33"/>
        <v xml:space="preserve"> </v>
      </c>
      <c r="BH42" s="42" t="str">
        <f t="shared" si="31"/>
        <v xml:space="preserve"> </v>
      </c>
      <c r="BI42" s="42" t="str">
        <f t="shared" si="31"/>
        <v xml:space="preserve"> </v>
      </c>
      <c r="BJ42" s="42" t="str">
        <f t="shared" si="31"/>
        <v xml:space="preserve"> </v>
      </c>
      <c r="BK42" s="42" t="str">
        <f t="shared" si="31"/>
        <v xml:space="preserve"> </v>
      </c>
      <c r="BL42" s="42" t="str">
        <f t="shared" si="31"/>
        <v xml:space="preserve"> </v>
      </c>
      <c r="BM42" s="43">
        <f t="shared" si="10"/>
        <v>100</v>
      </c>
      <c r="BN42" s="38">
        <v>88</v>
      </c>
      <c r="BO42" s="44">
        <f t="shared" si="11"/>
        <v>92.8</v>
      </c>
      <c r="BP42" s="20"/>
      <c r="BQ42" s="39">
        <f t="shared" si="20"/>
        <v>91.873333333333335</v>
      </c>
      <c r="BR42" s="23" t="str">
        <f t="shared" si="21"/>
        <v>PASSED</v>
      </c>
      <c r="BS42" s="45"/>
      <c r="BT42" s="46"/>
      <c r="BU42" s="46"/>
      <c r="BV42" s="46"/>
      <c r="BW42" s="21">
        <f t="shared" si="25"/>
        <v>1</v>
      </c>
      <c r="BX42" s="22">
        <f t="shared" si="25"/>
        <v>1</v>
      </c>
      <c r="BY42" s="22">
        <f t="shared" si="25"/>
        <v>1</v>
      </c>
      <c r="BZ42" s="22">
        <f t="shared" si="25"/>
        <v>1</v>
      </c>
      <c r="CA42" s="22">
        <f t="shared" si="25"/>
        <v>1</v>
      </c>
      <c r="CB42" s="22">
        <f t="shared" si="25"/>
        <v>1</v>
      </c>
      <c r="CC42" s="22">
        <f t="shared" si="25"/>
        <v>1</v>
      </c>
      <c r="CD42" s="22">
        <f t="shared" si="25"/>
        <v>1</v>
      </c>
      <c r="CE42" s="22">
        <f t="shared" si="25"/>
        <v>1</v>
      </c>
      <c r="CF42" s="22">
        <f t="shared" si="25"/>
        <v>1</v>
      </c>
      <c r="CG42" s="22">
        <f t="shared" si="25"/>
        <v>1</v>
      </c>
      <c r="CH42" s="22" t="str">
        <f t="shared" si="25"/>
        <v/>
      </c>
      <c r="CI42" s="22" t="str">
        <f t="shared" si="25"/>
        <v/>
      </c>
      <c r="CJ42" s="22" t="str">
        <f t="shared" si="25"/>
        <v/>
      </c>
      <c r="CK42" s="22" t="str">
        <f t="shared" si="25"/>
        <v/>
      </c>
      <c r="CL42" s="22" t="str">
        <f t="shared" si="23"/>
        <v/>
      </c>
      <c r="CM42" s="22" t="str">
        <f t="shared" si="23"/>
        <v/>
      </c>
      <c r="CN42" s="22" t="str">
        <f t="shared" si="23"/>
        <v/>
      </c>
      <c r="CO42" s="22" t="str">
        <f t="shared" si="23"/>
        <v/>
      </c>
      <c r="CP42" s="22" t="str">
        <f t="shared" si="23"/>
        <v/>
      </c>
      <c r="CQ42" s="22">
        <f t="shared" si="22"/>
        <v>11</v>
      </c>
      <c r="CR42" s="22">
        <f t="shared" si="3"/>
        <v>11</v>
      </c>
      <c r="CS42" s="22" t="str">
        <f t="shared" si="26"/>
        <v/>
      </c>
      <c r="CT42" s="22" t="str">
        <f t="shared" si="26"/>
        <v/>
      </c>
      <c r="CU42" s="22" t="str">
        <f t="shared" si="26"/>
        <v/>
      </c>
      <c r="CV42" s="22" t="str">
        <f t="shared" si="26"/>
        <v/>
      </c>
      <c r="CW42" s="22" t="str">
        <f t="shared" si="26"/>
        <v/>
      </c>
      <c r="CX42" s="22" t="str">
        <f t="shared" si="26"/>
        <v/>
      </c>
      <c r="CY42" s="22" t="str">
        <f t="shared" si="26"/>
        <v/>
      </c>
      <c r="CZ42" s="22" t="str">
        <f t="shared" si="26"/>
        <v/>
      </c>
      <c r="DA42" s="22" t="str">
        <f t="shared" si="26"/>
        <v/>
      </c>
      <c r="DB42" s="22" t="str">
        <f t="shared" si="26"/>
        <v/>
      </c>
      <c r="DC42" s="22" t="str">
        <f t="shared" si="26"/>
        <v/>
      </c>
      <c r="DD42" s="22" t="str">
        <f t="shared" si="26"/>
        <v/>
      </c>
      <c r="DE42" s="22" t="str">
        <f t="shared" si="26"/>
        <v/>
      </c>
      <c r="DF42" s="22" t="str">
        <f t="shared" si="26"/>
        <v/>
      </c>
      <c r="DG42" s="22" t="str">
        <f t="shared" si="26"/>
        <v/>
      </c>
      <c r="DH42" s="22" t="str">
        <f t="shared" si="24"/>
        <v/>
      </c>
      <c r="DI42" s="22" t="str">
        <f t="shared" si="24"/>
        <v/>
      </c>
      <c r="DJ42" s="22" t="str">
        <f t="shared" si="24"/>
        <v/>
      </c>
      <c r="DK42" s="22" t="str">
        <f t="shared" si="24"/>
        <v/>
      </c>
      <c r="DL42" s="22" t="str">
        <f t="shared" si="24"/>
        <v/>
      </c>
      <c r="DM42" s="22">
        <f t="shared" si="16"/>
        <v>0</v>
      </c>
      <c r="DN42" s="36">
        <f t="shared" ref="DN42:EC57" si="34">DN41</f>
        <v>10</v>
      </c>
      <c r="DO42" s="36">
        <f t="shared" si="34"/>
        <v>10</v>
      </c>
      <c r="DP42" s="36">
        <f t="shared" si="34"/>
        <v>10</v>
      </c>
      <c r="DQ42" s="36">
        <f t="shared" si="34"/>
        <v>10</v>
      </c>
      <c r="DR42" s="36">
        <f t="shared" si="34"/>
        <v>10</v>
      </c>
      <c r="DS42" s="36">
        <f t="shared" si="34"/>
        <v>10</v>
      </c>
      <c r="DT42" s="36">
        <f t="shared" si="34"/>
        <v>10</v>
      </c>
      <c r="DU42" s="36">
        <f t="shared" si="34"/>
        <v>10</v>
      </c>
      <c r="DV42" s="36">
        <f t="shared" si="34"/>
        <v>40</v>
      </c>
      <c r="DW42" s="36">
        <f t="shared" si="34"/>
        <v>0</v>
      </c>
      <c r="DX42" s="23">
        <f t="shared" si="34"/>
        <v>9</v>
      </c>
      <c r="DY42" s="23">
        <f t="shared" si="34"/>
        <v>100</v>
      </c>
      <c r="DZ42" s="23">
        <f t="shared" si="34"/>
        <v>100</v>
      </c>
      <c r="EA42" s="23">
        <f t="shared" si="34"/>
        <v>100</v>
      </c>
      <c r="EB42" s="23">
        <f t="shared" si="34"/>
        <v>0</v>
      </c>
      <c r="EC42" s="23">
        <f t="shared" si="34"/>
        <v>0</v>
      </c>
      <c r="ED42" s="23">
        <f t="shared" si="29"/>
        <v>0</v>
      </c>
      <c r="EE42" s="23">
        <f t="shared" si="29"/>
        <v>0</v>
      </c>
      <c r="EF42" s="23">
        <f t="shared" si="29"/>
        <v>0</v>
      </c>
      <c r="EG42" s="23">
        <f t="shared" si="29"/>
        <v>0</v>
      </c>
      <c r="EH42" s="23">
        <f t="shared" si="29"/>
        <v>0</v>
      </c>
      <c r="EI42" s="23">
        <f t="shared" si="29"/>
        <v>3</v>
      </c>
      <c r="EJ42" s="23">
        <f t="shared" si="29"/>
        <v>100</v>
      </c>
    </row>
    <row r="43" spans="1:140" ht="9.9" customHeight="1" x14ac:dyDescent="0.3">
      <c r="A43" s="23">
        <v>34</v>
      </c>
      <c r="B43" s="50" t="str">
        <f>IF(PRELIM!B43="","",PRELIM!B43)</f>
        <v>VELASCO, SHYRA BABES C.</v>
      </c>
      <c r="C43" s="38" t="s">
        <v>190</v>
      </c>
      <c r="D43" s="38" t="s">
        <v>190</v>
      </c>
      <c r="E43" s="38" t="s">
        <v>190</v>
      </c>
      <c r="F43" s="38" t="s">
        <v>190</v>
      </c>
      <c r="G43" s="38" t="s">
        <v>190</v>
      </c>
      <c r="H43" s="38" t="s">
        <v>190</v>
      </c>
      <c r="I43" s="38" t="s">
        <v>190</v>
      </c>
      <c r="J43" s="38" t="s">
        <v>190</v>
      </c>
      <c r="K43" s="38" t="s">
        <v>190</v>
      </c>
      <c r="L43" s="38" t="s">
        <v>190</v>
      </c>
      <c r="M43" s="38" t="s">
        <v>190</v>
      </c>
      <c r="N43" s="38"/>
      <c r="O43" s="38"/>
      <c r="P43" s="38"/>
      <c r="Q43" s="38"/>
      <c r="R43" s="38"/>
      <c r="S43" s="38"/>
      <c r="T43" s="38"/>
      <c r="U43" s="38"/>
      <c r="V43" s="38"/>
      <c r="W43" s="39">
        <f t="shared" si="6"/>
        <v>100</v>
      </c>
      <c r="X43" s="38">
        <v>7</v>
      </c>
      <c r="Y43" s="38">
        <v>8</v>
      </c>
      <c r="Z43" s="38">
        <v>9</v>
      </c>
      <c r="AA43" s="38">
        <v>6</v>
      </c>
      <c r="AB43" s="38">
        <v>9</v>
      </c>
      <c r="AC43" s="38">
        <v>6</v>
      </c>
      <c r="AD43" s="38">
        <v>8</v>
      </c>
      <c r="AE43" s="38">
        <v>3</v>
      </c>
      <c r="AF43" s="38">
        <v>36</v>
      </c>
      <c r="AG43" s="38"/>
      <c r="AH43" s="40">
        <f t="shared" si="32"/>
        <v>82</v>
      </c>
      <c r="AI43" s="40">
        <f t="shared" si="32"/>
        <v>88</v>
      </c>
      <c r="AJ43" s="40">
        <f t="shared" si="32"/>
        <v>94</v>
      </c>
      <c r="AK43" s="40">
        <f t="shared" si="32"/>
        <v>76</v>
      </c>
      <c r="AL43" s="40">
        <f t="shared" si="32"/>
        <v>94</v>
      </c>
      <c r="AM43" s="40">
        <f t="shared" si="30"/>
        <v>76</v>
      </c>
      <c r="AN43" s="40">
        <f t="shared" si="30"/>
        <v>88</v>
      </c>
      <c r="AO43" s="40">
        <f t="shared" si="30"/>
        <v>58</v>
      </c>
      <c r="AP43" s="40">
        <f t="shared" si="30"/>
        <v>94</v>
      </c>
      <c r="AQ43" s="40" t="str">
        <f t="shared" si="30"/>
        <v xml:space="preserve"> </v>
      </c>
      <c r="AR43" s="41">
        <f t="shared" si="8"/>
        <v>83.333333333333329</v>
      </c>
      <c r="AS43" s="38">
        <v>100</v>
      </c>
      <c r="AT43" s="38">
        <v>100</v>
      </c>
      <c r="AU43" s="38">
        <v>100</v>
      </c>
      <c r="AV43" s="38"/>
      <c r="AW43" s="38"/>
      <c r="AX43" s="38"/>
      <c r="AY43" s="38"/>
      <c r="AZ43" s="38"/>
      <c r="BA43" s="38"/>
      <c r="BB43" s="38"/>
      <c r="BC43" s="42">
        <f t="shared" si="33"/>
        <v>100</v>
      </c>
      <c r="BD43" s="42">
        <f t="shared" si="33"/>
        <v>100</v>
      </c>
      <c r="BE43" s="42">
        <f t="shared" si="33"/>
        <v>100</v>
      </c>
      <c r="BF43" s="42" t="str">
        <f t="shared" si="33"/>
        <v xml:space="preserve"> </v>
      </c>
      <c r="BG43" s="42" t="str">
        <f t="shared" si="33"/>
        <v xml:space="preserve"> </v>
      </c>
      <c r="BH43" s="42" t="str">
        <f t="shared" si="31"/>
        <v xml:space="preserve"> </v>
      </c>
      <c r="BI43" s="42" t="str">
        <f t="shared" si="31"/>
        <v xml:space="preserve"> </v>
      </c>
      <c r="BJ43" s="42" t="str">
        <f t="shared" si="31"/>
        <v xml:space="preserve"> </v>
      </c>
      <c r="BK43" s="42" t="str">
        <f t="shared" si="31"/>
        <v xml:space="preserve"> </v>
      </c>
      <c r="BL43" s="42" t="str">
        <f t="shared" si="31"/>
        <v xml:space="preserve"> </v>
      </c>
      <c r="BM43" s="43">
        <f t="shared" si="10"/>
        <v>100</v>
      </c>
      <c r="BN43" s="38">
        <v>80</v>
      </c>
      <c r="BO43" s="44">
        <f t="shared" si="11"/>
        <v>88</v>
      </c>
      <c r="BP43" s="20"/>
      <c r="BQ43" s="39">
        <f t="shared" si="20"/>
        <v>89.233333333333334</v>
      </c>
      <c r="BR43" s="23" t="str">
        <f t="shared" si="21"/>
        <v>PASSED</v>
      </c>
      <c r="BS43" s="45"/>
      <c r="BT43" s="46"/>
      <c r="BU43" s="46"/>
      <c r="BV43" s="46"/>
      <c r="BW43" s="21">
        <f t="shared" ref="BW43:CL59" si="35">IF(C43="P",1,IF(C43="L",1,""))</f>
        <v>1</v>
      </c>
      <c r="BX43" s="22">
        <f t="shared" si="35"/>
        <v>1</v>
      </c>
      <c r="BY43" s="22">
        <f t="shared" si="35"/>
        <v>1</v>
      </c>
      <c r="BZ43" s="22">
        <f t="shared" si="35"/>
        <v>1</v>
      </c>
      <c r="CA43" s="22">
        <f t="shared" si="35"/>
        <v>1</v>
      </c>
      <c r="CB43" s="22">
        <f t="shared" si="35"/>
        <v>1</v>
      </c>
      <c r="CC43" s="22">
        <f t="shared" si="35"/>
        <v>1</v>
      </c>
      <c r="CD43" s="22">
        <f t="shared" si="35"/>
        <v>1</v>
      </c>
      <c r="CE43" s="22">
        <f t="shared" si="35"/>
        <v>1</v>
      </c>
      <c r="CF43" s="22">
        <f t="shared" si="35"/>
        <v>1</v>
      </c>
      <c r="CG43" s="22">
        <f t="shared" si="35"/>
        <v>1</v>
      </c>
      <c r="CH43" s="22" t="str">
        <f t="shared" si="35"/>
        <v/>
      </c>
      <c r="CI43" s="22" t="str">
        <f t="shared" si="35"/>
        <v/>
      </c>
      <c r="CJ43" s="22" t="str">
        <f t="shared" si="35"/>
        <v/>
      </c>
      <c r="CK43" s="22" t="str">
        <f t="shared" si="35"/>
        <v/>
      </c>
      <c r="CL43" s="22" t="str">
        <f t="shared" si="23"/>
        <v/>
      </c>
      <c r="CM43" s="22" t="str">
        <f t="shared" si="23"/>
        <v/>
      </c>
      <c r="CN43" s="22" t="str">
        <f t="shared" si="23"/>
        <v/>
      </c>
      <c r="CO43" s="22" t="str">
        <f t="shared" si="23"/>
        <v/>
      </c>
      <c r="CP43" s="22" t="str">
        <f t="shared" si="23"/>
        <v/>
      </c>
      <c r="CQ43" s="22">
        <f t="shared" si="22"/>
        <v>11</v>
      </c>
      <c r="CR43" s="22">
        <f t="shared" si="3"/>
        <v>11</v>
      </c>
      <c r="CS43" s="22" t="str">
        <f t="shared" ref="CS43:DH59" si="36">IF(C43="l",1,"")</f>
        <v/>
      </c>
      <c r="CT43" s="22" t="str">
        <f t="shared" si="36"/>
        <v/>
      </c>
      <c r="CU43" s="22" t="str">
        <f t="shared" si="36"/>
        <v/>
      </c>
      <c r="CV43" s="22" t="str">
        <f t="shared" si="36"/>
        <v/>
      </c>
      <c r="CW43" s="22" t="str">
        <f t="shared" si="36"/>
        <v/>
      </c>
      <c r="CX43" s="22" t="str">
        <f t="shared" si="36"/>
        <v/>
      </c>
      <c r="CY43" s="22" t="str">
        <f t="shared" si="36"/>
        <v/>
      </c>
      <c r="CZ43" s="22" t="str">
        <f t="shared" si="36"/>
        <v/>
      </c>
      <c r="DA43" s="22" t="str">
        <f t="shared" si="36"/>
        <v/>
      </c>
      <c r="DB43" s="22" t="str">
        <f t="shared" si="36"/>
        <v/>
      </c>
      <c r="DC43" s="22" t="str">
        <f t="shared" si="36"/>
        <v/>
      </c>
      <c r="DD43" s="22" t="str">
        <f t="shared" si="36"/>
        <v/>
      </c>
      <c r="DE43" s="22" t="str">
        <f t="shared" si="36"/>
        <v/>
      </c>
      <c r="DF43" s="22" t="str">
        <f t="shared" si="36"/>
        <v/>
      </c>
      <c r="DG43" s="22" t="str">
        <f t="shared" si="36"/>
        <v/>
      </c>
      <c r="DH43" s="22" t="str">
        <f t="shared" si="24"/>
        <v/>
      </c>
      <c r="DI43" s="22" t="str">
        <f t="shared" si="24"/>
        <v/>
      </c>
      <c r="DJ43" s="22" t="str">
        <f t="shared" si="24"/>
        <v/>
      </c>
      <c r="DK43" s="22" t="str">
        <f t="shared" si="24"/>
        <v/>
      </c>
      <c r="DL43" s="22" t="str">
        <f t="shared" si="24"/>
        <v/>
      </c>
      <c r="DM43" s="22">
        <f t="shared" si="16"/>
        <v>0</v>
      </c>
      <c r="DN43" s="36">
        <f t="shared" si="34"/>
        <v>10</v>
      </c>
      <c r="DO43" s="36">
        <f t="shared" si="34"/>
        <v>10</v>
      </c>
      <c r="DP43" s="36">
        <f t="shared" si="34"/>
        <v>10</v>
      </c>
      <c r="DQ43" s="36">
        <f t="shared" si="34"/>
        <v>10</v>
      </c>
      <c r="DR43" s="36">
        <f t="shared" si="34"/>
        <v>10</v>
      </c>
      <c r="DS43" s="36">
        <f t="shared" si="34"/>
        <v>10</v>
      </c>
      <c r="DT43" s="36">
        <f t="shared" si="34"/>
        <v>10</v>
      </c>
      <c r="DU43" s="36">
        <f t="shared" si="34"/>
        <v>10</v>
      </c>
      <c r="DV43" s="36">
        <f t="shared" si="34"/>
        <v>40</v>
      </c>
      <c r="DW43" s="36">
        <f t="shared" si="34"/>
        <v>0</v>
      </c>
      <c r="DX43" s="23">
        <f t="shared" si="34"/>
        <v>9</v>
      </c>
      <c r="DY43" s="23">
        <f t="shared" si="34"/>
        <v>100</v>
      </c>
      <c r="DZ43" s="23">
        <f t="shared" si="34"/>
        <v>100</v>
      </c>
      <c r="EA43" s="23">
        <f t="shared" si="34"/>
        <v>100</v>
      </c>
      <c r="EB43" s="23">
        <f t="shared" si="34"/>
        <v>0</v>
      </c>
      <c r="EC43" s="23">
        <f t="shared" si="34"/>
        <v>0</v>
      </c>
      <c r="ED43" s="23">
        <f t="shared" ref="ED43:EJ58" si="37">ED42</f>
        <v>0</v>
      </c>
      <c r="EE43" s="23">
        <f t="shared" si="37"/>
        <v>0</v>
      </c>
      <c r="EF43" s="23">
        <f t="shared" si="37"/>
        <v>0</v>
      </c>
      <c r="EG43" s="23">
        <f t="shared" si="37"/>
        <v>0</v>
      </c>
      <c r="EH43" s="23">
        <f t="shared" si="37"/>
        <v>0</v>
      </c>
      <c r="EI43" s="23">
        <f t="shared" si="37"/>
        <v>3</v>
      </c>
      <c r="EJ43" s="23">
        <f t="shared" si="37"/>
        <v>100</v>
      </c>
    </row>
    <row r="44" spans="1:140" ht="9.9" customHeight="1" x14ac:dyDescent="0.3">
      <c r="A44" s="23">
        <v>35</v>
      </c>
      <c r="B44" s="50" t="str">
        <f>IF(PRELIM!B44="","",PRELIM!B44)</f>
        <v>VENERACION, PRINCESS P.</v>
      </c>
      <c r="C44" s="38" t="s">
        <v>190</v>
      </c>
      <c r="D44" s="38" t="s">
        <v>190</v>
      </c>
      <c r="E44" s="38" t="s">
        <v>190</v>
      </c>
      <c r="F44" s="38" t="s">
        <v>190</v>
      </c>
      <c r="G44" s="38" t="s">
        <v>190</v>
      </c>
      <c r="H44" s="38" t="s">
        <v>190</v>
      </c>
      <c r="I44" s="38" t="s">
        <v>190</v>
      </c>
      <c r="J44" s="38" t="s">
        <v>190</v>
      </c>
      <c r="K44" s="38" t="s">
        <v>190</v>
      </c>
      <c r="L44" s="38" t="s">
        <v>190</v>
      </c>
      <c r="M44" s="38" t="s">
        <v>190</v>
      </c>
      <c r="N44" s="38"/>
      <c r="O44" s="38"/>
      <c r="P44" s="38"/>
      <c r="Q44" s="38"/>
      <c r="R44" s="38"/>
      <c r="S44" s="38"/>
      <c r="T44" s="38"/>
      <c r="U44" s="38"/>
      <c r="V44" s="38"/>
      <c r="W44" s="39">
        <f t="shared" si="6"/>
        <v>100</v>
      </c>
      <c r="X44" s="38">
        <v>9</v>
      </c>
      <c r="Y44" s="38">
        <v>7</v>
      </c>
      <c r="Z44" s="38">
        <v>10</v>
      </c>
      <c r="AA44" s="38">
        <v>7</v>
      </c>
      <c r="AB44" s="38">
        <v>8</v>
      </c>
      <c r="AC44" s="38">
        <v>4</v>
      </c>
      <c r="AD44" s="38">
        <v>10</v>
      </c>
      <c r="AE44" s="38">
        <v>4</v>
      </c>
      <c r="AF44" s="38">
        <v>29</v>
      </c>
      <c r="AG44" s="38"/>
      <c r="AH44" s="40">
        <f t="shared" si="32"/>
        <v>94</v>
      </c>
      <c r="AI44" s="40">
        <f t="shared" si="32"/>
        <v>82</v>
      </c>
      <c r="AJ44" s="40">
        <f t="shared" si="32"/>
        <v>100</v>
      </c>
      <c r="AK44" s="40">
        <f t="shared" si="32"/>
        <v>82</v>
      </c>
      <c r="AL44" s="40">
        <f t="shared" si="32"/>
        <v>88</v>
      </c>
      <c r="AM44" s="40">
        <f t="shared" si="30"/>
        <v>64</v>
      </c>
      <c r="AN44" s="40">
        <f t="shared" si="30"/>
        <v>100</v>
      </c>
      <c r="AO44" s="40">
        <f t="shared" si="30"/>
        <v>64</v>
      </c>
      <c r="AP44" s="40">
        <f t="shared" si="30"/>
        <v>83.5</v>
      </c>
      <c r="AQ44" s="40" t="str">
        <f t="shared" si="30"/>
        <v xml:space="preserve"> </v>
      </c>
      <c r="AR44" s="41">
        <f t="shared" si="8"/>
        <v>84.166666666666671</v>
      </c>
      <c r="AS44" s="38">
        <v>70</v>
      </c>
      <c r="AT44" s="38">
        <v>70</v>
      </c>
      <c r="AU44" s="38">
        <v>100</v>
      </c>
      <c r="AV44" s="38"/>
      <c r="AW44" s="38"/>
      <c r="AX44" s="38"/>
      <c r="AY44" s="38"/>
      <c r="AZ44" s="38"/>
      <c r="BA44" s="38"/>
      <c r="BB44" s="38"/>
      <c r="BC44" s="42">
        <f t="shared" si="33"/>
        <v>82</v>
      </c>
      <c r="BD44" s="42">
        <f t="shared" si="33"/>
        <v>82</v>
      </c>
      <c r="BE44" s="42">
        <f t="shared" si="33"/>
        <v>100</v>
      </c>
      <c r="BF44" s="42" t="str">
        <f t="shared" si="33"/>
        <v xml:space="preserve"> </v>
      </c>
      <c r="BG44" s="42" t="str">
        <f t="shared" si="33"/>
        <v xml:space="preserve"> </v>
      </c>
      <c r="BH44" s="42" t="str">
        <f t="shared" si="31"/>
        <v xml:space="preserve"> </v>
      </c>
      <c r="BI44" s="42" t="str">
        <f t="shared" si="31"/>
        <v xml:space="preserve"> </v>
      </c>
      <c r="BJ44" s="42" t="str">
        <f t="shared" si="31"/>
        <v xml:space="preserve"> </v>
      </c>
      <c r="BK44" s="42" t="str">
        <f t="shared" si="31"/>
        <v xml:space="preserve"> </v>
      </c>
      <c r="BL44" s="42" t="str">
        <f t="shared" si="31"/>
        <v xml:space="preserve"> </v>
      </c>
      <c r="BM44" s="43">
        <f t="shared" si="10"/>
        <v>88</v>
      </c>
      <c r="BN44" s="38">
        <v>76</v>
      </c>
      <c r="BO44" s="44">
        <f t="shared" si="11"/>
        <v>85.6</v>
      </c>
      <c r="BP44" s="20"/>
      <c r="BQ44" s="39">
        <f t="shared" si="20"/>
        <v>86.321666666666658</v>
      </c>
      <c r="BR44" s="23" t="str">
        <f t="shared" si="21"/>
        <v>PASSED</v>
      </c>
      <c r="BS44" s="45"/>
      <c r="BT44" s="46"/>
      <c r="BU44" s="46"/>
      <c r="BV44" s="46"/>
      <c r="BW44" s="21">
        <f t="shared" si="35"/>
        <v>1</v>
      </c>
      <c r="BX44" s="22">
        <f t="shared" si="35"/>
        <v>1</v>
      </c>
      <c r="BY44" s="22">
        <f t="shared" si="35"/>
        <v>1</v>
      </c>
      <c r="BZ44" s="22">
        <f t="shared" si="35"/>
        <v>1</v>
      </c>
      <c r="CA44" s="22">
        <f t="shared" si="35"/>
        <v>1</v>
      </c>
      <c r="CB44" s="22">
        <f t="shared" si="35"/>
        <v>1</v>
      </c>
      <c r="CC44" s="22">
        <f t="shared" si="35"/>
        <v>1</v>
      </c>
      <c r="CD44" s="22">
        <f t="shared" si="35"/>
        <v>1</v>
      </c>
      <c r="CE44" s="22">
        <f t="shared" si="35"/>
        <v>1</v>
      </c>
      <c r="CF44" s="22">
        <f t="shared" si="35"/>
        <v>1</v>
      </c>
      <c r="CG44" s="22">
        <f t="shared" si="35"/>
        <v>1</v>
      </c>
      <c r="CH44" s="22" t="str">
        <f t="shared" si="35"/>
        <v/>
      </c>
      <c r="CI44" s="22" t="str">
        <f t="shared" si="35"/>
        <v/>
      </c>
      <c r="CJ44" s="22" t="str">
        <f t="shared" si="35"/>
        <v/>
      </c>
      <c r="CK44" s="22" t="str">
        <f t="shared" si="35"/>
        <v/>
      </c>
      <c r="CL44" s="22" t="str">
        <f t="shared" si="23"/>
        <v/>
      </c>
      <c r="CM44" s="22" t="str">
        <f t="shared" si="23"/>
        <v/>
      </c>
      <c r="CN44" s="22" t="str">
        <f t="shared" si="23"/>
        <v/>
      </c>
      <c r="CO44" s="22" t="str">
        <f t="shared" si="23"/>
        <v/>
      </c>
      <c r="CP44" s="22" t="str">
        <f t="shared" si="23"/>
        <v/>
      </c>
      <c r="CQ44" s="22">
        <f t="shared" si="22"/>
        <v>11</v>
      </c>
      <c r="CR44" s="22">
        <f t="shared" si="3"/>
        <v>11</v>
      </c>
      <c r="CS44" s="22" t="str">
        <f t="shared" si="36"/>
        <v/>
      </c>
      <c r="CT44" s="22" t="str">
        <f t="shared" si="36"/>
        <v/>
      </c>
      <c r="CU44" s="22" t="str">
        <f t="shared" si="36"/>
        <v/>
      </c>
      <c r="CV44" s="22" t="str">
        <f t="shared" si="36"/>
        <v/>
      </c>
      <c r="CW44" s="22" t="str">
        <f t="shared" si="36"/>
        <v/>
      </c>
      <c r="CX44" s="22" t="str">
        <f t="shared" si="36"/>
        <v/>
      </c>
      <c r="CY44" s="22" t="str">
        <f t="shared" si="36"/>
        <v/>
      </c>
      <c r="CZ44" s="22" t="str">
        <f t="shared" si="36"/>
        <v/>
      </c>
      <c r="DA44" s="22" t="str">
        <f t="shared" si="36"/>
        <v/>
      </c>
      <c r="DB44" s="22" t="str">
        <f t="shared" si="36"/>
        <v/>
      </c>
      <c r="DC44" s="22" t="str">
        <f t="shared" si="36"/>
        <v/>
      </c>
      <c r="DD44" s="22" t="str">
        <f t="shared" si="36"/>
        <v/>
      </c>
      <c r="DE44" s="22" t="str">
        <f t="shared" si="36"/>
        <v/>
      </c>
      <c r="DF44" s="22" t="str">
        <f t="shared" si="36"/>
        <v/>
      </c>
      <c r="DG44" s="22" t="str">
        <f t="shared" si="36"/>
        <v/>
      </c>
      <c r="DH44" s="22" t="str">
        <f t="shared" si="24"/>
        <v/>
      </c>
      <c r="DI44" s="22" t="str">
        <f t="shared" si="24"/>
        <v/>
      </c>
      <c r="DJ44" s="22" t="str">
        <f t="shared" si="24"/>
        <v/>
      </c>
      <c r="DK44" s="22" t="str">
        <f t="shared" si="24"/>
        <v/>
      </c>
      <c r="DL44" s="22" t="str">
        <f t="shared" si="24"/>
        <v/>
      </c>
      <c r="DM44" s="22">
        <f t="shared" si="16"/>
        <v>0</v>
      </c>
      <c r="DN44" s="36">
        <f t="shared" si="34"/>
        <v>10</v>
      </c>
      <c r="DO44" s="36">
        <f t="shared" si="34"/>
        <v>10</v>
      </c>
      <c r="DP44" s="36">
        <f t="shared" si="34"/>
        <v>10</v>
      </c>
      <c r="DQ44" s="36">
        <f t="shared" si="34"/>
        <v>10</v>
      </c>
      <c r="DR44" s="36">
        <f t="shared" si="34"/>
        <v>10</v>
      </c>
      <c r="DS44" s="36">
        <f t="shared" si="34"/>
        <v>10</v>
      </c>
      <c r="DT44" s="36">
        <f t="shared" si="34"/>
        <v>10</v>
      </c>
      <c r="DU44" s="36">
        <f t="shared" si="34"/>
        <v>10</v>
      </c>
      <c r="DV44" s="36">
        <f t="shared" si="34"/>
        <v>40</v>
      </c>
      <c r="DW44" s="36">
        <f t="shared" si="34"/>
        <v>0</v>
      </c>
      <c r="DX44" s="23">
        <f t="shared" si="34"/>
        <v>9</v>
      </c>
      <c r="DY44" s="23">
        <f t="shared" si="34"/>
        <v>100</v>
      </c>
      <c r="DZ44" s="23">
        <f t="shared" si="34"/>
        <v>100</v>
      </c>
      <c r="EA44" s="23">
        <f t="shared" si="34"/>
        <v>100</v>
      </c>
      <c r="EB44" s="23">
        <f t="shared" si="34"/>
        <v>0</v>
      </c>
      <c r="EC44" s="23">
        <f t="shared" si="34"/>
        <v>0</v>
      </c>
      <c r="ED44" s="23">
        <f t="shared" si="37"/>
        <v>0</v>
      </c>
      <c r="EE44" s="23">
        <f t="shared" si="37"/>
        <v>0</v>
      </c>
      <c r="EF44" s="23">
        <f t="shared" si="37"/>
        <v>0</v>
      </c>
      <c r="EG44" s="23">
        <f t="shared" si="37"/>
        <v>0</v>
      </c>
      <c r="EH44" s="23">
        <f t="shared" si="37"/>
        <v>0</v>
      </c>
      <c r="EI44" s="23">
        <f t="shared" si="37"/>
        <v>3</v>
      </c>
      <c r="EJ44" s="23">
        <f t="shared" si="37"/>
        <v>100</v>
      </c>
    </row>
    <row r="45" spans="1:140" ht="9.9" customHeight="1" x14ac:dyDescent="0.3">
      <c r="A45" s="23">
        <v>36</v>
      </c>
      <c r="B45" s="50" t="str">
        <f>IF(PRELIM!B45="","",PRELIM!B45)</f>
        <v>VERGARA, RAYAN JAY M.</v>
      </c>
      <c r="C45" s="38" t="s">
        <v>190</v>
      </c>
      <c r="D45" s="38" t="s">
        <v>190</v>
      </c>
      <c r="E45" s="38" t="s">
        <v>190</v>
      </c>
      <c r="F45" s="38" t="s">
        <v>190</v>
      </c>
      <c r="G45" s="38" t="s">
        <v>190</v>
      </c>
      <c r="H45" s="38" t="s">
        <v>190</v>
      </c>
      <c r="I45" s="38" t="s">
        <v>190</v>
      </c>
      <c r="J45" s="38" t="s">
        <v>190</v>
      </c>
      <c r="K45" s="38" t="s">
        <v>190</v>
      </c>
      <c r="L45" s="38" t="s">
        <v>190</v>
      </c>
      <c r="M45" s="38" t="s">
        <v>190</v>
      </c>
      <c r="N45" s="38"/>
      <c r="O45" s="38"/>
      <c r="P45" s="38"/>
      <c r="Q45" s="38"/>
      <c r="R45" s="38"/>
      <c r="S45" s="38"/>
      <c r="T45" s="38"/>
      <c r="U45" s="38"/>
      <c r="V45" s="38"/>
      <c r="W45" s="39">
        <f t="shared" si="6"/>
        <v>100</v>
      </c>
      <c r="X45" s="38">
        <v>6</v>
      </c>
      <c r="Y45" s="38">
        <v>8</v>
      </c>
      <c r="Z45" s="38">
        <v>8</v>
      </c>
      <c r="AA45" s="38">
        <v>8</v>
      </c>
      <c r="AB45" s="38">
        <v>8</v>
      </c>
      <c r="AC45" s="38">
        <v>6</v>
      </c>
      <c r="AD45" s="38">
        <v>8</v>
      </c>
      <c r="AE45" s="38">
        <v>3</v>
      </c>
      <c r="AF45" s="38">
        <v>34</v>
      </c>
      <c r="AG45" s="38"/>
      <c r="AH45" s="40">
        <f t="shared" si="32"/>
        <v>76</v>
      </c>
      <c r="AI45" s="40">
        <f t="shared" si="32"/>
        <v>88</v>
      </c>
      <c r="AJ45" s="40">
        <f t="shared" si="32"/>
        <v>88</v>
      </c>
      <c r="AK45" s="40">
        <f t="shared" si="32"/>
        <v>88</v>
      </c>
      <c r="AL45" s="40">
        <f t="shared" si="32"/>
        <v>88</v>
      </c>
      <c r="AM45" s="40">
        <f t="shared" si="30"/>
        <v>76</v>
      </c>
      <c r="AN45" s="40">
        <f t="shared" si="30"/>
        <v>88</v>
      </c>
      <c r="AO45" s="40">
        <f t="shared" si="30"/>
        <v>58</v>
      </c>
      <c r="AP45" s="40">
        <f t="shared" si="30"/>
        <v>91</v>
      </c>
      <c r="AQ45" s="40" t="str">
        <f t="shared" si="30"/>
        <v xml:space="preserve"> </v>
      </c>
      <c r="AR45" s="41">
        <f t="shared" si="8"/>
        <v>82.333333333333329</v>
      </c>
      <c r="AS45" s="38">
        <v>100</v>
      </c>
      <c r="AT45" s="38">
        <v>100</v>
      </c>
      <c r="AU45" s="38">
        <v>100</v>
      </c>
      <c r="AV45" s="38"/>
      <c r="AW45" s="38"/>
      <c r="AX45" s="38"/>
      <c r="AY45" s="38"/>
      <c r="AZ45" s="38"/>
      <c r="BA45" s="38"/>
      <c r="BB45" s="38"/>
      <c r="BC45" s="42">
        <f t="shared" si="33"/>
        <v>100</v>
      </c>
      <c r="BD45" s="42">
        <f t="shared" si="33"/>
        <v>100</v>
      </c>
      <c r="BE45" s="42">
        <f t="shared" si="33"/>
        <v>100</v>
      </c>
      <c r="BF45" s="42" t="str">
        <f t="shared" si="33"/>
        <v xml:space="preserve"> </v>
      </c>
      <c r="BG45" s="42" t="str">
        <f t="shared" si="33"/>
        <v xml:space="preserve"> </v>
      </c>
      <c r="BH45" s="42" t="str">
        <f t="shared" si="31"/>
        <v xml:space="preserve"> </v>
      </c>
      <c r="BI45" s="42" t="str">
        <f t="shared" si="31"/>
        <v xml:space="preserve"> </v>
      </c>
      <c r="BJ45" s="42" t="str">
        <f t="shared" si="31"/>
        <v xml:space="preserve"> </v>
      </c>
      <c r="BK45" s="42" t="str">
        <f t="shared" si="31"/>
        <v xml:space="preserve"> </v>
      </c>
      <c r="BL45" s="42" t="str">
        <f t="shared" si="31"/>
        <v xml:space="preserve"> </v>
      </c>
      <c r="BM45" s="43">
        <f t="shared" si="10"/>
        <v>100</v>
      </c>
      <c r="BN45" s="38">
        <v>85</v>
      </c>
      <c r="BO45" s="44">
        <f t="shared" si="11"/>
        <v>91</v>
      </c>
      <c r="BP45" s="20"/>
      <c r="BQ45" s="39">
        <f t="shared" si="20"/>
        <v>90.633333333333326</v>
      </c>
      <c r="BR45" s="23" t="str">
        <f t="shared" si="21"/>
        <v>PASSED</v>
      </c>
      <c r="BS45" s="45"/>
      <c r="BT45" s="46"/>
      <c r="BU45" s="46"/>
      <c r="BV45" s="46"/>
      <c r="BW45" s="21">
        <f t="shared" si="35"/>
        <v>1</v>
      </c>
      <c r="BX45" s="22">
        <f t="shared" si="35"/>
        <v>1</v>
      </c>
      <c r="BY45" s="22">
        <f t="shared" si="35"/>
        <v>1</v>
      </c>
      <c r="BZ45" s="22">
        <f t="shared" si="35"/>
        <v>1</v>
      </c>
      <c r="CA45" s="22">
        <f t="shared" si="35"/>
        <v>1</v>
      </c>
      <c r="CB45" s="22">
        <f t="shared" si="35"/>
        <v>1</v>
      </c>
      <c r="CC45" s="22">
        <f t="shared" si="35"/>
        <v>1</v>
      </c>
      <c r="CD45" s="22">
        <f t="shared" si="35"/>
        <v>1</v>
      </c>
      <c r="CE45" s="22">
        <f t="shared" si="35"/>
        <v>1</v>
      </c>
      <c r="CF45" s="22">
        <f t="shared" si="35"/>
        <v>1</v>
      </c>
      <c r="CG45" s="22">
        <f t="shared" si="35"/>
        <v>1</v>
      </c>
      <c r="CH45" s="22" t="str">
        <f t="shared" si="35"/>
        <v/>
      </c>
      <c r="CI45" s="22" t="str">
        <f t="shared" si="35"/>
        <v/>
      </c>
      <c r="CJ45" s="22" t="str">
        <f t="shared" si="35"/>
        <v/>
      </c>
      <c r="CK45" s="22" t="str">
        <f t="shared" si="35"/>
        <v/>
      </c>
      <c r="CL45" s="22" t="str">
        <f t="shared" si="23"/>
        <v/>
      </c>
      <c r="CM45" s="22" t="str">
        <f t="shared" si="23"/>
        <v/>
      </c>
      <c r="CN45" s="22" t="str">
        <f t="shared" si="23"/>
        <v/>
      </c>
      <c r="CO45" s="22" t="str">
        <f t="shared" si="23"/>
        <v/>
      </c>
      <c r="CP45" s="22" t="str">
        <f t="shared" si="23"/>
        <v/>
      </c>
      <c r="CQ45" s="22">
        <f t="shared" si="22"/>
        <v>11</v>
      </c>
      <c r="CR45" s="22">
        <f t="shared" si="3"/>
        <v>11</v>
      </c>
      <c r="CS45" s="22" t="str">
        <f t="shared" si="36"/>
        <v/>
      </c>
      <c r="CT45" s="22" t="str">
        <f t="shared" si="36"/>
        <v/>
      </c>
      <c r="CU45" s="22" t="str">
        <f t="shared" si="36"/>
        <v/>
      </c>
      <c r="CV45" s="22" t="str">
        <f t="shared" si="36"/>
        <v/>
      </c>
      <c r="CW45" s="22" t="str">
        <f t="shared" si="36"/>
        <v/>
      </c>
      <c r="CX45" s="22" t="str">
        <f t="shared" si="36"/>
        <v/>
      </c>
      <c r="CY45" s="22" t="str">
        <f t="shared" si="36"/>
        <v/>
      </c>
      <c r="CZ45" s="22" t="str">
        <f t="shared" si="36"/>
        <v/>
      </c>
      <c r="DA45" s="22" t="str">
        <f t="shared" si="36"/>
        <v/>
      </c>
      <c r="DB45" s="22" t="str">
        <f t="shared" si="36"/>
        <v/>
      </c>
      <c r="DC45" s="22" t="str">
        <f t="shared" si="36"/>
        <v/>
      </c>
      <c r="DD45" s="22" t="str">
        <f t="shared" si="36"/>
        <v/>
      </c>
      <c r="DE45" s="22" t="str">
        <f t="shared" si="36"/>
        <v/>
      </c>
      <c r="DF45" s="22" t="str">
        <f t="shared" si="36"/>
        <v/>
      </c>
      <c r="DG45" s="22" t="str">
        <f t="shared" si="36"/>
        <v/>
      </c>
      <c r="DH45" s="22" t="str">
        <f t="shared" si="24"/>
        <v/>
      </c>
      <c r="DI45" s="22" t="str">
        <f t="shared" si="24"/>
        <v/>
      </c>
      <c r="DJ45" s="22" t="str">
        <f t="shared" si="24"/>
        <v/>
      </c>
      <c r="DK45" s="22" t="str">
        <f t="shared" si="24"/>
        <v/>
      </c>
      <c r="DL45" s="22" t="str">
        <f t="shared" si="24"/>
        <v/>
      </c>
      <c r="DM45" s="22">
        <f t="shared" si="16"/>
        <v>0</v>
      </c>
      <c r="DN45" s="36">
        <f t="shared" si="34"/>
        <v>10</v>
      </c>
      <c r="DO45" s="36">
        <f t="shared" si="34"/>
        <v>10</v>
      </c>
      <c r="DP45" s="36">
        <f t="shared" si="34"/>
        <v>10</v>
      </c>
      <c r="DQ45" s="36">
        <f t="shared" si="34"/>
        <v>10</v>
      </c>
      <c r="DR45" s="36">
        <f t="shared" si="34"/>
        <v>10</v>
      </c>
      <c r="DS45" s="36">
        <f t="shared" si="34"/>
        <v>10</v>
      </c>
      <c r="DT45" s="36">
        <f t="shared" si="34"/>
        <v>10</v>
      </c>
      <c r="DU45" s="36">
        <f t="shared" si="34"/>
        <v>10</v>
      </c>
      <c r="DV45" s="36">
        <f t="shared" si="34"/>
        <v>40</v>
      </c>
      <c r="DW45" s="36">
        <f t="shared" si="34"/>
        <v>0</v>
      </c>
      <c r="DX45" s="23">
        <f t="shared" si="34"/>
        <v>9</v>
      </c>
      <c r="DY45" s="23">
        <f t="shared" si="34"/>
        <v>100</v>
      </c>
      <c r="DZ45" s="23">
        <f t="shared" si="34"/>
        <v>100</v>
      </c>
      <c r="EA45" s="23">
        <f t="shared" si="34"/>
        <v>100</v>
      </c>
      <c r="EB45" s="23">
        <f t="shared" si="34"/>
        <v>0</v>
      </c>
      <c r="EC45" s="23">
        <f t="shared" si="34"/>
        <v>0</v>
      </c>
      <c r="ED45" s="23">
        <f t="shared" si="37"/>
        <v>0</v>
      </c>
      <c r="EE45" s="23">
        <f t="shared" si="37"/>
        <v>0</v>
      </c>
      <c r="EF45" s="23">
        <f t="shared" si="37"/>
        <v>0</v>
      </c>
      <c r="EG45" s="23">
        <f t="shared" si="37"/>
        <v>0</v>
      </c>
      <c r="EH45" s="23">
        <f t="shared" si="37"/>
        <v>0</v>
      </c>
      <c r="EI45" s="23">
        <f t="shared" si="37"/>
        <v>3</v>
      </c>
      <c r="EJ45" s="23">
        <f t="shared" si="37"/>
        <v>100</v>
      </c>
    </row>
    <row r="46" spans="1:140" ht="9.9" customHeight="1" x14ac:dyDescent="0.3">
      <c r="A46" s="23">
        <v>37</v>
      </c>
      <c r="B46" s="50" t="str">
        <f>IF(PRELIM!B46="","",PRELIM!B46)</f>
        <v>VILLAVER, JEHAN CEDRIC G.</v>
      </c>
      <c r="C46" s="38" t="s">
        <v>190</v>
      </c>
      <c r="D46" s="38" t="s">
        <v>190</v>
      </c>
      <c r="E46" s="38" t="s">
        <v>190</v>
      </c>
      <c r="F46" s="38" t="s">
        <v>190</v>
      </c>
      <c r="G46" s="38" t="s">
        <v>190</v>
      </c>
      <c r="H46" s="38" t="s">
        <v>190</v>
      </c>
      <c r="I46" s="38"/>
      <c r="J46" s="38" t="s">
        <v>190</v>
      </c>
      <c r="K46" s="38" t="s">
        <v>190</v>
      </c>
      <c r="L46" s="38" t="s">
        <v>190</v>
      </c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9">
        <f t="shared" si="6"/>
        <v>89.090909090909093</v>
      </c>
      <c r="X46" s="38">
        <v>8</v>
      </c>
      <c r="Y46" s="38">
        <v>9</v>
      </c>
      <c r="Z46" s="38">
        <v>5</v>
      </c>
      <c r="AA46" s="38">
        <v>5</v>
      </c>
      <c r="AB46" s="38">
        <v>7</v>
      </c>
      <c r="AC46" s="38">
        <v>3</v>
      </c>
      <c r="AD46" s="38">
        <v>2</v>
      </c>
      <c r="AE46" s="38">
        <v>3</v>
      </c>
      <c r="AF46" s="38">
        <v>22</v>
      </c>
      <c r="AG46" s="38"/>
      <c r="AH46" s="40">
        <f t="shared" si="32"/>
        <v>88</v>
      </c>
      <c r="AI46" s="40">
        <f t="shared" si="32"/>
        <v>94</v>
      </c>
      <c r="AJ46" s="40">
        <f t="shared" si="32"/>
        <v>70</v>
      </c>
      <c r="AK46" s="40">
        <f t="shared" si="32"/>
        <v>70</v>
      </c>
      <c r="AL46" s="40">
        <f t="shared" si="32"/>
        <v>82</v>
      </c>
      <c r="AM46" s="40">
        <f t="shared" si="30"/>
        <v>58</v>
      </c>
      <c r="AN46" s="40">
        <f t="shared" si="30"/>
        <v>52</v>
      </c>
      <c r="AO46" s="40">
        <f t="shared" si="30"/>
        <v>58</v>
      </c>
      <c r="AP46" s="40">
        <f t="shared" si="30"/>
        <v>73</v>
      </c>
      <c r="AQ46" s="40" t="str">
        <f t="shared" si="30"/>
        <v xml:space="preserve"> </v>
      </c>
      <c r="AR46" s="41">
        <f t="shared" si="8"/>
        <v>71.666666666666671</v>
      </c>
      <c r="AS46" s="38">
        <v>100</v>
      </c>
      <c r="AT46" s="38">
        <v>100</v>
      </c>
      <c r="AU46" s="38">
        <v>100</v>
      </c>
      <c r="AV46" s="38"/>
      <c r="AW46" s="38"/>
      <c r="AX46" s="38"/>
      <c r="AY46" s="38"/>
      <c r="AZ46" s="38"/>
      <c r="BA46" s="38"/>
      <c r="BB46" s="38"/>
      <c r="BC46" s="42">
        <f t="shared" si="33"/>
        <v>100</v>
      </c>
      <c r="BD46" s="42">
        <f t="shared" si="33"/>
        <v>100</v>
      </c>
      <c r="BE46" s="42">
        <f t="shared" si="33"/>
        <v>100</v>
      </c>
      <c r="BF46" s="42" t="str">
        <f t="shared" si="33"/>
        <v xml:space="preserve"> </v>
      </c>
      <c r="BG46" s="42" t="str">
        <f t="shared" si="33"/>
        <v xml:space="preserve"> </v>
      </c>
      <c r="BH46" s="42" t="str">
        <f t="shared" si="31"/>
        <v xml:space="preserve"> </v>
      </c>
      <c r="BI46" s="42" t="str">
        <f t="shared" si="31"/>
        <v xml:space="preserve"> </v>
      </c>
      <c r="BJ46" s="42" t="str">
        <f t="shared" si="31"/>
        <v xml:space="preserve"> </v>
      </c>
      <c r="BK46" s="42" t="str">
        <f t="shared" si="31"/>
        <v xml:space="preserve"> </v>
      </c>
      <c r="BL46" s="42" t="str">
        <f t="shared" si="31"/>
        <v xml:space="preserve"> </v>
      </c>
      <c r="BM46" s="43">
        <f t="shared" si="10"/>
        <v>100</v>
      </c>
      <c r="BN46" s="38">
        <v>64</v>
      </c>
      <c r="BO46" s="44">
        <f t="shared" si="11"/>
        <v>78.400000000000006</v>
      </c>
      <c r="BP46" s="20"/>
      <c r="BQ46" s="39">
        <f t="shared" si="20"/>
        <v>80.491212121212129</v>
      </c>
      <c r="BR46" s="23" t="str">
        <f t="shared" si="21"/>
        <v>PASSED</v>
      </c>
      <c r="BS46" s="45"/>
      <c r="BT46" s="46"/>
      <c r="BU46" s="46"/>
      <c r="BV46" s="46"/>
      <c r="BW46" s="21">
        <f t="shared" si="35"/>
        <v>1</v>
      </c>
      <c r="BX46" s="22">
        <f t="shared" si="35"/>
        <v>1</v>
      </c>
      <c r="BY46" s="22">
        <f t="shared" si="35"/>
        <v>1</v>
      </c>
      <c r="BZ46" s="22">
        <f t="shared" si="35"/>
        <v>1</v>
      </c>
      <c r="CA46" s="22">
        <f t="shared" si="35"/>
        <v>1</v>
      </c>
      <c r="CB46" s="22">
        <f t="shared" si="35"/>
        <v>1</v>
      </c>
      <c r="CC46" s="22" t="str">
        <f t="shared" si="35"/>
        <v/>
      </c>
      <c r="CD46" s="22">
        <f t="shared" si="35"/>
        <v>1</v>
      </c>
      <c r="CE46" s="22">
        <f t="shared" si="35"/>
        <v>1</v>
      </c>
      <c r="CF46" s="22">
        <f t="shared" si="35"/>
        <v>1</v>
      </c>
      <c r="CG46" s="22" t="str">
        <f t="shared" si="35"/>
        <v/>
      </c>
      <c r="CH46" s="22" t="str">
        <f t="shared" si="35"/>
        <v/>
      </c>
      <c r="CI46" s="22" t="str">
        <f t="shared" si="35"/>
        <v/>
      </c>
      <c r="CJ46" s="22" t="str">
        <f t="shared" si="35"/>
        <v/>
      </c>
      <c r="CK46" s="22" t="str">
        <f t="shared" si="35"/>
        <v/>
      </c>
      <c r="CL46" s="22" t="str">
        <f t="shared" si="23"/>
        <v/>
      </c>
      <c r="CM46" s="22" t="str">
        <f t="shared" si="23"/>
        <v/>
      </c>
      <c r="CN46" s="22" t="str">
        <f t="shared" si="23"/>
        <v/>
      </c>
      <c r="CO46" s="22" t="str">
        <f t="shared" si="23"/>
        <v/>
      </c>
      <c r="CP46" s="22" t="str">
        <f t="shared" si="23"/>
        <v/>
      </c>
      <c r="CQ46" s="22">
        <f t="shared" si="22"/>
        <v>9</v>
      </c>
      <c r="CR46" s="22">
        <f t="shared" si="3"/>
        <v>11</v>
      </c>
      <c r="CS46" s="22" t="str">
        <f t="shared" si="36"/>
        <v/>
      </c>
      <c r="CT46" s="22" t="str">
        <f t="shared" si="36"/>
        <v/>
      </c>
      <c r="CU46" s="22" t="str">
        <f t="shared" si="36"/>
        <v/>
      </c>
      <c r="CV46" s="22" t="str">
        <f t="shared" si="36"/>
        <v/>
      </c>
      <c r="CW46" s="22" t="str">
        <f t="shared" si="36"/>
        <v/>
      </c>
      <c r="CX46" s="22" t="str">
        <f t="shared" si="36"/>
        <v/>
      </c>
      <c r="CY46" s="22" t="str">
        <f t="shared" si="36"/>
        <v/>
      </c>
      <c r="CZ46" s="22" t="str">
        <f t="shared" si="36"/>
        <v/>
      </c>
      <c r="DA46" s="22" t="str">
        <f t="shared" si="36"/>
        <v/>
      </c>
      <c r="DB46" s="22" t="str">
        <f t="shared" si="36"/>
        <v/>
      </c>
      <c r="DC46" s="22" t="str">
        <f t="shared" si="36"/>
        <v/>
      </c>
      <c r="DD46" s="22" t="str">
        <f t="shared" si="36"/>
        <v/>
      </c>
      <c r="DE46" s="22" t="str">
        <f t="shared" si="36"/>
        <v/>
      </c>
      <c r="DF46" s="22" t="str">
        <f t="shared" si="36"/>
        <v/>
      </c>
      <c r="DG46" s="22" t="str">
        <f t="shared" si="36"/>
        <v/>
      </c>
      <c r="DH46" s="22" t="str">
        <f t="shared" si="24"/>
        <v/>
      </c>
      <c r="DI46" s="22" t="str">
        <f t="shared" si="24"/>
        <v/>
      </c>
      <c r="DJ46" s="22" t="str">
        <f t="shared" si="24"/>
        <v/>
      </c>
      <c r="DK46" s="22" t="str">
        <f t="shared" si="24"/>
        <v/>
      </c>
      <c r="DL46" s="22" t="str">
        <f t="shared" si="24"/>
        <v/>
      </c>
      <c r="DM46" s="22">
        <f t="shared" si="16"/>
        <v>0</v>
      </c>
      <c r="DN46" s="36">
        <f t="shared" si="34"/>
        <v>10</v>
      </c>
      <c r="DO46" s="36">
        <f t="shared" si="34"/>
        <v>10</v>
      </c>
      <c r="DP46" s="36">
        <f t="shared" si="34"/>
        <v>10</v>
      </c>
      <c r="DQ46" s="36">
        <f t="shared" si="34"/>
        <v>10</v>
      </c>
      <c r="DR46" s="36">
        <f t="shared" si="34"/>
        <v>10</v>
      </c>
      <c r="DS46" s="36">
        <f t="shared" si="34"/>
        <v>10</v>
      </c>
      <c r="DT46" s="36">
        <f t="shared" si="34"/>
        <v>10</v>
      </c>
      <c r="DU46" s="36">
        <f t="shared" si="34"/>
        <v>10</v>
      </c>
      <c r="DV46" s="36">
        <f t="shared" si="34"/>
        <v>40</v>
      </c>
      <c r="DW46" s="36">
        <f t="shared" si="34"/>
        <v>0</v>
      </c>
      <c r="DX46" s="23">
        <f t="shared" si="34"/>
        <v>9</v>
      </c>
      <c r="DY46" s="23">
        <f t="shared" si="34"/>
        <v>100</v>
      </c>
      <c r="DZ46" s="23">
        <f t="shared" si="34"/>
        <v>100</v>
      </c>
      <c r="EA46" s="23">
        <f t="shared" si="34"/>
        <v>100</v>
      </c>
      <c r="EB46" s="23">
        <f t="shared" si="34"/>
        <v>0</v>
      </c>
      <c r="EC46" s="23">
        <f t="shared" si="34"/>
        <v>0</v>
      </c>
      <c r="ED46" s="23">
        <f t="shared" si="37"/>
        <v>0</v>
      </c>
      <c r="EE46" s="23">
        <f t="shared" si="37"/>
        <v>0</v>
      </c>
      <c r="EF46" s="23">
        <f t="shared" si="37"/>
        <v>0</v>
      </c>
      <c r="EG46" s="23">
        <f t="shared" si="37"/>
        <v>0</v>
      </c>
      <c r="EH46" s="23">
        <f t="shared" si="37"/>
        <v>0</v>
      </c>
      <c r="EI46" s="23">
        <f t="shared" si="37"/>
        <v>3</v>
      </c>
      <c r="EJ46" s="23">
        <f t="shared" si="37"/>
        <v>100</v>
      </c>
    </row>
    <row r="47" spans="1:140" ht="9.9" customHeight="1" x14ac:dyDescent="0.3">
      <c r="A47" s="23">
        <v>38</v>
      </c>
      <c r="B47" s="50" t="str">
        <f>IF(PRELIM!B47="","",PRELIM!B47)</f>
        <v/>
      </c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9">
        <f t="shared" si="6"/>
        <v>40</v>
      </c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40">
        <f t="shared" si="32"/>
        <v>40</v>
      </c>
      <c r="AI47" s="40">
        <f t="shared" si="32"/>
        <v>40</v>
      </c>
      <c r="AJ47" s="40">
        <f t="shared" si="32"/>
        <v>40</v>
      </c>
      <c r="AK47" s="40">
        <f t="shared" si="32"/>
        <v>40</v>
      </c>
      <c r="AL47" s="40">
        <f t="shared" si="32"/>
        <v>40</v>
      </c>
      <c r="AM47" s="40">
        <f t="shared" si="30"/>
        <v>40</v>
      </c>
      <c r="AN47" s="40">
        <f t="shared" si="30"/>
        <v>40</v>
      </c>
      <c r="AO47" s="40">
        <f t="shared" si="30"/>
        <v>40</v>
      </c>
      <c r="AP47" s="40">
        <f t="shared" si="30"/>
        <v>40</v>
      </c>
      <c r="AQ47" s="40" t="str">
        <f t="shared" si="30"/>
        <v xml:space="preserve"> </v>
      </c>
      <c r="AR47" s="41">
        <f t="shared" si="8"/>
        <v>40</v>
      </c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42">
        <f t="shared" si="33"/>
        <v>40</v>
      </c>
      <c r="BD47" s="42">
        <f t="shared" si="33"/>
        <v>40</v>
      </c>
      <c r="BE47" s="42">
        <f t="shared" si="33"/>
        <v>40</v>
      </c>
      <c r="BF47" s="42" t="str">
        <f t="shared" si="33"/>
        <v xml:space="preserve"> </v>
      </c>
      <c r="BG47" s="42" t="str">
        <f t="shared" si="33"/>
        <v xml:space="preserve"> </v>
      </c>
      <c r="BH47" s="42" t="str">
        <f t="shared" si="31"/>
        <v xml:space="preserve"> </v>
      </c>
      <c r="BI47" s="42" t="str">
        <f t="shared" si="31"/>
        <v xml:space="preserve"> </v>
      </c>
      <c r="BJ47" s="42" t="str">
        <f t="shared" si="31"/>
        <v xml:space="preserve"> </v>
      </c>
      <c r="BK47" s="42" t="str">
        <f t="shared" si="31"/>
        <v xml:space="preserve"> </v>
      </c>
      <c r="BL47" s="42" t="str">
        <f t="shared" si="31"/>
        <v xml:space="preserve"> </v>
      </c>
      <c r="BM47" s="43">
        <f t="shared" si="10"/>
        <v>40</v>
      </c>
      <c r="BN47" s="38"/>
      <c r="BO47" s="44">
        <f t="shared" si="11"/>
        <v>40</v>
      </c>
      <c r="BP47" s="20"/>
      <c r="BQ47" s="39">
        <f t="shared" si="20"/>
        <v>40</v>
      </c>
      <c r="BR47" s="23" t="str">
        <f t="shared" si="21"/>
        <v>FAILED</v>
      </c>
      <c r="BS47" s="45"/>
      <c r="BT47" s="46"/>
      <c r="BU47" s="46"/>
      <c r="BV47" s="46"/>
      <c r="BW47" s="21" t="str">
        <f t="shared" si="35"/>
        <v/>
      </c>
      <c r="BX47" s="22" t="str">
        <f t="shared" si="35"/>
        <v/>
      </c>
      <c r="BY47" s="22" t="str">
        <f t="shared" si="35"/>
        <v/>
      </c>
      <c r="BZ47" s="22" t="str">
        <f t="shared" si="35"/>
        <v/>
      </c>
      <c r="CA47" s="22" t="str">
        <f t="shared" si="35"/>
        <v/>
      </c>
      <c r="CB47" s="22" t="str">
        <f t="shared" si="35"/>
        <v/>
      </c>
      <c r="CC47" s="22" t="str">
        <f t="shared" si="35"/>
        <v/>
      </c>
      <c r="CD47" s="22" t="str">
        <f t="shared" si="35"/>
        <v/>
      </c>
      <c r="CE47" s="22" t="str">
        <f t="shared" si="35"/>
        <v/>
      </c>
      <c r="CF47" s="22" t="str">
        <f t="shared" si="35"/>
        <v/>
      </c>
      <c r="CG47" s="22" t="str">
        <f t="shared" si="35"/>
        <v/>
      </c>
      <c r="CH47" s="22" t="str">
        <f t="shared" si="35"/>
        <v/>
      </c>
      <c r="CI47" s="22" t="str">
        <f t="shared" si="35"/>
        <v/>
      </c>
      <c r="CJ47" s="22" t="str">
        <f t="shared" si="35"/>
        <v/>
      </c>
      <c r="CK47" s="22" t="str">
        <f t="shared" si="35"/>
        <v/>
      </c>
      <c r="CL47" s="22" t="str">
        <f t="shared" si="23"/>
        <v/>
      </c>
      <c r="CM47" s="22" t="str">
        <f t="shared" si="23"/>
        <v/>
      </c>
      <c r="CN47" s="22" t="str">
        <f t="shared" si="23"/>
        <v/>
      </c>
      <c r="CO47" s="22" t="str">
        <f t="shared" si="23"/>
        <v/>
      </c>
      <c r="CP47" s="22" t="str">
        <f t="shared" si="23"/>
        <v/>
      </c>
      <c r="CQ47" s="22">
        <f t="shared" si="22"/>
        <v>0</v>
      </c>
      <c r="CR47" s="22">
        <f t="shared" si="3"/>
        <v>11</v>
      </c>
      <c r="CS47" s="22" t="str">
        <f t="shared" si="36"/>
        <v/>
      </c>
      <c r="CT47" s="22" t="str">
        <f t="shared" si="36"/>
        <v/>
      </c>
      <c r="CU47" s="22" t="str">
        <f t="shared" si="36"/>
        <v/>
      </c>
      <c r="CV47" s="22" t="str">
        <f t="shared" si="36"/>
        <v/>
      </c>
      <c r="CW47" s="22" t="str">
        <f t="shared" si="36"/>
        <v/>
      </c>
      <c r="CX47" s="22" t="str">
        <f t="shared" si="36"/>
        <v/>
      </c>
      <c r="CY47" s="22" t="str">
        <f t="shared" si="36"/>
        <v/>
      </c>
      <c r="CZ47" s="22" t="str">
        <f t="shared" si="36"/>
        <v/>
      </c>
      <c r="DA47" s="22" t="str">
        <f t="shared" si="36"/>
        <v/>
      </c>
      <c r="DB47" s="22" t="str">
        <f t="shared" si="36"/>
        <v/>
      </c>
      <c r="DC47" s="22" t="str">
        <f t="shared" si="36"/>
        <v/>
      </c>
      <c r="DD47" s="22" t="str">
        <f t="shared" si="36"/>
        <v/>
      </c>
      <c r="DE47" s="22" t="str">
        <f t="shared" si="36"/>
        <v/>
      </c>
      <c r="DF47" s="22" t="str">
        <f t="shared" si="36"/>
        <v/>
      </c>
      <c r="DG47" s="22" t="str">
        <f t="shared" si="36"/>
        <v/>
      </c>
      <c r="DH47" s="22" t="str">
        <f t="shared" si="24"/>
        <v/>
      </c>
      <c r="DI47" s="22" t="str">
        <f t="shared" si="24"/>
        <v/>
      </c>
      <c r="DJ47" s="22" t="str">
        <f t="shared" si="24"/>
        <v/>
      </c>
      <c r="DK47" s="22" t="str">
        <f t="shared" si="24"/>
        <v/>
      </c>
      <c r="DL47" s="22" t="str">
        <f t="shared" si="24"/>
        <v/>
      </c>
      <c r="DM47" s="22">
        <f t="shared" si="16"/>
        <v>0</v>
      </c>
      <c r="DN47" s="36">
        <f t="shared" si="34"/>
        <v>10</v>
      </c>
      <c r="DO47" s="36">
        <f t="shared" si="34"/>
        <v>10</v>
      </c>
      <c r="DP47" s="36">
        <f t="shared" si="34"/>
        <v>10</v>
      </c>
      <c r="DQ47" s="36">
        <f t="shared" si="34"/>
        <v>10</v>
      </c>
      <c r="DR47" s="36">
        <f t="shared" si="34"/>
        <v>10</v>
      </c>
      <c r="DS47" s="36">
        <f t="shared" si="34"/>
        <v>10</v>
      </c>
      <c r="DT47" s="36">
        <f t="shared" si="34"/>
        <v>10</v>
      </c>
      <c r="DU47" s="36">
        <f t="shared" si="34"/>
        <v>10</v>
      </c>
      <c r="DV47" s="36">
        <f t="shared" si="34"/>
        <v>40</v>
      </c>
      <c r="DW47" s="36">
        <f t="shared" si="34"/>
        <v>0</v>
      </c>
      <c r="DX47" s="23">
        <f t="shared" si="34"/>
        <v>9</v>
      </c>
      <c r="DY47" s="23">
        <f t="shared" si="34"/>
        <v>100</v>
      </c>
      <c r="DZ47" s="23">
        <f t="shared" si="34"/>
        <v>100</v>
      </c>
      <c r="EA47" s="23">
        <f t="shared" si="34"/>
        <v>100</v>
      </c>
      <c r="EB47" s="23">
        <f t="shared" si="34"/>
        <v>0</v>
      </c>
      <c r="EC47" s="23">
        <f t="shared" si="34"/>
        <v>0</v>
      </c>
      <c r="ED47" s="23">
        <f t="shared" si="37"/>
        <v>0</v>
      </c>
      <c r="EE47" s="23">
        <f t="shared" si="37"/>
        <v>0</v>
      </c>
      <c r="EF47" s="23">
        <f t="shared" si="37"/>
        <v>0</v>
      </c>
      <c r="EG47" s="23">
        <f t="shared" si="37"/>
        <v>0</v>
      </c>
      <c r="EH47" s="23">
        <f t="shared" si="37"/>
        <v>0</v>
      </c>
      <c r="EI47" s="23">
        <f t="shared" si="37"/>
        <v>3</v>
      </c>
      <c r="EJ47" s="23">
        <f t="shared" si="37"/>
        <v>100</v>
      </c>
    </row>
    <row r="48" spans="1:140" ht="9.9" customHeight="1" x14ac:dyDescent="0.3">
      <c r="A48" s="23">
        <v>39</v>
      </c>
      <c r="B48" s="50" t="str">
        <f>IF(PRELIM!B48="","",PRELIM!B48)</f>
        <v/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9">
        <f t="shared" si="6"/>
        <v>40</v>
      </c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40">
        <f t="shared" si="32"/>
        <v>40</v>
      </c>
      <c r="AI48" s="40">
        <f t="shared" si="32"/>
        <v>40</v>
      </c>
      <c r="AJ48" s="40">
        <f t="shared" si="32"/>
        <v>40</v>
      </c>
      <c r="AK48" s="40">
        <f t="shared" si="32"/>
        <v>40</v>
      </c>
      <c r="AL48" s="40">
        <f t="shared" si="32"/>
        <v>40</v>
      </c>
      <c r="AM48" s="40">
        <f t="shared" si="30"/>
        <v>40</v>
      </c>
      <c r="AN48" s="40">
        <f t="shared" si="30"/>
        <v>40</v>
      </c>
      <c r="AO48" s="40">
        <f t="shared" si="30"/>
        <v>40</v>
      </c>
      <c r="AP48" s="40">
        <f t="shared" si="30"/>
        <v>40</v>
      </c>
      <c r="AQ48" s="40" t="str">
        <f t="shared" si="30"/>
        <v xml:space="preserve"> </v>
      </c>
      <c r="AR48" s="41">
        <f t="shared" si="8"/>
        <v>40</v>
      </c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42">
        <f t="shared" si="33"/>
        <v>40</v>
      </c>
      <c r="BD48" s="42">
        <f t="shared" si="33"/>
        <v>40</v>
      </c>
      <c r="BE48" s="42">
        <f t="shared" si="33"/>
        <v>40</v>
      </c>
      <c r="BF48" s="42" t="str">
        <f t="shared" si="33"/>
        <v xml:space="preserve"> </v>
      </c>
      <c r="BG48" s="42" t="str">
        <f t="shared" si="33"/>
        <v xml:space="preserve"> </v>
      </c>
      <c r="BH48" s="42" t="str">
        <f t="shared" si="31"/>
        <v xml:space="preserve"> </v>
      </c>
      <c r="BI48" s="42" t="str">
        <f t="shared" si="31"/>
        <v xml:space="preserve"> </v>
      </c>
      <c r="BJ48" s="42" t="str">
        <f t="shared" si="31"/>
        <v xml:space="preserve"> </v>
      </c>
      <c r="BK48" s="42" t="str">
        <f t="shared" si="31"/>
        <v xml:space="preserve"> </v>
      </c>
      <c r="BL48" s="42" t="str">
        <f t="shared" si="31"/>
        <v xml:space="preserve"> </v>
      </c>
      <c r="BM48" s="43">
        <f t="shared" si="10"/>
        <v>40</v>
      </c>
      <c r="BN48" s="38"/>
      <c r="BO48" s="44">
        <f t="shared" si="11"/>
        <v>40</v>
      </c>
      <c r="BP48" s="20"/>
      <c r="BQ48" s="39">
        <f t="shared" si="20"/>
        <v>40</v>
      </c>
      <c r="BR48" s="23" t="str">
        <f t="shared" si="21"/>
        <v>FAILED</v>
      </c>
      <c r="BS48" s="45"/>
      <c r="BT48" s="46"/>
      <c r="BU48" s="46"/>
      <c r="BV48" s="46"/>
      <c r="BW48" s="21" t="str">
        <f t="shared" si="35"/>
        <v/>
      </c>
      <c r="BX48" s="22" t="str">
        <f t="shared" si="35"/>
        <v/>
      </c>
      <c r="BY48" s="22" t="str">
        <f t="shared" si="35"/>
        <v/>
      </c>
      <c r="BZ48" s="22" t="str">
        <f t="shared" si="35"/>
        <v/>
      </c>
      <c r="CA48" s="22" t="str">
        <f t="shared" si="35"/>
        <v/>
      </c>
      <c r="CB48" s="22" t="str">
        <f t="shared" si="35"/>
        <v/>
      </c>
      <c r="CC48" s="22" t="str">
        <f t="shared" si="35"/>
        <v/>
      </c>
      <c r="CD48" s="22" t="str">
        <f t="shared" si="35"/>
        <v/>
      </c>
      <c r="CE48" s="22" t="str">
        <f t="shared" si="35"/>
        <v/>
      </c>
      <c r="CF48" s="22" t="str">
        <f t="shared" si="35"/>
        <v/>
      </c>
      <c r="CG48" s="22" t="str">
        <f t="shared" si="35"/>
        <v/>
      </c>
      <c r="CH48" s="22" t="str">
        <f t="shared" si="35"/>
        <v/>
      </c>
      <c r="CI48" s="22" t="str">
        <f t="shared" si="35"/>
        <v/>
      </c>
      <c r="CJ48" s="22" t="str">
        <f t="shared" si="35"/>
        <v/>
      </c>
      <c r="CK48" s="22" t="str">
        <f t="shared" si="35"/>
        <v/>
      </c>
      <c r="CL48" s="22" t="str">
        <f t="shared" si="23"/>
        <v/>
      </c>
      <c r="CM48" s="22" t="str">
        <f t="shared" si="23"/>
        <v/>
      </c>
      <c r="CN48" s="22" t="str">
        <f t="shared" si="23"/>
        <v/>
      </c>
      <c r="CO48" s="22" t="str">
        <f t="shared" si="23"/>
        <v/>
      </c>
      <c r="CP48" s="22" t="str">
        <f t="shared" si="23"/>
        <v/>
      </c>
      <c r="CQ48" s="22">
        <f t="shared" si="22"/>
        <v>0</v>
      </c>
      <c r="CR48" s="22">
        <f t="shared" si="3"/>
        <v>11</v>
      </c>
      <c r="CS48" s="22" t="str">
        <f t="shared" si="36"/>
        <v/>
      </c>
      <c r="CT48" s="22" t="str">
        <f t="shared" si="36"/>
        <v/>
      </c>
      <c r="CU48" s="22" t="str">
        <f t="shared" si="36"/>
        <v/>
      </c>
      <c r="CV48" s="22" t="str">
        <f t="shared" si="36"/>
        <v/>
      </c>
      <c r="CW48" s="22" t="str">
        <f t="shared" si="36"/>
        <v/>
      </c>
      <c r="CX48" s="22" t="str">
        <f t="shared" si="36"/>
        <v/>
      </c>
      <c r="CY48" s="22" t="str">
        <f t="shared" si="36"/>
        <v/>
      </c>
      <c r="CZ48" s="22" t="str">
        <f t="shared" si="36"/>
        <v/>
      </c>
      <c r="DA48" s="22" t="str">
        <f t="shared" si="36"/>
        <v/>
      </c>
      <c r="DB48" s="22" t="str">
        <f t="shared" si="36"/>
        <v/>
      </c>
      <c r="DC48" s="22" t="str">
        <f t="shared" si="36"/>
        <v/>
      </c>
      <c r="DD48" s="22" t="str">
        <f t="shared" si="36"/>
        <v/>
      </c>
      <c r="DE48" s="22" t="str">
        <f t="shared" si="36"/>
        <v/>
      </c>
      <c r="DF48" s="22" t="str">
        <f t="shared" si="36"/>
        <v/>
      </c>
      <c r="DG48" s="22" t="str">
        <f t="shared" si="36"/>
        <v/>
      </c>
      <c r="DH48" s="22" t="str">
        <f t="shared" si="24"/>
        <v/>
      </c>
      <c r="DI48" s="22" t="str">
        <f t="shared" si="24"/>
        <v/>
      </c>
      <c r="DJ48" s="22" t="str">
        <f t="shared" si="24"/>
        <v/>
      </c>
      <c r="DK48" s="22" t="str">
        <f t="shared" si="24"/>
        <v/>
      </c>
      <c r="DL48" s="22" t="str">
        <f t="shared" si="24"/>
        <v/>
      </c>
      <c r="DM48" s="22">
        <f t="shared" si="16"/>
        <v>0</v>
      </c>
      <c r="DN48" s="36">
        <f t="shared" si="34"/>
        <v>10</v>
      </c>
      <c r="DO48" s="36">
        <f t="shared" si="34"/>
        <v>10</v>
      </c>
      <c r="DP48" s="36">
        <f t="shared" si="34"/>
        <v>10</v>
      </c>
      <c r="DQ48" s="36">
        <f t="shared" si="34"/>
        <v>10</v>
      </c>
      <c r="DR48" s="36">
        <f t="shared" si="34"/>
        <v>10</v>
      </c>
      <c r="DS48" s="36">
        <f t="shared" si="34"/>
        <v>10</v>
      </c>
      <c r="DT48" s="36">
        <f t="shared" si="34"/>
        <v>10</v>
      </c>
      <c r="DU48" s="36">
        <f t="shared" si="34"/>
        <v>10</v>
      </c>
      <c r="DV48" s="36">
        <f t="shared" si="34"/>
        <v>40</v>
      </c>
      <c r="DW48" s="36">
        <f t="shared" si="34"/>
        <v>0</v>
      </c>
      <c r="DX48" s="23">
        <f t="shared" si="34"/>
        <v>9</v>
      </c>
      <c r="DY48" s="23">
        <f t="shared" si="34"/>
        <v>100</v>
      </c>
      <c r="DZ48" s="23">
        <f t="shared" si="34"/>
        <v>100</v>
      </c>
      <c r="EA48" s="23">
        <f t="shared" si="34"/>
        <v>100</v>
      </c>
      <c r="EB48" s="23">
        <f t="shared" si="34"/>
        <v>0</v>
      </c>
      <c r="EC48" s="23">
        <f t="shared" si="34"/>
        <v>0</v>
      </c>
      <c r="ED48" s="23">
        <f t="shared" si="37"/>
        <v>0</v>
      </c>
      <c r="EE48" s="23">
        <f t="shared" si="37"/>
        <v>0</v>
      </c>
      <c r="EF48" s="23">
        <f t="shared" si="37"/>
        <v>0</v>
      </c>
      <c r="EG48" s="23">
        <f t="shared" si="37"/>
        <v>0</v>
      </c>
      <c r="EH48" s="23">
        <f t="shared" si="37"/>
        <v>0</v>
      </c>
      <c r="EI48" s="23">
        <f t="shared" si="37"/>
        <v>3</v>
      </c>
      <c r="EJ48" s="23">
        <f t="shared" si="37"/>
        <v>100</v>
      </c>
    </row>
    <row r="49" spans="1:140" ht="9.9" customHeight="1" x14ac:dyDescent="0.3">
      <c r="A49" s="23">
        <v>40</v>
      </c>
      <c r="B49" s="50" t="str">
        <f>IF(PRELIM!B49="","",PRELIM!B49)</f>
        <v/>
      </c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9">
        <f t="shared" si="6"/>
        <v>40</v>
      </c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40">
        <f t="shared" si="32"/>
        <v>40</v>
      </c>
      <c r="AI49" s="40">
        <f t="shared" si="32"/>
        <v>40</v>
      </c>
      <c r="AJ49" s="40">
        <f t="shared" si="32"/>
        <v>40</v>
      </c>
      <c r="AK49" s="40">
        <f t="shared" si="32"/>
        <v>40</v>
      </c>
      <c r="AL49" s="40">
        <f t="shared" si="32"/>
        <v>40</v>
      </c>
      <c r="AM49" s="40">
        <f t="shared" si="30"/>
        <v>40</v>
      </c>
      <c r="AN49" s="40">
        <f t="shared" si="30"/>
        <v>40</v>
      </c>
      <c r="AO49" s="40">
        <f t="shared" si="30"/>
        <v>40</v>
      </c>
      <c r="AP49" s="40">
        <f t="shared" si="30"/>
        <v>40</v>
      </c>
      <c r="AQ49" s="40" t="str">
        <f t="shared" si="30"/>
        <v xml:space="preserve"> </v>
      </c>
      <c r="AR49" s="41">
        <f t="shared" si="8"/>
        <v>40</v>
      </c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42">
        <f t="shared" si="33"/>
        <v>40</v>
      </c>
      <c r="BD49" s="42">
        <f t="shared" si="33"/>
        <v>40</v>
      </c>
      <c r="BE49" s="42">
        <f t="shared" si="33"/>
        <v>40</v>
      </c>
      <c r="BF49" s="42" t="str">
        <f t="shared" si="33"/>
        <v xml:space="preserve"> </v>
      </c>
      <c r="BG49" s="42" t="str">
        <f t="shared" si="33"/>
        <v xml:space="preserve"> </v>
      </c>
      <c r="BH49" s="42" t="str">
        <f t="shared" si="31"/>
        <v xml:space="preserve"> </v>
      </c>
      <c r="BI49" s="42" t="str">
        <f t="shared" si="31"/>
        <v xml:space="preserve"> </v>
      </c>
      <c r="BJ49" s="42" t="str">
        <f t="shared" si="31"/>
        <v xml:space="preserve"> </v>
      </c>
      <c r="BK49" s="42" t="str">
        <f t="shared" si="31"/>
        <v xml:space="preserve"> </v>
      </c>
      <c r="BL49" s="42" t="str">
        <f t="shared" si="31"/>
        <v xml:space="preserve"> </v>
      </c>
      <c r="BM49" s="43">
        <f t="shared" si="10"/>
        <v>40</v>
      </c>
      <c r="BN49" s="38"/>
      <c r="BO49" s="44">
        <f t="shared" si="11"/>
        <v>40</v>
      </c>
      <c r="BP49" s="20"/>
      <c r="BQ49" s="39">
        <f t="shared" si="20"/>
        <v>40</v>
      </c>
      <c r="BR49" s="23" t="str">
        <f t="shared" si="21"/>
        <v>FAILED</v>
      </c>
      <c r="BS49" s="45"/>
      <c r="BT49" s="46"/>
      <c r="BU49" s="46"/>
      <c r="BV49" s="46"/>
      <c r="BW49" s="21" t="str">
        <f t="shared" si="35"/>
        <v/>
      </c>
      <c r="BX49" s="22" t="str">
        <f t="shared" si="35"/>
        <v/>
      </c>
      <c r="BY49" s="22" t="str">
        <f t="shared" si="35"/>
        <v/>
      </c>
      <c r="BZ49" s="22" t="str">
        <f t="shared" si="35"/>
        <v/>
      </c>
      <c r="CA49" s="22" t="str">
        <f t="shared" si="35"/>
        <v/>
      </c>
      <c r="CB49" s="22" t="str">
        <f t="shared" si="35"/>
        <v/>
      </c>
      <c r="CC49" s="22" t="str">
        <f t="shared" si="35"/>
        <v/>
      </c>
      <c r="CD49" s="22" t="str">
        <f t="shared" si="35"/>
        <v/>
      </c>
      <c r="CE49" s="22" t="str">
        <f t="shared" si="35"/>
        <v/>
      </c>
      <c r="CF49" s="22" t="str">
        <f t="shared" si="35"/>
        <v/>
      </c>
      <c r="CG49" s="22" t="str">
        <f t="shared" si="35"/>
        <v/>
      </c>
      <c r="CH49" s="22" t="str">
        <f t="shared" si="35"/>
        <v/>
      </c>
      <c r="CI49" s="22" t="str">
        <f t="shared" si="35"/>
        <v/>
      </c>
      <c r="CJ49" s="22" t="str">
        <f t="shared" si="35"/>
        <v/>
      </c>
      <c r="CK49" s="22" t="str">
        <f t="shared" si="35"/>
        <v/>
      </c>
      <c r="CL49" s="22" t="str">
        <f t="shared" si="23"/>
        <v/>
      </c>
      <c r="CM49" s="22" t="str">
        <f t="shared" si="23"/>
        <v/>
      </c>
      <c r="CN49" s="22" t="str">
        <f t="shared" si="23"/>
        <v/>
      </c>
      <c r="CO49" s="22" t="str">
        <f t="shared" si="23"/>
        <v/>
      </c>
      <c r="CP49" s="22" t="str">
        <f t="shared" si="23"/>
        <v/>
      </c>
      <c r="CQ49" s="22">
        <f t="shared" si="22"/>
        <v>0</v>
      </c>
      <c r="CR49" s="22">
        <f t="shared" si="3"/>
        <v>11</v>
      </c>
      <c r="CS49" s="22" t="str">
        <f t="shared" si="36"/>
        <v/>
      </c>
      <c r="CT49" s="22" t="str">
        <f t="shared" si="36"/>
        <v/>
      </c>
      <c r="CU49" s="22" t="str">
        <f t="shared" si="36"/>
        <v/>
      </c>
      <c r="CV49" s="22" t="str">
        <f t="shared" si="36"/>
        <v/>
      </c>
      <c r="CW49" s="22" t="str">
        <f t="shared" si="36"/>
        <v/>
      </c>
      <c r="CX49" s="22" t="str">
        <f t="shared" si="36"/>
        <v/>
      </c>
      <c r="CY49" s="22" t="str">
        <f t="shared" si="36"/>
        <v/>
      </c>
      <c r="CZ49" s="22" t="str">
        <f t="shared" si="36"/>
        <v/>
      </c>
      <c r="DA49" s="22" t="str">
        <f t="shared" si="36"/>
        <v/>
      </c>
      <c r="DB49" s="22" t="str">
        <f t="shared" si="36"/>
        <v/>
      </c>
      <c r="DC49" s="22" t="str">
        <f t="shared" si="36"/>
        <v/>
      </c>
      <c r="DD49" s="22" t="str">
        <f t="shared" si="36"/>
        <v/>
      </c>
      <c r="DE49" s="22" t="str">
        <f t="shared" si="36"/>
        <v/>
      </c>
      <c r="DF49" s="22" t="str">
        <f t="shared" si="36"/>
        <v/>
      </c>
      <c r="DG49" s="22" t="str">
        <f t="shared" si="36"/>
        <v/>
      </c>
      <c r="DH49" s="22" t="str">
        <f t="shared" si="24"/>
        <v/>
      </c>
      <c r="DI49" s="22" t="str">
        <f t="shared" si="24"/>
        <v/>
      </c>
      <c r="DJ49" s="22" t="str">
        <f t="shared" si="24"/>
        <v/>
      </c>
      <c r="DK49" s="22" t="str">
        <f t="shared" si="24"/>
        <v/>
      </c>
      <c r="DL49" s="22" t="str">
        <f t="shared" si="24"/>
        <v/>
      </c>
      <c r="DM49" s="22">
        <f t="shared" si="16"/>
        <v>0</v>
      </c>
      <c r="DN49" s="36">
        <f t="shared" si="34"/>
        <v>10</v>
      </c>
      <c r="DO49" s="36">
        <f t="shared" si="34"/>
        <v>10</v>
      </c>
      <c r="DP49" s="36">
        <f t="shared" si="34"/>
        <v>10</v>
      </c>
      <c r="DQ49" s="36">
        <f t="shared" si="34"/>
        <v>10</v>
      </c>
      <c r="DR49" s="36">
        <f t="shared" si="34"/>
        <v>10</v>
      </c>
      <c r="DS49" s="36">
        <f t="shared" si="34"/>
        <v>10</v>
      </c>
      <c r="DT49" s="36">
        <f t="shared" si="34"/>
        <v>10</v>
      </c>
      <c r="DU49" s="36">
        <f t="shared" si="34"/>
        <v>10</v>
      </c>
      <c r="DV49" s="36">
        <f t="shared" si="34"/>
        <v>40</v>
      </c>
      <c r="DW49" s="36">
        <f t="shared" si="34"/>
        <v>0</v>
      </c>
      <c r="DX49" s="23">
        <f t="shared" si="34"/>
        <v>9</v>
      </c>
      <c r="DY49" s="23">
        <f t="shared" si="34"/>
        <v>100</v>
      </c>
      <c r="DZ49" s="23">
        <f t="shared" si="34"/>
        <v>100</v>
      </c>
      <c r="EA49" s="23">
        <f t="shared" si="34"/>
        <v>100</v>
      </c>
      <c r="EB49" s="23">
        <f t="shared" si="34"/>
        <v>0</v>
      </c>
      <c r="EC49" s="23">
        <f t="shared" si="34"/>
        <v>0</v>
      </c>
      <c r="ED49" s="23">
        <f t="shared" si="37"/>
        <v>0</v>
      </c>
      <c r="EE49" s="23">
        <f t="shared" si="37"/>
        <v>0</v>
      </c>
      <c r="EF49" s="23">
        <f t="shared" si="37"/>
        <v>0</v>
      </c>
      <c r="EG49" s="23">
        <f t="shared" si="37"/>
        <v>0</v>
      </c>
      <c r="EH49" s="23">
        <f t="shared" si="37"/>
        <v>0</v>
      </c>
      <c r="EI49" s="23">
        <f t="shared" si="37"/>
        <v>3</v>
      </c>
      <c r="EJ49" s="23">
        <f t="shared" si="37"/>
        <v>100</v>
      </c>
    </row>
    <row r="50" spans="1:140" ht="9.9" customHeight="1" x14ac:dyDescent="0.3">
      <c r="A50" s="23">
        <v>41</v>
      </c>
      <c r="B50" s="50" t="str">
        <f>IF(PRELIM!B50="","",PRELIM!B50)</f>
        <v/>
      </c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9">
        <f t="shared" si="6"/>
        <v>40</v>
      </c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40">
        <f t="shared" si="32"/>
        <v>40</v>
      </c>
      <c r="AI50" s="40">
        <f t="shared" si="32"/>
        <v>40</v>
      </c>
      <c r="AJ50" s="40">
        <f t="shared" si="32"/>
        <v>40</v>
      </c>
      <c r="AK50" s="40">
        <f t="shared" si="32"/>
        <v>40</v>
      </c>
      <c r="AL50" s="40">
        <f t="shared" si="32"/>
        <v>40</v>
      </c>
      <c r="AM50" s="40">
        <f t="shared" si="30"/>
        <v>40</v>
      </c>
      <c r="AN50" s="40">
        <f t="shared" si="30"/>
        <v>40</v>
      </c>
      <c r="AO50" s="40">
        <f t="shared" si="30"/>
        <v>40</v>
      </c>
      <c r="AP50" s="40">
        <f t="shared" si="30"/>
        <v>40</v>
      </c>
      <c r="AQ50" s="40" t="str">
        <f t="shared" si="30"/>
        <v xml:space="preserve"> </v>
      </c>
      <c r="AR50" s="41">
        <f t="shared" si="8"/>
        <v>40</v>
      </c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42">
        <f t="shared" si="33"/>
        <v>40</v>
      </c>
      <c r="BD50" s="42">
        <f t="shared" si="33"/>
        <v>40</v>
      </c>
      <c r="BE50" s="42">
        <f t="shared" si="33"/>
        <v>40</v>
      </c>
      <c r="BF50" s="42" t="str">
        <f t="shared" si="33"/>
        <v xml:space="preserve"> </v>
      </c>
      <c r="BG50" s="42" t="str">
        <f t="shared" si="33"/>
        <v xml:space="preserve"> </v>
      </c>
      <c r="BH50" s="42" t="str">
        <f t="shared" si="31"/>
        <v xml:space="preserve"> </v>
      </c>
      <c r="BI50" s="42" t="str">
        <f t="shared" si="31"/>
        <v xml:space="preserve"> </v>
      </c>
      <c r="BJ50" s="42" t="str">
        <f t="shared" si="31"/>
        <v xml:space="preserve"> </v>
      </c>
      <c r="BK50" s="42" t="str">
        <f t="shared" si="31"/>
        <v xml:space="preserve"> </v>
      </c>
      <c r="BL50" s="42" t="str">
        <f t="shared" si="31"/>
        <v xml:space="preserve"> </v>
      </c>
      <c r="BM50" s="43">
        <f t="shared" si="10"/>
        <v>40</v>
      </c>
      <c r="BN50" s="38"/>
      <c r="BO50" s="44">
        <f t="shared" si="11"/>
        <v>40</v>
      </c>
      <c r="BP50" s="20"/>
      <c r="BQ50" s="39">
        <f t="shared" si="20"/>
        <v>40</v>
      </c>
      <c r="BR50" s="23" t="str">
        <f t="shared" si="21"/>
        <v>FAILED</v>
      </c>
      <c r="BS50" s="45"/>
      <c r="BT50" s="46"/>
      <c r="BU50" s="46"/>
      <c r="BV50" s="46"/>
      <c r="BW50" s="21" t="str">
        <f t="shared" si="35"/>
        <v/>
      </c>
      <c r="BX50" s="22" t="str">
        <f t="shared" si="35"/>
        <v/>
      </c>
      <c r="BY50" s="22" t="str">
        <f t="shared" si="35"/>
        <v/>
      </c>
      <c r="BZ50" s="22" t="str">
        <f t="shared" si="35"/>
        <v/>
      </c>
      <c r="CA50" s="22" t="str">
        <f t="shared" si="35"/>
        <v/>
      </c>
      <c r="CB50" s="22" t="str">
        <f t="shared" si="35"/>
        <v/>
      </c>
      <c r="CC50" s="22" t="str">
        <f t="shared" si="35"/>
        <v/>
      </c>
      <c r="CD50" s="22" t="str">
        <f t="shared" si="35"/>
        <v/>
      </c>
      <c r="CE50" s="22" t="str">
        <f t="shared" si="35"/>
        <v/>
      </c>
      <c r="CF50" s="22" t="str">
        <f t="shared" si="35"/>
        <v/>
      </c>
      <c r="CG50" s="22" t="str">
        <f t="shared" si="35"/>
        <v/>
      </c>
      <c r="CH50" s="22" t="str">
        <f t="shared" si="35"/>
        <v/>
      </c>
      <c r="CI50" s="22" t="str">
        <f t="shared" si="35"/>
        <v/>
      </c>
      <c r="CJ50" s="22" t="str">
        <f t="shared" si="35"/>
        <v/>
      </c>
      <c r="CK50" s="22" t="str">
        <f t="shared" si="35"/>
        <v/>
      </c>
      <c r="CL50" s="22" t="str">
        <f t="shared" si="23"/>
        <v/>
      </c>
      <c r="CM50" s="22" t="str">
        <f t="shared" si="23"/>
        <v/>
      </c>
      <c r="CN50" s="22" t="str">
        <f t="shared" si="23"/>
        <v/>
      </c>
      <c r="CO50" s="22" t="str">
        <f t="shared" si="23"/>
        <v/>
      </c>
      <c r="CP50" s="22" t="str">
        <f t="shared" si="23"/>
        <v/>
      </c>
      <c r="CQ50" s="22">
        <f t="shared" si="22"/>
        <v>0</v>
      </c>
      <c r="CR50" s="22">
        <f t="shared" si="3"/>
        <v>11</v>
      </c>
      <c r="CS50" s="22" t="str">
        <f t="shared" si="36"/>
        <v/>
      </c>
      <c r="CT50" s="22" t="str">
        <f t="shared" si="36"/>
        <v/>
      </c>
      <c r="CU50" s="22" t="str">
        <f t="shared" si="36"/>
        <v/>
      </c>
      <c r="CV50" s="22" t="str">
        <f t="shared" si="36"/>
        <v/>
      </c>
      <c r="CW50" s="22" t="str">
        <f t="shared" si="36"/>
        <v/>
      </c>
      <c r="CX50" s="22" t="str">
        <f t="shared" si="36"/>
        <v/>
      </c>
      <c r="CY50" s="22" t="str">
        <f t="shared" si="36"/>
        <v/>
      </c>
      <c r="CZ50" s="22" t="str">
        <f t="shared" si="36"/>
        <v/>
      </c>
      <c r="DA50" s="22" t="str">
        <f t="shared" si="36"/>
        <v/>
      </c>
      <c r="DB50" s="22" t="str">
        <f t="shared" si="36"/>
        <v/>
      </c>
      <c r="DC50" s="22" t="str">
        <f t="shared" si="36"/>
        <v/>
      </c>
      <c r="DD50" s="22" t="str">
        <f t="shared" si="36"/>
        <v/>
      </c>
      <c r="DE50" s="22" t="str">
        <f t="shared" si="36"/>
        <v/>
      </c>
      <c r="DF50" s="22" t="str">
        <f t="shared" si="36"/>
        <v/>
      </c>
      <c r="DG50" s="22" t="str">
        <f t="shared" si="36"/>
        <v/>
      </c>
      <c r="DH50" s="22" t="str">
        <f t="shared" si="24"/>
        <v/>
      </c>
      <c r="DI50" s="22" t="str">
        <f t="shared" si="24"/>
        <v/>
      </c>
      <c r="DJ50" s="22" t="str">
        <f t="shared" si="24"/>
        <v/>
      </c>
      <c r="DK50" s="22" t="str">
        <f t="shared" si="24"/>
        <v/>
      </c>
      <c r="DL50" s="22" t="str">
        <f t="shared" si="24"/>
        <v/>
      </c>
      <c r="DM50" s="22">
        <f t="shared" si="16"/>
        <v>0</v>
      </c>
      <c r="DN50" s="36">
        <f t="shared" si="34"/>
        <v>10</v>
      </c>
      <c r="DO50" s="36">
        <f t="shared" si="34"/>
        <v>10</v>
      </c>
      <c r="DP50" s="36">
        <f t="shared" si="34"/>
        <v>10</v>
      </c>
      <c r="DQ50" s="36">
        <f t="shared" si="34"/>
        <v>10</v>
      </c>
      <c r="DR50" s="36">
        <f t="shared" si="34"/>
        <v>10</v>
      </c>
      <c r="DS50" s="36">
        <f t="shared" si="34"/>
        <v>10</v>
      </c>
      <c r="DT50" s="36">
        <f t="shared" si="34"/>
        <v>10</v>
      </c>
      <c r="DU50" s="36">
        <f t="shared" si="34"/>
        <v>10</v>
      </c>
      <c r="DV50" s="36">
        <f t="shared" si="34"/>
        <v>40</v>
      </c>
      <c r="DW50" s="36">
        <f t="shared" si="34"/>
        <v>0</v>
      </c>
      <c r="DX50" s="23">
        <f t="shared" si="34"/>
        <v>9</v>
      </c>
      <c r="DY50" s="23">
        <f t="shared" si="34"/>
        <v>100</v>
      </c>
      <c r="DZ50" s="23">
        <f t="shared" si="34"/>
        <v>100</v>
      </c>
      <c r="EA50" s="23">
        <f t="shared" si="34"/>
        <v>100</v>
      </c>
      <c r="EB50" s="23">
        <f t="shared" si="34"/>
        <v>0</v>
      </c>
      <c r="EC50" s="23">
        <f t="shared" si="34"/>
        <v>0</v>
      </c>
      <c r="ED50" s="23">
        <f t="shared" si="37"/>
        <v>0</v>
      </c>
      <c r="EE50" s="23">
        <f t="shared" si="37"/>
        <v>0</v>
      </c>
      <c r="EF50" s="23">
        <f t="shared" si="37"/>
        <v>0</v>
      </c>
      <c r="EG50" s="23">
        <f t="shared" si="37"/>
        <v>0</v>
      </c>
      <c r="EH50" s="23">
        <f t="shared" si="37"/>
        <v>0</v>
      </c>
      <c r="EI50" s="23">
        <f t="shared" si="37"/>
        <v>3</v>
      </c>
      <c r="EJ50" s="23">
        <f t="shared" si="37"/>
        <v>100</v>
      </c>
    </row>
    <row r="51" spans="1:140" ht="9.9" customHeight="1" x14ac:dyDescent="0.3">
      <c r="A51" s="23">
        <v>42</v>
      </c>
      <c r="B51" s="50" t="str">
        <f>IF(PRELIM!B51="","",PRELIM!B51)</f>
        <v/>
      </c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9">
        <f t="shared" si="6"/>
        <v>40</v>
      </c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40">
        <f t="shared" si="32"/>
        <v>40</v>
      </c>
      <c r="AI51" s="40">
        <f t="shared" si="32"/>
        <v>40</v>
      </c>
      <c r="AJ51" s="40">
        <f t="shared" si="32"/>
        <v>40</v>
      </c>
      <c r="AK51" s="40">
        <f t="shared" si="32"/>
        <v>40</v>
      </c>
      <c r="AL51" s="40">
        <f t="shared" si="32"/>
        <v>40</v>
      </c>
      <c r="AM51" s="40">
        <f t="shared" si="30"/>
        <v>40</v>
      </c>
      <c r="AN51" s="40">
        <f t="shared" si="30"/>
        <v>40</v>
      </c>
      <c r="AO51" s="40">
        <f t="shared" si="30"/>
        <v>40</v>
      </c>
      <c r="AP51" s="40">
        <f t="shared" si="30"/>
        <v>40</v>
      </c>
      <c r="AQ51" s="40" t="str">
        <f t="shared" si="30"/>
        <v xml:space="preserve"> </v>
      </c>
      <c r="AR51" s="41">
        <f t="shared" si="8"/>
        <v>40</v>
      </c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42">
        <f t="shared" si="33"/>
        <v>40</v>
      </c>
      <c r="BD51" s="42">
        <f t="shared" si="33"/>
        <v>40</v>
      </c>
      <c r="BE51" s="42">
        <f t="shared" si="33"/>
        <v>40</v>
      </c>
      <c r="BF51" s="42" t="str">
        <f t="shared" si="33"/>
        <v xml:space="preserve"> </v>
      </c>
      <c r="BG51" s="42" t="str">
        <f t="shared" si="33"/>
        <v xml:space="preserve"> </v>
      </c>
      <c r="BH51" s="42" t="str">
        <f t="shared" si="31"/>
        <v xml:space="preserve"> </v>
      </c>
      <c r="BI51" s="42" t="str">
        <f t="shared" si="31"/>
        <v xml:space="preserve"> </v>
      </c>
      <c r="BJ51" s="42" t="str">
        <f t="shared" si="31"/>
        <v xml:space="preserve"> </v>
      </c>
      <c r="BK51" s="42" t="str">
        <f t="shared" si="31"/>
        <v xml:space="preserve"> </v>
      </c>
      <c r="BL51" s="42" t="str">
        <f t="shared" si="31"/>
        <v xml:space="preserve"> </v>
      </c>
      <c r="BM51" s="43">
        <f t="shared" si="10"/>
        <v>40</v>
      </c>
      <c r="BN51" s="38"/>
      <c r="BO51" s="44">
        <f t="shared" si="11"/>
        <v>40</v>
      </c>
      <c r="BP51" s="20"/>
      <c r="BQ51" s="39">
        <f t="shared" ref="BQ51:BQ59" si="38">(W51*0.05)+(AR51*0.25)+(BM51*0.1)+(BO51*0.6)</f>
        <v>40</v>
      </c>
      <c r="BR51" s="23" t="str">
        <f t="shared" si="21"/>
        <v>FAILED</v>
      </c>
      <c r="BS51" s="45"/>
      <c r="BT51" s="46"/>
      <c r="BU51" s="46"/>
      <c r="BV51" s="46"/>
      <c r="BW51" s="21" t="str">
        <f t="shared" si="35"/>
        <v/>
      </c>
      <c r="BX51" s="22" t="str">
        <f t="shared" si="35"/>
        <v/>
      </c>
      <c r="BY51" s="22" t="str">
        <f t="shared" si="35"/>
        <v/>
      </c>
      <c r="BZ51" s="22" t="str">
        <f t="shared" si="35"/>
        <v/>
      </c>
      <c r="CA51" s="22" t="str">
        <f t="shared" si="35"/>
        <v/>
      </c>
      <c r="CB51" s="22" t="str">
        <f t="shared" si="35"/>
        <v/>
      </c>
      <c r="CC51" s="22" t="str">
        <f t="shared" si="35"/>
        <v/>
      </c>
      <c r="CD51" s="22" t="str">
        <f t="shared" si="35"/>
        <v/>
      </c>
      <c r="CE51" s="22" t="str">
        <f t="shared" si="35"/>
        <v/>
      </c>
      <c r="CF51" s="22" t="str">
        <f t="shared" si="35"/>
        <v/>
      </c>
      <c r="CG51" s="22" t="str">
        <f t="shared" si="35"/>
        <v/>
      </c>
      <c r="CH51" s="22" t="str">
        <f t="shared" si="35"/>
        <v/>
      </c>
      <c r="CI51" s="22" t="str">
        <f t="shared" si="35"/>
        <v/>
      </c>
      <c r="CJ51" s="22" t="str">
        <f t="shared" si="35"/>
        <v/>
      </c>
      <c r="CK51" s="22" t="str">
        <f t="shared" si="35"/>
        <v/>
      </c>
      <c r="CL51" s="22" t="str">
        <f t="shared" si="23"/>
        <v/>
      </c>
      <c r="CM51" s="22" t="str">
        <f t="shared" si="23"/>
        <v/>
      </c>
      <c r="CN51" s="22" t="str">
        <f t="shared" si="23"/>
        <v/>
      </c>
      <c r="CO51" s="22" t="str">
        <f t="shared" si="23"/>
        <v/>
      </c>
      <c r="CP51" s="22" t="str">
        <f t="shared" si="23"/>
        <v/>
      </c>
      <c r="CQ51" s="22">
        <f t="shared" si="22"/>
        <v>0</v>
      </c>
      <c r="CR51" s="22">
        <f t="shared" si="3"/>
        <v>11</v>
      </c>
      <c r="CS51" s="22" t="str">
        <f t="shared" si="36"/>
        <v/>
      </c>
      <c r="CT51" s="22" t="str">
        <f t="shared" si="36"/>
        <v/>
      </c>
      <c r="CU51" s="22" t="str">
        <f t="shared" si="36"/>
        <v/>
      </c>
      <c r="CV51" s="22" t="str">
        <f t="shared" si="36"/>
        <v/>
      </c>
      <c r="CW51" s="22" t="str">
        <f t="shared" si="36"/>
        <v/>
      </c>
      <c r="CX51" s="22" t="str">
        <f t="shared" si="36"/>
        <v/>
      </c>
      <c r="CY51" s="22" t="str">
        <f t="shared" si="36"/>
        <v/>
      </c>
      <c r="CZ51" s="22" t="str">
        <f t="shared" si="36"/>
        <v/>
      </c>
      <c r="DA51" s="22" t="str">
        <f t="shared" si="36"/>
        <v/>
      </c>
      <c r="DB51" s="22" t="str">
        <f t="shared" si="36"/>
        <v/>
      </c>
      <c r="DC51" s="22" t="str">
        <f t="shared" si="36"/>
        <v/>
      </c>
      <c r="DD51" s="22" t="str">
        <f t="shared" si="36"/>
        <v/>
      </c>
      <c r="DE51" s="22" t="str">
        <f t="shared" si="36"/>
        <v/>
      </c>
      <c r="DF51" s="22" t="str">
        <f t="shared" si="36"/>
        <v/>
      </c>
      <c r="DG51" s="22" t="str">
        <f t="shared" si="36"/>
        <v/>
      </c>
      <c r="DH51" s="22" t="str">
        <f t="shared" si="24"/>
        <v/>
      </c>
      <c r="DI51" s="22" t="str">
        <f t="shared" si="24"/>
        <v/>
      </c>
      <c r="DJ51" s="22" t="str">
        <f t="shared" si="24"/>
        <v/>
      </c>
      <c r="DK51" s="22" t="str">
        <f t="shared" si="24"/>
        <v/>
      </c>
      <c r="DL51" s="22" t="str">
        <f t="shared" si="24"/>
        <v/>
      </c>
      <c r="DM51" s="22">
        <f t="shared" si="16"/>
        <v>0</v>
      </c>
      <c r="DN51" s="36">
        <f t="shared" si="34"/>
        <v>10</v>
      </c>
      <c r="DO51" s="36">
        <f t="shared" si="34"/>
        <v>10</v>
      </c>
      <c r="DP51" s="36">
        <f t="shared" si="34"/>
        <v>10</v>
      </c>
      <c r="DQ51" s="36">
        <f t="shared" si="34"/>
        <v>10</v>
      </c>
      <c r="DR51" s="36">
        <f t="shared" si="34"/>
        <v>10</v>
      </c>
      <c r="DS51" s="36">
        <f t="shared" si="34"/>
        <v>10</v>
      </c>
      <c r="DT51" s="36">
        <f t="shared" si="34"/>
        <v>10</v>
      </c>
      <c r="DU51" s="36">
        <f t="shared" si="34"/>
        <v>10</v>
      </c>
      <c r="DV51" s="36">
        <f t="shared" si="34"/>
        <v>40</v>
      </c>
      <c r="DW51" s="36">
        <f t="shared" si="34"/>
        <v>0</v>
      </c>
      <c r="DX51" s="23">
        <f t="shared" si="34"/>
        <v>9</v>
      </c>
      <c r="DY51" s="23">
        <f t="shared" si="34"/>
        <v>100</v>
      </c>
      <c r="DZ51" s="23">
        <f t="shared" si="34"/>
        <v>100</v>
      </c>
      <c r="EA51" s="23">
        <f t="shared" si="34"/>
        <v>100</v>
      </c>
      <c r="EB51" s="23">
        <f t="shared" si="34"/>
        <v>0</v>
      </c>
      <c r="EC51" s="23">
        <f t="shared" si="34"/>
        <v>0</v>
      </c>
      <c r="ED51" s="23">
        <f t="shared" si="37"/>
        <v>0</v>
      </c>
      <c r="EE51" s="23">
        <f t="shared" si="37"/>
        <v>0</v>
      </c>
      <c r="EF51" s="23">
        <f t="shared" si="37"/>
        <v>0</v>
      </c>
      <c r="EG51" s="23">
        <f t="shared" si="37"/>
        <v>0</v>
      </c>
      <c r="EH51" s="23">
        <f t="shared" si="37"/>
        <v>0</v>
      </c>
      <c r="EI51" s="23">
        <f t="shared" si="37"/>
        <v>3</v>
      </c>
      <c r="EJ51" s="23">
        <f t="shared" si="37"/>
        <v>100</v>
      </c>
    </row>
    <row r="52" spans="1:140" ht="9.9" customHeight="1" x14ac:dyDescent="0.3">
      <c r="A52" s="23">
        <v>43</v>
      </c>
      <c r="B52" s="50" t="str">
        <f>IF(PRELIM!B52="","",PRELIM!B52)</f>
        <v/>
      </c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9">
        <f t="shared" si="6"/>
        <v>40</v>
      </c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40">
        <f t="shared" si="32"/>
        <v>40</v>
      </c>
      <c r="AI52" s="40">
        <f t="shared" si="32"/>
        <v>40</v>
      </c>
      <c r="AJ52" s="40">
        <f t="shared" si="32"/>
        <v>40</v>
      </c>
      <c r="AK52" s="40">
        <f t="shared" si="32"/>
        <v>40</v>
      </c>
      <c r="AL52" s="40">
        <f t="shared" si="32"/>
        <v>40</v>
      </c>
      <c r="AM52" s="40">
        <f t="shared" si="30"/>
        <v>40</v>
      </c>
      <c r="AN52" s="40">
        <f t="shared" si="30"/>
        <v>40</v>
      </c>
      <c r="AO52" s="40">
        <f t="shared" si="30"/>
        <v>40</v>
      </c>
      <c r="AP52" s="40">
        <f t="shared" si="30"/>
        <v>40</v>
      </c>
      <c r="AQ52" s="40" t="str">
        <f t="shared" si="30"/>
        <v xml:space="preserve"> </v>
      </c>
      <c r="AR52" s="41">
        <f t="shared" si="8"/>
        <v>40</v>
      </c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42">
        <f t="shared" si="33"/>
        <v>40</v>
      </c>
      <c r="BD52" s="42">
        <f t="shared" si="33"/>
        <v>40</v>
      </c>
      <c r="BE52" s="42">
        <f t="shared" si="33"/>
        <v>40</v>
      </c>
      <c r="BF52" s="42" t="str">
        <f t="shared" si="33"/>
        <v xml:space="preserve"> </v>
      </c>
      <c r="BG52" s="42" t="str">
        <f t="shared" si="33"/>
        <v xml:space="preserve"> </v>
      </c>
      <c r="BH52" s="42" t="str">
        <f t="shared" si="31"/>
        <v xml:space="preserve"> </v>
      </c>
      <c r="BI52" s="42" t="str">
        <f t="shared" si="31"/>
        <v xml:space="preserve"> </v>
      </c>
      <c r="BJ52" s="42" t="str">
        <f t="shared" si="31"/>
        <v xml:space="preserve"> </v>
      </c>
      <c r="BK52" s="42" t="str">
        <f t="shared" si="31"/>
        <v xml:space="preserve"> </v>
      </c>
      <c r="BL52" s="42" t="str">
        <f t="shared" si="31"/>
        <v xml:space="preserve"> </v>
      </c>
      <c r="BM52" s="43">
        <f t="shared" si="10"/>
        <v>40</v>
      </c>
      <c r="BN52" s="38"/>
      <c r="BO52" s="44">
        <f t="shared" si="11"/>
        <v>40</v>
      </c>
      <c r="BP52" s="20"/>
      <c r="BQ52" s="39">
        <f t="shared" si="38"/>
        <v>40</v>
      </c>
      <c r="BR52" s="23" t="str">
        <f t="shared" si="21"/>
        <v>FAILED</v>
      </c>
      <c r="BS52" s="45"/>
      <c r="BT52" s="46"/>
      <c r="BU52" s="46"/>
      <c r="BV52" s="46"/>
      <c r="BW52" s="21" t="str">
        <f t="shared" si="35"/>
        <v/>
      </c>
      <c r="BX52" s="22" t="str">
        <f t="shared" si="35"/>
        <v/>
      </c>
      <c r="BY52" s="22" t="str">
        <f t="shared" si="35"/>
        <v/>
      </c>
      <c r="BZ52" s="22" t="str">
        <f t="shared" si="35"/>
        <v/>
      </c>
      <c r="CA52" s="22" t="str">
        <f t="shared" si="35"/>
        <v/>
      </c>
      <c r="CB52" s="22" t="str">
        <f t="shared" si="35"/>
        <v/>
      </c>
      <c r="CC52" s="22" t="str">
        <f t="shared" si="35"/>
        <v/>
      </c>
      <c r="CD52" s="22" t="str">
        <f t="shared" si="35"/>
        <v/>
      </c>
      <c r="CE52" s="22" t="str">
        <f t="shared" si="35"/>
        <v/>
      </c>
      <c r="CF52" s="22" t="str">
        <f t="shared" si="35"/>
        <v/>
      </c>
      <c r="CG52" s="22" t="str">
        <f t="shared" si="35"/>
        <v/>
      </c>
      <c r="CH52" s="22" t="str">
        <f t="shared" si="35"/>
        <v/>
      </c>
      <c r="CI52" s="22" t="str">
        <f t="shared" si="35"/>
        <v/>
      </c>
      <c r="CJ52" s="22" t="str">
        <f t="shared" si="35"/>
        <v/>
      </c>
      <c r="CK52" s="22" t="str">
        <f t="shared" si="35"/>
        <v/>
      </c>
      <c r="CL52" s="22" t="str">
        <f t="shared" si="23"/>
        <v/>
      </c>
      <c r="CM52" s="22" t="str">
        <f t="shared" si="23"/>
        <v/>
      </c>
      <c r="CN52" s="22" t="str">
        <f t="shared" si="23"/>
        <v/>
      </c>
      <c r="CO52" s="22" t="str">
        <f t="shared" si="23"/>
        <v/>
      </c>
      <c r="CP52" s="22" t="str">
        <f t="shared" si="23"/>
        <v/>
      </c>
      <c r="CQ52" s="22">
        <f t="shared" si="22"/>
        <v>0</v>
      </c>
      <c r="CR52" s="22">
        <f t="shared" si="3"/>
        <v>11</v>
      </c>
      <c r="CS52" s="22" t="str">
        <f t="shared" si="36"/>
        <v/>
      </c>
      <c r="CT52" s="22" t="str">
        <f t="shared" si="36"/>
        <v/>
      </c>
      <c r="CU52" s="22" t="str">
        <f t="shared" si="36"/>
        <v/>
      </c>
      <c r="CV52" s="22" t="str">
        <f t="shared" si="36"/>
        <v/>
      </c>
      <c r="CW52" s="22" t="str">
        <f t="shared" si="36"/>
        <v/>
      </c>
      <c r="CX52" s="22" t="str">
        <f t="shared" si="36"/>
        <v/>
      </c>
      <c r="CY52" s="22" t="str">
        <f t="shared" si="36"/>
        <v/>
      </c>
      <c r="CZ52" s="22" t="str">
        <f t="shared" si="36"/>
        <v/>
      </c>
      <c r="DA52" s="22" t="str">
        <f t="shared" si="36"/>
        <v/>
      </c>
      <c r="DB52" s="22" t="str">
        <f t="shared" si="36"/>
        <v/>
      </c>
      <c r="DC52" s="22" t="str">
        <f t="shared" si="36"/>
        <v/>
      </c>
      <c r="DD52" s="22" t="str">
        <f t="shared" si="36"/>
        <v/>
      </c>
      <c r="DE52" s="22" t="str">
        <f t="shared" si="36"/>
        <v/>
      </c>
      <c r="DF52" s="22" t="str">
        <f t="shared" si="36"/>
        <v/>
      </c>
      <c r="DG52" s="22" t="str">
        <f t="shared" si="36"/>
        <v/>
      </c>
      <c r="DH52" s="22" t="str">
        <f t="shared" si="24"/>
        <v/>
      </c>
      <c r="DI52" s="22" t="str">
        <f t="shared" si="24"/>
        <v/>
      </c>
      <c r="DJ52" s="22" t="str">
        <f t="shared" si="24"/>
        <v/>
      </c>
      <c r="DK52" s="22" t="str">
        <f t="shared" si="24"/>
        <v/>
      </c>
      <c r="DL52" s="22" t="str">
        <f t="shared" si="24"/>
        <v/>
      </c>
      <c r="DM52" s="22">
        <f t="shared" si="16"/>
        <v>0</v>
      </c>
      <c r="DN52" s="36">
        <f t="shared" si="34"/>
        <v>10</v>
      </c>
      <c r="DO52" s="36">
        <f t="shared" si="34"/>
        <v>10</v>
      </c>
      <c r="DP52" s="36">
        <f t="shared" si="34"/>
        <v>10</v>
      </c>
      <c r="DQ52" s="36">
        <f t="shared" si="34"/>
        <v>10</v>
      </c>
      <c r="DR52" s="36">
        <f t="shared" si="34"/>
        <v>10</v>
      </c>
      <c r="DS52" s="36">
        <f t="shared" si="34"/>
        <v>10</v>
      </c>
      <c r="DT52" s="36">
        <f t="shared" si="34"/>
        <v>10</v>
      </c>
      <c r="DU52" s="36">
        <f t="shared" si="34"/>
        <v>10</v>
      </c>
      <c r="DV52" s="36">
        <f t="shared" si="34"/>
        <v>40</v>
      </c>
      <c r="DW52" s="36">
        <f t="shared" si="34"/>
        <v>0</v>
      </c>
      <c r="DX52" s="23">
        <f t="shared" si="34"/>
        <v>9</v>
      </c>
      <c r="DY52" s="23">
        <f t="shared" si="34"/>
        <v>100</v>
      </c>
      <c r="DZ52" s="23">
        <f t="shared" si="34"/>
        <v>100</v>
      </c>
      <c r="EA52" s="23">
        <f t="shared" si="34"/>
        <v>100</v>
      </c>
      <c r="EB52" s="23">
        <f t="shared" si="34"/>
        <v>0</v>
      </c>
      <c r="EC52" s="23">
        <f t="shared" si="34"/>
        <v>0</v>
      </c>
      <c r="ED52" s="23">
        <f t="shared" si="37"/>
        <v>0</v>
      </c>
      <c r="EE52" s="23">
        <f t="shared" si="37"/>
        <v>0</v>
      </c>
      <c r="EF52" s="23">
        <f t="shared" si="37"/>
        <v>0</v>
      </c>
      <c r="EG52" s="23">
        <f t="shared" si="37"/>
        <v>0</v>
      </c>
      <c r="EH52" s="23">
        <f t="shared" si="37"/>
        <v>0</v>
      </c>
      <c r="EI52" s="23">
        <f t="shared" si="37"/>
        <v>3</v>
      </c>
      <c r="EJ52" s="23">
        <f t="shared" si="37"/>
        <v>100</v>
      </c>
    </row>
    <row r="53" spans="1:140" ht="9.9" customHeight="1" x14ac:dyDescent="0.3">
      <c r="A53" s="23">
        <v>44</v>
      </c>
      <c r="B53" s="50" t="str">
        <f>IF(PRELIM!B53="","",PRELIM!B53)</f>
        <v/>
      </c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9">
        <f t="shared" si="6"/>
        <v>40</v>
      </c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40">
        <f t="shared" si="32"/>
        <v>40</v>
      </c>
      <c r="AI53" s="40">
        <f t="shared" si="32"/>
        <v>40</v>
      </c>
      <c r="AJ53" s="40">
        <f t="shared" si="32"/>
        <v>40</v>
      </c>
      <c r="AK53" s="40">
        <f t="shared" si="32"/>
        <v>40</v>
      </c>
      <c r="AL53" s="40">
        <f t="shared" si="32"/>
        <v>40</v>
      </c>
      <c r="AM53" s="40">
        <f t="shared" si="30"/>
        <v>40</v>
      </c>
      <c r="AN53" s="40">
        <f t="shared" si="30"/>
        <v>40</v>
      </c>
      <c r="AO53" s="40">
        <f t="shared" si="30"/>
        <v>40</v>
      </c>
      <c r="AP53" s="40">
        <f t="shared" si="30"/>
        <v>40</v>
      </c>
      <c r="AQ53" s="40" t="str">
        <f t="shared" si="30"/>
        <v xml:space="preserve"> </v>
      </c>
      <c r="AR53" s="41">
        <f t="shared" si="8"/>
        <v>40</v>
      </c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42">
        <f t="shared" si="33"/>
        <v>40</v>
      </c>
      <c r="BD53" s="42">
        <f t="shared" si="33"/>
        <v>40</v>
      </c>
      <c r="BE53" s="42">
        <f t="shared" si="33"/>
        <v>40</v>
      </c>
      <c r="BF53" s="42" t="str">
        <f t="shared" si="33"/>
        <v xml:space="preserve"> </v>
      </c>
      <c r="BG53" s="42" t="str">
        <f t="shared" si="33"/>
        <v xml:space="preserve"> </v>
      </c>
      <c r="BH53" s="42" t="str">
        <f t="shared" si="31"/>
        <v xml:space="preserve"> </v>
      </c>
      <c r="BI53" s="42" t="str">
        <f t="shared" si="31"/>
        <v xml:space="preserve"> </v>
      </c>
      <c r="BJ53" s="42" t="str">
        <f t="shared" si="31"/>
        <v xml:space="preserve"> </v>
      </c>
      <c r="BK53" s="42" t="str">
        <f t="shared" si="31"/>
        <v xml:space="preserve"> </v>
      </c>
      <c r="BL53" s="42" t="str">
        <f t="shared" si="31"/>
        <v xml:space="preserve"> </v>
      </c>
      <c r="BM53" s="43">
        <f t="shared" si="10"/>
        <v>40</v>
      </c>
      <c r="BN53" s="38"/>
      <c r="BO53" s="44">
        <f t="shared" si="11"/>
        <v>40</v>
      </c>
      <c r="BP53" s="20"/>
      <c r="BQ53" s="39">
        <f t="shared" si="38"/>
        <v>40</v>
      </c>
      <c r="BR53" s="23" t="str">
        <f t="shared" si="21"/>
        <v>FAILED</v>
      </c>
      <c r="BS53" s="45"/>
      <c r="BT53" s="46"/>
      <c r="BU53" s="46"/>
      <c r="BV53" s="46"/>
      <c r="BW53" s="21" t="str">
        <f t="shared" si="35"/>
        <v/>
      </c>
      <c r="BX53" s="22" t="str">
        <f t="shared" si="35"/>
        <v/>
      </c>
      <c r="BY53" s="22" t="str">
        <f t="shared" si="35"/>
        <v/>
      </c>
      <c r="BZ53" s="22" t="str">
        <f t="shared" si="35"/>
        <v/>
      </c>
      <c r="CA53" s="22" t="str">
        <f t="shared" si="35"/>
        <v/>
      </c>
      <c r="CB53" s="22" t="str">
        <f t="shared" si="35"/>
        <v/>
      </c>
      <c r="CC53" s="22" t="str">
        <f t="shared" si="35"/>
        <v/>
      </c>
      <c r="CD53" s="22" t="str">
        <f t="shared" si="35"/>
        <v/>
      </c>
      <c r="CE53" s="22" t="str">
        <f t="shared" si="35"/>
        <v/>
      </c>
      <c r="CF53" s="22" t="str">
        <f t="shared" si="35"/>
        <v/>
      </c>
      <c r="CG53" s="22" t="str">
        <f t="shared" si="35"/>
        <v/>
      </c>
      <c r="CH53" s="22" t="str">
        <f t="shared" si="35"/>
        <v/>
      </c>
      <c r="CI53" s="22" t="str">
        <f t="shared" si="35"/>
        <v/>
      </c>
      <c r="CJ53" s="22" t="str">
        <f t="shared" si="35"/>
        <v/>
      </c>
      <c r="CK53" s="22" t="str">
        <f t="shared" si="35"/>
        <v/>
      </c>
      <c r="CL53" s="22" t="str">
        <f t="shared" si="23"/>
        <v/>
      </c>
      <c r="CM53" s="22" t="str">
        <f t="shared" si="23"/>
        <v/>
      </c>
      <c r="CN53" s="22" t="str">
        <f t="shared" si="23"/>
        <v/>
      </c>
      <c r="CO53" s="22" t="str">
        <f t="shared" si="23"/>
        <v/>
      </c>
      <c r="CP53" s="22" t="str">
        <f t="shared" si="23"/>
        <v/>
      </c>
      <c r="CQ53" s="22">
        <f t="shared" si="22"/>
        <v>0</v>
      </c>
      <c r="CR53" s="22">
        <f t="shared" si="3"/>
        <v>11</v>
      </c>
      <c r="CS53" s="22" t="str">
        <f t="shared" si="36"/>
        <v/>
      </c>
      <c r="CT53" s="22" t="str">
        <f t="shared" si="36"/>
        <v/>
      </c>
      <c r="CU53" s="22" t="str">
        <f t="shared" si="36"/>
        <v/>
      </c>
      <c r="CV53" s="22" t="str">
        <f t="shared" si="36"/>
        <v/>
      </c>
      <c r="CW53" s="22" t="str">
        <f t="shared" si="36"/>
        <v/>
      </c>
      <c r="CX53" s="22" t="str">
        <f t="shared" si="36"/>
        <v/>
      </c>
      <c r="CY53" s="22" t="str">
        <f t="shared" si="36"/>
        <v/>
      </c>
      <c r="CZ53" s="22" t="str">
        <f t="shared" si="36"/>
        <v/>
      </c>
      <c r="DA53" s="22" t="str">
        <f t="shared" si="36"/>
        <v/>
      </c>
      <c r="DB53" s="22" t="str">
        <f t="shared" si="36"/>
        <v/>
      </c>
      <c r="DC53" s="22" t="str">
        <f t="shared" si="36"/>
        <v/>
      </c>
      <c r="DD53" s="22" t="str">
        <f t="shared" si="36"/>
        <v/>
      </c>
      <c r="DE53" s="22" t="str">
        <f t="shared" si="36"/>
        <v/>
      </c>
      <c r="DF53" s="22" t="str">
        <f t="shared" si="36"/>
        <v/>
      </c>
      <c r="DG53" s="22" t="str">
        <f t="shared" si="36"/>
        <v/>
      </c>
      <c r="DH53" s="22" t="str">
        <f t="shared" si="24"/>
        <v/>
      </c>
      <c r="DI53" s="22" t="str">
        <f t="shared" si="24"/>
        <v/>
      </c>
      <c r="DJ53" s="22" t="str">
        <f t="shared" si="24"/>
        <v/>
      </c>
      <c r="DK53" s="22" t="str">
        <f t="shared" si="24"/>
        <v/>
      </c>
      <c r="DL53" s="22" t="str">
        <f t="shared" si="24"/>
        <v/>
      </c>
      <c r="DM53" s="22">
        <f t="shared" si="16"/>
        <v>0</v>
      </c>
      <c r="DN53" s="36">
        <f t="shared" si="34"/>
        <v>10</v>
      </c>
      <c r="DO53" s="36">
        <f t="shared" si="34"/>
        <v>10</v>
      </c>
      <c r="DP53" s="36">
        <f t="shared" si="34"/>
        <v>10</v>
      </c>
      <c r="DQ53" s="36">
        <f t="shared" si="34"/>
        <v>10</v>
      </c>
      <c r="DR53" s="36">
        <f t="shared" si="34"/>
        <v>10</v>
      </c>
      <c r="DS53" s="36">
        <f t="shared" si="34"/>
        <v>10</v>
      </c>
      <c r="DT53" s="36">
        <f t="shared" si="34"/>
        <v>10</v>
      </c>
      <c r="DU53" s="36">
        <f t="shared" si="34"/>
        <v>10</v>
      </c>
      <c r="DV53" s="36">
        <f t="shared" si="34"/>
        <v>40</v>
      </c>
      <c r="DW53" s="36">
        <f t="shared" si="34"/>
        <v>0</v>
      </c>
      <c r="DX53" s="23">
        <f t="shared" si="34"/>
        <v>9</v>
      </c>
      <c r="DY53" s="23">
        <f t="shared" si="34"/>
        <v>100</v>
      </c>
      <c r="DZ53" s="23">
        <f t="shared" si="34"/>
        <v>100</v>
      </c>
      <c r="EA53" s="23">
        <f t="shared" si="34"/>
        <v>100</v>
      </c>
      <c r="EB53" s="23">
        <f t="shared" si="34"/>
        <v>0</v>
      </c>
      <c r="EC53" s="23">
        <f t="shared" si="34"/>
        <v>0</v>
      </c>
      <c r="ED53" s="23">
        <f t="shared" si="37"/>
        <v>0</v>
      </c>
      <c r="EE53" s="23">
        <f t="shared" si="37"/>
        <v>0</v>
      </c>
      <c r="EF53" s="23">
        <f t="shared" si="37"/>
        <v>0</v>
      </c>
      <c r="EG53" s="23">
        <f t="shared" si="37"/>
        <v>0</v>
      </c>
      <c r="EH53" s="23">
        <f t="shared" si="37"/>
        <v>0</v>
      </c>
      <c r="EI53" s="23">
        <f t="shared" si="37"/>
        <v>3</v>
      </c>
      <c r="EJ53" s="23">
        <f t="shared" si="37"/>
        <v>100</v>
      </c>
    </row>
    <row r="54" spans="1:140" ht="9.9" customHeight="1" x14ac:dyDescent="0.3">
      <c r="A54" s="23">
        <v>45</v>
      </c>
      <c r="B54" s="50" t="str">
        <f>IF(PRELIM!B54="","",PRELIM!B54)</f>
        <v/>
      </c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9">
        <f t="shared" si="6"/>
        <v>40</v>
      </c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40">
        <f t="shared" si="32"/>
        <v>40</v>
      </c>
      <c r="AI54" s="40">
        <f t="shared" si="32"/>
        <v>40</v>
      </c>
      <c r="AJ54" s="40">
        <f t="shared" si="32"/>
        <v>40</v>
      </c>
      <c r="AK54" s="40">
        <f t="shared" si="32"/>
        <v>40</v>
      </c>
      <c r="AL54" s="40">
        <f t="shared" si="32"/>
        <v>40</v>
      </c>
      <c r="AM54" s="40">
        <f t="shared" si="30"/>
        <v>40</v>
      </c>
      <c r="AN54" s="40">
        <f t="shared" si="30"/>
        <v>40</v>
      </c>
      <c r="AO54" s="40">
        <f t="shared" si="30"/>
        <v>40</v>
      </c>
      <c r="AP54" s="40">
        <f t="shared" si="30"/>
        <v>40</v>
      </c>
      <c r="AQ54" s="40" t="str">
        <f t="shared" si="30"/>
        <v xml:space="preserve"> </v>
      </c>
      <c r="AR54" s="41">
        <f t="shared" si="8"/>
        <v>40</v>
      </c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42">
        <f t="shared" si="33"/>
        <v>40</v>
      </c>
      <c r="BD54" s="42">
        <f t="shared" si="33"/>
        <v>40</v>
      </c>
      <c r="BE54" s="42">
        <f t="shared" si="33"/>
        <v>40</v>
      </c>
      <c r="BF54" s="42" t="str">
        <f t="shared" si="33"/>
        <v xml:space="preserve"> </v>
      </c>
      <c r="BG54" s="42" t="str">
        <f t="shared" si="33"/>
        <v xml:space="preserve"> </v>
      </c>
      <c r="BH54" s="42" t="str">
        <f t="shared" si="31"/>
        <v xml:space="preserve"> </v>
      </c>
      <c r="BI54" s="42" t="str">
        <f t="shared" si="31"/>
        <v xml:space="preserve"> </v>
      </c>
      <c r="BJ54" s="42" t="str">
        <f t="shared" si="31"/>
        <v xml:space="preserve"> </v>
      </c>
      <c r="BK54" s="42" t="str">
        <f t="shared" si="31"/>
        <v xml:space="preserve"> </v>
      </c>
      <c r="BL54" s="42" t="str">
        <f t="shared" si="31"/>
        <v xml:space="preserve"> </v>
      </c>
      <c r="BM54" s="43">
        <f t="shared" si="10"/>
        <v>40</v>
      </c>
      <c r="BN54" s="38"/>
      <c r="BO54" s="44">
        <f t="shared" si="11"/>
        <v>40</v>
      </c>
      <c r="BP54" s="20"/>
      <c r="BQ54" s="39">
        <f t="shared" si="38"/>
        <v>40</v>
      </c>
      <c r="BR54" s="23" t="str">
        <f t="shared" si="21"/>
        <v>FAILED</v>
      </c>
      <c r="BS54" s="45"/>
      <c r="BT54" s="46"/>
      <c r="BU54" s="46"/>
      <c r="BV54" s="46"/>
      <c r="BW54" s="21" t="str">
        <f t="shared" si="35"/>
        <v/>
      </c>
      <c r="BX54" s="22" t="str">
        <f t="shared" si="35"/>
        <v/>
      </c>
      <c r="BY54" s="22" t="str">
        <f t="shared" si="35"/>
        <v/>
      </c>
      <c r="BZ54" s="22" t="str">
        <f t="shared" si="35"/>
        <v/>
      </c>
      <c r="CA54" s="22" t="str">
        <f t="shared" si="35"/>
        <v/>
      </c>
      <c r="CB54" s="22" t="str">
        <f t="shared" si="35"/>
        <v/>
      </c>
      <c r="CC54" s="22" t="str">
        <f t="shared" si="35"/>
        <v/>
      </c>
      <c r="CD54" s="22" t="str">
        <f t="shared" si="35"/>
        <v/>
      </c>
      <c r="CE54" s="22" t="str">
        <f t="shared" si="35"/>
        <v/>
      </c>
      <c r="CF54" s="22" t="str">
        <f t="shared" si="35"/>
        <v/>
      </c>
      <c r="CG54" s="22" t="str">
        <f t="shared" si="35"/>
        <v/>
      </c>
      <c r="CH54" s="22" t="str">
        <f t="shared" si="35"/>
        <v/>
      </c>
      <c r="CI54" s="22" t="str">
        <f t="shared" si="35"/>
        <v/>
      </c>
      <c r="CJ54" s="22" t="str">
        <f t="shared" si="35"/>
        <v/>
      </c>
      <c r="CK54" s="22" t="str">
        <f t="shared" si="35"/>
        <v/>
      </c>
      <c r="CL54" s="22" t="str">
        <f t="shared" si="23"/>
        <v/>
      </c>
      <c r="CM54" s="22" t="str">
        <f t="shared" si="23"/>
        <v/>
      </c>
      <c r="CN54" s="22" t="str">
        <f t="shared" si="23"/>
        <v/>
      </c>
      <c r="CO54" s="22" t="str">
        <f t="shared" si="23"/>
        <v/>
      </c>
      <c r="CP54" s="22" t="str">
        <f t="shared" si="23"/>
        <v/>
      </c>
      <c r="CQ54" s="22">
        <f t="shared" si="22"/>
        <v>0</v>
      </c>
      <c r="CR54" s="22">
        <f t="shared" si="3"/>
        <v>11</v>
      </c>
      <c r="CS54" s="22" t="str">
        <f t="shared" si="36"/>
        <v/>
      </c>
      <c r="CT54" s="22" t="str">
        <f t="shared" si="36"/>
        <v/>
      </c>
      <c r="CU54" s="22" t="str">
        <f t="shared" si="36"/>
        <v/>
      </c>
      <c r="CV54" s="22" t="str">
        <f t="shared" si="36"/>
        <v/>
      </c>
      <c r="CW54" s="22" t="str">
        <f t="shared" si="36"/>
        <v/>
      </c>
      <c r="CX54" s="22" t="str">
        <f t="shared" si="36"/>
        <v/>
      </c>
      <c r="CY54" s="22" t="str">
        <f t="shared" si="36"/>
        <v/>
      </c>
      <c r="CZ54" s="22" t="str">
        <f t="shared" si="36"/>
        <v/>
      </c>
      <c r="DA54" s="22" t="str">
        <f t="shared" si="36"/>
        <v/>
      </c>
      <c r="DB54" s="22" t="str">
        <f t="shared" si="36"/>
        <v/>
      </c>
      <c r="DC54" s="22" t="str">
        <f t="shared" si="36"/>
        <v/>
      </c>
      <c r="DD54" s="22" t="str">
        <f t="shared" si="36"/>
        <v/>
      </c>
      <c r="DE54" s="22" t="str">
        <f t="shared" si="36"/>
        <v/>
      </c>
      <c r="DF54" s="22" t="str">
        <f t="shared" si="36"/>
        <v/>
      </c>
      <c r="DG54" s="22" t="str">
        <f t="shared" si="36"/>
        <v/>
      </c>
      <c r="DH54" s="22" t="str">
        <f t="shared" si="24"/>
        <v/>
      </c>
      <c r="DI54" s="22" t="str">
        <f t="shared" si="24"/>
        <v/>
      </c>
      <c r="DJ54" s="22" t="str">
        <f t="shared" si="24"/>
        <v/>
      </c>
      <c r="DK54" s="22" t="str">
        <f t="shared" si="24"/>
        <v/>
      </c>
      <c r="DL54" s="22" t="str">
        <f t="shared" si="24"/>
        <v/>
      </c>
      <c r="DM54" s="22">
        <f t="shared" si="16"/>
        <v>0</v>
      </c>
      <c r="DN54" s="36">
        <f t="shared" si="34"/>
        <v>10</v>
      </c>
      <c r="DO54" s="36">
        <f t="shared" si="34"/>
        <v>10</v>
      </c>
      <c r="DP54" s="36">
        <f t="shared" si="34"/>
        <v>10</v>
      </c>
      <c r="DQ54" s="36">
        <f t="shared" si="34"/>
        <v>10</v>
      </c>
      <c r="DR54" s="36">
        <f t="shared" si="34"/>
        <v>10</v>
      </c>
      <c r="DS54" s="36">
        <f t="shared" si="34"/>
        <v>10</v>
      </c>
      <c r="DT54" s="36">
        <f t="shared" si="34"/>
        <v>10</v>
      </c>
      <c r="DU54" s="36">
        <f t="shared" si="34"/>
        <v>10</v>
      </c>
      <c r="DV54" s="36">
        <f t="shared" si="34"/>
        <v>40</v>
      </c>
      <c r="DW54" s="36">
        <f t="shared" si="34"/>
        <v>0</v>
      </c>
      <c r="DX54" s="23">
        <f t="shared" si="34"/>
        <v>9</v>
      </c>
      <c r="DY54" s="23">
        <f t="shared" si="34"/>
        <v>100</v>
      </c>
      <c r="DZ54" s="23">
        <f t="shared" si="34"/>
        <v>100</v>
      </c>
      <c r="EA54" s="23">
        <f t="shared" si="34"/>
        <v>100</v>
      </c>
      <c r="EB54" s="23">
        <f t="shared" si="34"/>
        <v>0</v>
      </c>
      <c r="EC54" s="23">
        <f t="shared" si="34"/>
        <v>0</v>
      </c>
      <c r="ED54" s="23">
        <f t="shared" si="37"/>
        <v>0</v>
      </c>
      <c r="EE54" s="23">
        <f t="shared" si="37"/>
        <v>0</v>
      </c>
      <c r="EF54" s="23">
        <f t="shared" si="37"/>
        <v>0</v>
      </c>
      <c r="EG54" s="23">
        <f t="shared" si="37"/>
        <v>0</v>
      </c>
      <c r="EH54" s="23">
        <f t="shared" si="37"/>
        <v>0</v>
      </c>
      <c r="EI54" s="23">
        <f t="shared" si="37"/>
        <v>3</v>
      </c>
      <c r="EJ54" s="23">
        <f t="shared" si="37"/>
        <v>100</v>
      </c>
    </row>
    <row r="55" spans="1:140" ht="9.9" customHeight="1" x14ac:dyDescent="0.3">
      <c r="A55" s="23">
        <v>46</v>
      </c>
      <c r="B55" s="50" t="str">
        <f>IF(PRELIM!B55="","",PRELIM!B55)</f>
        <v/>
      </c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9">
        <f t="shared" si="6"/>
        <v>40</v>
      </c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40">
        <f t="shared" si="32"/>
        <v>40</v>
      </c>
      <c r="AI55" s="40">
        <f t="shared" si="32"/>
        <v>40</v>
      </c>
      <c r="AJ55" s="40">
        <f t="shared" si="32"/>
        <v>40</v>
      </c>
      <c r="AK55" s="40">
        <f t="shared" si="32"/>
        <v>40</v>
      </c>
      <c r="AL55" s="40">
        <f t="shared" si="32"/>
        <v>40</v>
      </c>
      <c r="AM55" s="40">
        <f t="shared" si="30"/>
        <v>40</v>
      </c>
      <c r="AN55" s="40">
        <f t="shared" si="30"/>
        <v>40</v>
      </c>
      <c r="AO55" s="40">
        <f t="shared" si="30"/>
        <v>40</v>
      </c>
      <c r="AP55" s="40">
        <f t="shared" si="30"/>
        <v>40</v>
      </c>
      <c r="AQ55" s="40" t="str">
        <f t="shared" si="30"/>
        <v xml:space="preserve"> </v>
      </c>
      <c r="AR55" s="41">
        <f t="shared" si="8"/>
        <v>40</v>
      </c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42">
        <f t="shared" si="33"/>
        <v>40</v>
      </c>
      <c r="BD55" s="42">
        <f t="shared" si="33"/>
        <v>40</v>
      </c>
      <c r="BE55" s="42">
        <f t="shared" si="33"/>
        <v>40</v>
      </c>
      <c r="BF55" s="42" t="str">
        <f t="shared" si="33"/>
        <v xml:space="preserve"> </v>
      </c>
      <c r="BG55" s="42" t="str">
        <f t="shared" si="33"/>
        <v xml:space="preserve"> </v>
      </c>
      <c r="BH55" s="42" t="str">
        <f t="shared" si="31"/>
        <v xml:space="preserve"> </v>
      </c>
      <c r="BI55" s="42" t="str">
        <f t="shared" si="31"/>
        <v xml:space="preserve"> </v>
      </c>
      <c r="BJ55" s="42" t="str">
        <f t="shared" si="31"/>
        <v xml:space="preserve"> </v>
      </c>
      <c r="BK55" s="42" t="str">
        <f t="shared" si="31"/>
        <v xml:space="preserve"> </v>
      </c>
      <c r="BL55" s="42" t="str">
        <f t="shared" si="31"/>
        <v xml:space="preserve"> </v>
      </c>
      <c r="BM55" s="43">
        <f t="shared" si="10"/>
        <v>40</v>
      </c>
      <c r="BN55" s="38"/>
      <c r="BO55" s="44">
        <f t="shared" si="11"/>
        <v>40</v>
      </c>
      <c r="BP55" s="20"/>
      <c r="BQ55" s="39">
        <f t="shared" si="38"/>
        <v>40</v>
      </c>
      <c r="BR55" s="23" t="str">
        <f t="shared" si="21"/>
        <v>FAILED</v>
      </c>
      <c r="BS55" s="45"/>
      <c r="BT55" s="46"/>
      <c r="BU55" s="46"/>
      <c r="BV55" s="46"/>
      <c r="BW55" s="21" t="str">
        <f t="shared" si="35"/>
        <v/>
      </c>
      <c r="BX55" s="22" t="str">
        <f t="shared" si="35"/>
        <v/>
      </c>
      <c r="BY55" s="22" t="str">
        <f t="shared" si="35"/>
        <v/>
      </c>
      <c r="BZ55" s="22" t="str">
        <f t="shared" si="35"/>
        <v/>
      </c>
      <c r="CA55" s="22" t="str">
        <f t="shared" si="35"/>
        <v/>
      </c>
      <c r="CB55" s="22" t="str">
        <f t="shared" si="35"/>
        <v/>
      </c>
      <c r="CC55" s="22" t="str">
        <f t="shared" si="35"/>
        <v/>
      </c>
      <c r="CD55" s="22" t="str">
        <f t="shared" si="35"/>
        <v/>
      </c>
      <c r="CE55" s="22" t="str">
        <f t="shared" si="35"/>
        <v/>
      </c>
      <c r="CF55" s="22" t="str">
        <f t="shared" si="35"/>
        <v/>
      </c>
      <c r="CG55" s="22" t="str">
        <f t="shared" si="35"/>
        <v/>
      </c>
      <c r="CH55" s="22" t="str">
        <f t="shared" si="35"/>
        <v/>
      </c>
      <c r="CI55" s="22" t="str">
        <f t="shared" si="35"/>
        <v/>
      </c>
      <c r="CJ55" s="22" t="str">
        <f t="shared" si="35"/>
        <v/>
      </c>
      <c r="CK55" s="22" t="str">
        <f t="shared" si="35"/>
        <v/>
      </c>
      <c r="CL55" s="22" t="str">
        <f t="shared" si="23"/>
        <v/>
      </c>
      <c r="CM55" s="22" t="str">
        <f t="shared" si="23"/>
        <v/>
      </c>
      <c r="CN55" s="22" t="str">
        <f t="shared" si="23"/>
        <v/>
      </c>
      <c r="CO55" s="22" t="str">
        <f t="shared" si="23"/>
        <v/>
      </c>
      <c r="CP55" s="22" t="str">
        <f t="shared" si="23"/>
        <v/>
      </c>
      <c r="CQ55" s="22">
        <f t="shared" si="22"/>
        <v>0</v>
      </c>
      <c r="CR55" s="22">
        <f t="shared" si="3"/>
        <v>11</v>
      </c>
      <c r="CS55" s="22" t="str">
        <f t="shared" si="36"/>
        <v/>
      </c>
      <c r="CT55" s="22" t="str">
        <f t="shared" si="36"/>
        <v/>
      </c>
      <c r="CU55" s="22" t="str">
        <f t="shared" si="36"/>
        <v/>
      </c>
      <c r="CV55" s="22" t="str">
        <f t="shared" si="36"/>
        <v/>
      </c>
      <c r="CW55" s="22" t="str">
        <f t="shared" si="36"/>
        <v/>
      </c>
      <c r="CX55" s="22" t="str">
        <f t="shared" si="36"/>
        <v/>
      </c>
      <c r="CY55" s="22" t="str">
        <f t="shared" si="36"/>
        <v/>
      </c>
      <c r="CZ55" s="22" t="str">
        <f t="shared" si="36"/>
        <v/>
      </c>
      <c r="DA55" s="22" t="str">
        <f t="shared" si="36"/>
        <v/>
      </c>
      <c r="DB55" s="22" t="str">
        <f t="shared" si="36"/>
        <v/>
      </c>
      <c r="DC55" s="22" t="str">
        <f t="shared" si="36"/>
        <v/>
      </c>
      <c r="DD55" s="22" t="str">
        <f t="shared" si="36"/>
        <v/>
      </c>
      <c r="DE55" s="22" t="str">
        <f t="shared" si="36"/>
        <v/>
      </c>
      <c r="DF55" s="22" t="str">
        <f t="shared" si="36"/>
        <v/>
      </c>
      <c r="DG55" s="22" t="str">
        <f t="shared" si="36"/>
        <v/>
      </c>
      <c r="DH55" s="22" t="str">
        <f t="shared" si="24"/>
        <v/>
      </c>
      <c r="DI55" s="22" t="str">
        <f t="shared" si="24"/>
        <v/>
      </c>
      <c r="DJ55" s="22" t="str">
        <f t="shared" si="24"/>
        <v/>
      </c>
      <c r="DK55" s="22" t="str">
        <f t="shared" si="24"/>
        <v/>
      </c>
      <c r="DL55" s="22" t="str">
        <f t="shared" si="24"/>
        <v/>
      </c>
      <c r="DM55" s="22">
        <f t="shared" si="16"/>
        <v>0</v>
      </c>
      <c r="DN55" s="36">
        <f t="shared" si="34"/>
        <v>10</v>
      </c>
      <c r="DO55" s="36">
        <f t="shared" si="34"/>
        <v>10</v>
      </c>
      <c r="DP55" s="36">
        <f t="shared" si="34"/>
        <v>10</v>
      </c>
      <c r="DQ55" s="36">
        <f t="shared" si="34"/>
        <v>10</v>
      </c>
      <c r="DR55" s="36">
        <f t="shared" si="34"/>
        <v>10</v>
      </c>
      <c r="DS55" s="36">
        <f t="shared" si="34"/>
        <v>10</v>
      </c>
      <c r="DT55" s="36">
        <f t="shared" si="34"/>
        <v>10</v>
      </c>
      <c r="DU55" s="36">
        <f t="shared" si="34"/>
        <v>10</v>
      </c>
      <c r="DV55" s="36">
        <f t="shared" si="34"/>
        <v>40</v>
      </c>
      <c r="DW55" s="36">
        <f t="shared" si="34"/>
        <v>0</v>
      </c>
      <c r="DX55" s="23">
        <f t="shared" si="34"/>
        <v>9</v>
      </c>
      <c r="DY55" s="23">
        <f t="shared" si="34"/>
        <v>100</v>
      </c>
      <c r="DZ55" s="23">
        <f t="shared" si="34"/>
        <v>100</v>
      </c>
      <c r="EA55" s="23">
        <f t="shared" si="34"/>
        <v>100</v>
      </c>
      <c r="EB55" s="23">
        <f t="shared" si="34"/>
        <v>0</v>
      </c>
      <c r="EC55" s="23">
        <f t="shared" si="34"/>
        <v>0</v>
      </c>
      <c r="ED55" s="23">
        <f t="shared" si="37"/>
        <v>0</v>
      </c>
      <c r="EE55" s="23">
        <f t="shared" si="37"/>
        <v>0</v>
      </c>
      <c r="EF55" s="23">
        <f t="shared" si="37"/>
        <v>0</v>
      </c>
      <c r="EG55" s="23">
        <f t="shared" si="37"/>
        <v>0</v>
      </c>
      <c r="EH55" s="23">
        <f t="shared" si="37"/>
        <v>0</v>
      </c>
      <c r="EI55" s="23">
        <f t="shared" si="37"/>
        <v>3</v>
      </c>
      <c r="EJ55" s="23">
        <f t="shared" si="37"/>
        <v>100</v>
      </c>
    </row>
    <row r="56" spans="1:140" ht="9.9" customHeight="1" x14ac:dyDescent="0.3">
      <c r="A56" s="23">
        <v>47</v>
      </c>
      <c r="B56" s="50" t="str">
        <f>IF(PRELIM!B56="","",PRELIM!B56)</f>
        <v/>
      </c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9">
        <f t="shared" si="6"/>
        <v>40</v>
      </c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40">
        <f t="shared" si="32"/>
        <v>40</v>
      </c>
      <c r="AI56" s="40">
        <f t="shared" si="32"/>
        <v>40</v>
      </c>
      <c r="AJ56" s="40">
        <f t="shared" si="32"/>
        <v>40</v>
      </c>
      <c r="AK56" s="40">
        <f t="shared" si="32"/>
        <v>40</v>
      </c>
      <c r="AL56" s="40">
        <f t="shared" si="32"/>
        <v>40</v>
      </c>
      <c r="AM56" s="40">
        <f t="shared" si="30"/>
        <v>40</v>
      </c>
      <c r="AN56" s="40">
        <f t="shared" si="30"/>
        <v>40</v>
      </c>
      <c r="AO56" s="40">
        <f t="shared" si="30"/>
        <v>40</v>
      </c>
      <c r="AP56" s="40">
        <f t="shared" si="30"/>
        <v>40</v>
      </c>
      <c r="AQ56" s="40" t="str">
        <f t="shared" si="30"/>
        <v xml:space="preserve"> </v>
      </c>
      <c r="AR56" s="41">
        <f t="shared" si="8"/>
        <v>40</v>
      </c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42">
        <f t="shared" si="33"/>
        <v>40</v>
      </c>
      <c r="BD56" s="42">
        <f t="shared" si="33"/>
        <v>40</v>
      </c>
      <c r="BE56" s="42">
        <f t="shared" si="33"/>
        <v>40</v>
      </c>
      <c r="BF56" s="42" t="str">
        <f t="shared" si="33"/>
        <v xml:space="preserve"> </v>
      </c>
      <c r="BG56" s="42" t="str">
        <f t="shared" si="33"/>
        <v xml:space="preserve"> </v>
      </c>
      <c r="BH56" s="42" t="str">
        <f t="shared" si="31"/>
        <v xml:space="preserve"> </v>
      </c>
      <c r="BI56" s="42" t="str">
        <f t="shared" si="31"/>
        <v xml:space="preserve"> </v>
      </c>
      <c r="BJ56" s="42" t="str">
        <f t="shared" si="31"/>
        <v xml:space="preserve"> </v>
      </c>
      <c r="BK56" s="42" t="str">
        <f t="shared" si="31"/>
        <v xml:space="preserve"> </v>
      </c>
      <c r="BL56" s="42" t="str">
        <f t="shared" si="31"/>
        <v xml:space="preserve"> </v>
      </c>
      <c r="BM56" s="43">
        <f t="shared" si="10"/>
        <v>40</v>
      </c>
      <c r="BN56" s="38"/>
      <c r="BO56" s="44">
        <f t="shared" si="11"/>
        <v>40</v>
      </c>
      <c r="BP56" s="20"/>
      <c r="BQ56" s="39">
        <f t="shared" si="38"/>
        <v>40</v>
      </c>
      <c r="BR56" s="23" t="str">
        <f t="shared" si="21"/>
        <v>FAILED</v>
      </c>
      <c r="BS56" s="45"/>
      <c r="BT56" s="46"/>
      <c r="BU56" s="46"/>
      <c r="BV56" s="46"/>
      <c r="BW56" s="21" t="str">
        <f t="shared" si="35"/>
        <v/>
      </c>
      <c r="BX56" s="22" t="str">
        <f t="shared" si="35"/>
        <v/>
      </c>
      <c r="BY56" s="22" t="str">
        <f t="shared" si="35"/>
        <v/>
      </c>
      <c r="BZ56" s="22" t="str">
        <f t="shared" si="35"/>
        <v/>
      </c>
      <c r="CA56" s="22" t="str">
        <f t="shared" si="35"/>
        <v/>
      </c>
      <c r="CB56" s="22" t="str">
        <f t="shared" si="35"/>
        <v/>
      </c>
      <c r="CC56" s="22" t="str">
        <f t="shared" si="35"/>
        <v/>
      </c>
      <c r="CD56" s="22" t="str">
        <f t="shared" si="35"/>
        <v/>
      </c>
      <c r="CE56" s="22" t="str">
        <f t="shared" si="35"/>
        <v/>
      </c>
      <c r="CF56" s="22" t="str">
        <f t="shared" si="35"/>
        <v/>
      </c>
      <c r="CG56" s="22" t="str">
        <f t="shared" si="35"/>
        <v/>
      </c>
      <c r="CH56" s="22" t="str">
        <f t="shared" si="35"/>
        <v/>
      </c>
      <c r="CI56" s="22" t="str">
        <f t="shared" si="35"/>
        <v/>
      </c>
      <c r="CJ56" s="22" t="str">
        <f t="shared" si="35"/>
        <v/>
      </c>
      <c r="CK56" s="22" t="str">
        <f t="shared" si="35"/>
        <v/>
      </c>
      <c r="CL56" s="22" t="str">
        <f t="shared" si="23"/>
        <v/>
      </c>
      <c r="CM56" s="22" t="str">
        <f t="shared" si="23"/>
        <v/>
      </c>
      <c r="CN56" s="22" t="str">
        <f t="shared" si="23"/>
        <v/>
      </c>
      <c r="CO56" s="22" t="str">
        <f t="shared" si="23"/>
        <v/>
      </c>
      <c r="CP56" s="22" t="str">
        <f t="shared" si="23"/>
        <v/>
      </c>
      <c r="CQ56" s="22">
        <f t="shared" si="22"/>
        <v>0</v>
      </c>
      <c r="CR56" s="22">
        <f t="shared" si="3"/>
        <v>11</v>
      </c>
      <c r="CS56" s="22" t="str">
        <f t="shared" si="36"/>
        <v/>
      </c>
      <c r="CT56" s="22" t="str">
        <f t="shared" si="36"/>
        <v/>
      </c>
      <c r="CU56" s="22" t="str">
        <f t="shared" si="36"/>
        <v/>
      </c>
      <c r="CV56" s="22" t="str">
        <f t="shared" si="36"/>
        <v/>
      </c>
      <c r="CW56" s="22" t="str">
        <f t="shared" si="36"/>
        <v/>
      </c>
      <c r="CX56" s="22" t="str">
        <f t="shared" si="36"/>
        <v/>
      </c>
      <c r="CY56" s="22" t="str">
        <f t="shared" si="36"/>
        <v/>
      </c>
      <c r="CZ56" s="22" t="str">
        <f t="shared" si="36"/>
        <v/>
      </c>
      <c r="DA56" s="22" t="str">
        <f t="shared" si="36"/>
        <v/>
      </c>
      <c r="DB56" s="22" t="str">
        <f t="shared" si="36"/>
        <v/>
      </c>
      <c r="DC56" s="22" t="str">
        <f t="shared" si="36"/>
        <v/>
      </c>
      <c r="DD56" s="22" t="str">
        <f t="shared" si="36"/>
        <v/>
      </c>
      <c r="DE56" s="22" t="str">
        <f t="shared" si="36"/>
        <v/>
      </c>
      <c r="DF56" s="22" t="str">
        <f t="shared" si="36"/>
        <v/>
      </c>
      <c r="DG56" s="22" t="str">
        <f t="shared" si="36"/>
        <v/>
      </c>
      <c r="DH56" s="22" t="str">
        <f t="shared" si="24"/>
        <v/>
      </c>
      <c r="DI56" s="22" t="str">
        <f t="shared" si="24"/>
        <v/>
      </c>
      <c r="DJ56" s="22" t="str">
        <f t="shared" si="24"/>
        <v/>
      </c>
      <c r="DK56" s="22" t="str">
        <f t="shared" si="24"/>
        <v/>
      </c>
      <c r="DL56" s="22" t="str">
        <f t="shared" si="24"/>
        <v/>
      </c>
      <c r="DM56" s="22">
        <f t="shared" si="16"/>
        <v>0</v>
      </c>
      <c r="DN56" s="36">
        <f t="shared" si="34"/>
        <v>10</v>
      </c>
      <c r="DO56" s="36">
        <f t="shared" si="34"/>
        <v>10</v>
      </c>
      <c r="DP56" s="36">
        <f t="shared" si="34"/>
        <v>10</v>
      </c>
      <c r="DQ56" s="36">
        <f t="shared" si="34"/>
        <v>10</v>
      </c>
      <c r="DR56" s="36">
        <f t="shared" si="34"/>
        <v>10</v>
      </c>
      <c r="DS56" s="36">
        <f t="shared" si="34"/>
        <v>10</v>
      </c>
      <c r="DT56" s="36">
        <f t="shared" si="34"/>
        <v>10</v>
      </c>
      <c r="DU56" s="36">
        <f t="shared" si="34"/>
        <v>10</v>
      </c>
      <c r="DV56" s="36">
        <f t="shared" si="34"/>
        <v>40</v>
      </c>
      <c r="DW56" s="36">
        <f t="shared" si="34"/>
        <v>0</v>
      </c>
      <c r="DX56" s="23">
        <f t="shared" si="34"/>
        <v>9</v>
      </c>
      <c r="DY56" s="23">
        <f t="shared" si="34"/>
        <v>100</v>
      </c>
      <c r="DZ56" s="23">
        <f t="shared" si="34"/>
        <v>100</v>
      </c>
      <c r="EA56" s="23">
        <f t="shared" si="34"/>
        <v>100</v>
      </c>
      <c r="EB56" s="23">
        <f t="shared" si="34"/>
        <v>0</v>
      </c>
      <c r="EC56" s="23">
        <f t="shared" si="34"/>
        <v>0</v>
      </c>
      <c r="ED56" s="23">
        <f t="shared" si="37"/>
        <v>0</v>
      </c>
      <c r="EE56" s="23">
        <f t="shared" si="37"/>
        <v>0</v>
      </c>
      <c r="EF56" s="23">
        <f t="shared" si="37"/>
        <v>0</v>
      </c>
      <c r="EG56" s="23">
        <f t="shared" si="37"/>
        <v>0</v>
      </c>
      <c r="EH56" s="23">
        <f t="shared" si="37"/>
        <v>0</v>
      </c>
      <c r="EI56" s="23">
        <f t="shared" si="37"/>
        <v>3</v>
      </c>
      <c r="EJ56" s="23">
        <f t="shared" si="37"/>
        <v>100</v>
      </c>
    </row>
    <row r="57" spans="1:140" ht="9.9" customHeight="1" x14ac:dyDescent="0.3">
      <c r="A57" s="23">
        <v>48</v>
      </c>
      <c r="B57" s="50" t="str">
        <f>IF(PRELIM!B57="","",PRELIM!B57)</f>
        <v/>
      </c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9">
        <f t="shared" si="6"/>
        <v>40</v>
      </c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40">
        <f t="shared" si="32"/>
        <v>40</v>
      </c>
      <c r="AI57" s="40">
        <f t="shared" si="32"/>
        <v>40</v>
      </c>
      <c r="AJ57" s="40">
        <f t="shared" si="32"/>
        <v>40</v>
      </c>
      <c r="AK57" s="40">
        <f t="shared" si="32"/>
        <v>40</v>
      </c>
      <c r="AL57" s="40">
        <f t="shared" si="32"/>
        <v>40</v>
      </c>
      <c r="AM57" s="40">
        <f t="shared" si="30"/>
        <v>40</v>
      </c>
      <c r="AN57" s="40">
        <f t="shared" si="30"/>
        <v>40</v>
      </c>
      <c r="AO57" s="40">
        <f t="shared" si="30"/>
        <v>40</v>
      </c>
      <c r="AP57" s="40">
        <f t="shared" si="30"/>
        <v>40</v>
      </c>
      <c r="AQ57" s="40" t="str">
        <f t="shared" si="30"/>
        <v xml:space="preserve"> </v>
      </c>
      <c r="AR57" s="41">
        <f t="shared" si="8"/>
        <v>40</v>
      </c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42">
        <f t="shared" si="33"/>
        <v>40</v>
      </c>
      <c r="BD57" s="42">
        <f t="shared" si="33"/>
        <v>40</v>
      </c>
      <c r="BE57" s="42">
        <f t="shared" si="33"/>
        <v>40</v>
      </c>
      <c r="BF57" s="42" t="str">
        <f t="shared" si="33"/>
        <v xml:space="preserve"> </v>
      </c>
      <c r="BG57" s="42" t="str">
        <f t="shared" si="33"/>
        <v xml:space="preserve"> </v>
      </c>
      <c r="BH57" s="42" t="str">
        <f t="shared" si="31"/>
        <v xml:space="preserve"> </v>
      </c>
      <c r="BI57" s="42" t="str">
        <f t="shared" si="31"/>
        <v xml:space="preserve"> </v>
      </c>
      <c r="BJ57" s="42" t="str">
        <f t="shared" si="31"/>
        <v xml:space="preserve"> </v>
      </c>
      <c r="BK57" s="42" t="str">
        <f t="shared" si="31"/>
        <v xml:space="preserve"> </v>
      </c>
      <c r="BL57" s="42" t="str">
        <f t="shared" si="31"/>
        <v xml:space="preserve"> </v>
      </c>
      <c r="BM57" s="43">
        <f t="shared" si="10"/>
        <v>40</v>
      </c>
      <c r="BN57" s="38"/>
      <c r="BO57" s="44">
        <f t="shared" si="11"/>
        <v>40</v>
      </c>
      <c r="BP57" s="20"/>
      <c r="BQ57" s="39">
        <f t="shared" si="38"/>
        <v>40</v>
      </c>
      <c r="BR57" s="23" t="str">
        <f t="shared" si="21"/>
        <v>FAILED</v>
      </c>
      <c r="BS57" s="45"/>
      <c r="BT57" s="46"/>
      <c r="BU57" s="46"/>
      <c r="BV57" s="46"/>
      <c r="BW57" s="21" t="str">
        <f t="shared" si="35"/>
        <v/>
      </c>
      <c r="BX57" s="22" t="str">
        <f t="shared" si="35"/>
        <v/>
      </c>
      <c r="BY57" s="22" t="str">
        <f t="shared" si="35"/>
        <v/>
      </c>
      <c r="BZ57" s="22" t="str">
        <f t="shared" si="35"/>
        <v/>
      </c>
      <c r="CA57" s="22" t="str">
        <f t="shared" si="35"/>
        <v/>
      </c>
      <c r="CB57" s="22" t="str">
        <f t="shared" si="35"/>
        <v/>
      </c>
      <c r="CC57" s="22" t="str">
        <f t="shared" si="35"/>
        <v/>
      </c>
      <c r="CD57" s="22" t="str">
        <f t="shared" si="35"/>
        <v/>
      </c>
      <c r="CE57" s="22" t="str">
        <f t="shared" si="35"/>
        <v/>
      </c>
      <c r="CF57" s="22" t="str">
        <f t="shared" si="35"/>
        <v/>
      </c>
      <c r="CG57" s="22" t="str">
        <f t="shared" si="35"/>
        <v/>
      </c>
      <c r="CH57" s="22" t="str">
        <f t="shared" si="35"/>
        <v/>
      </c>
      <c r="CI57" s="22" t="str">
        <f t="shared" si="35"/>
        <v/>
      </c>
      <c r="CJ57" s="22" t="str">
        <f t="shared" si="35"/>
        <v/>
      </c>
      <c r="CK57" s="22" t="str">
        <f t="shared" si="35"/>
        <v/>
      </c>
      <c r="CL57" s="22" t="str">
        <f t="shared" si="35"/>
        <v/>
      </c>
      <c r="CM57" s="22" t="str">
        <f t="shared" ref="CM57:CP59" si="39">IF(S57="P",1,IF(S57="L",1,""))</f>
        <v/>
      </c>
      <c r="CN57" s="22" t="str">
        <f t="shared" si="39"/>
        <v/>
      </c>
      <c r="CO57" s="22" t="str">
        <f t="shared" si="39"/>
        <v/>
      </c>
      <c r="CP57" s="22" t="str">
        <f t="shared" si="39"/>
        <v/>
      </c>
      <c r="CQ57" s="22">
        <f t="shared" si="22"/>
        <v>0</v>
      </c>
      <c r="CR57" s="22">
        <f t="shared" si="3"/>
        <v>11</v>
      </c>
      <c r="CS57" s="22" t="str">
        <f t="shared" si="36"/>
        <v/>
      </c>
      <c r="CT57" s="22" t="str">
        <f t="shared" si="36"/>
        <v/>
      </c>
      <c r="CU57" s="22" t="str">
        <f t="shared" si="36"/>
        <v/>
      </c>
      <c r="CV57" s="22" t="str">
        <f t="shared" si="36"/>
        <v/>
      </c>
      <c r="CW57" s="22" t="str">
        <f t="shared" si="36"/>
        <v/>
      </c>
      <c r="CX57" s="22" t="str">
        <f t="shared" si="36"/>
        <v/>
      </c>
      <c r="CY57" s="22" t="str">
        <f t="shared" si="36"/>
        <v/>
      </c>
      <c r="CZ57" s="22" t="str">
        <f t="shared" si="36"/>
        <v/>
      </c>
      <c r="DA57" s="22" t="str">
        <f t="shared" si="36"/>
        <v/>
      </c>
      <c r="DB57" s="22" t="str">
        <f t="shared" si="36"/>
        <v/>
      </c>
      <c r="DC57" s="22" t="str">
        <f t="shared" si="36"/>
        <v/>
      </c>
      <c r="DD57" s="22" t="str">
        <f t="shared" si="36"/>
        <v/>
      </c>
      <c r="DE57" s="22" t="str">
        <f t="shared" si="36"/>
        <v/>
      </c>
      <c r="DF57" s="22" t="str">
        <f t="shared" si="36"/>
        <v/>
      </c>
      <c r="DG57" s="22" t="str">
        <f t="shared" si="36"/>
        <v/>
      </c>
      <c r="DH57" s="22" t="str">
        <f t="shared" si="36"/>
        <v/>
      </c>
      <c r="DI57" s="22" t="str">
        <f t="shared" ref="DI57:DL59" si="40">IF(S57="l",1,"")</f>
        <v/>
      </c>
      <c r="DJ57" s="22" t="str">
        <f t="shared" si="40"/>
        <v/>
      </c>
      <c r="DK57" s="22" t="str">
        <f t="shared" si="40"/>
        <v/>
      </c>
      <c r="DL57" s="22" t="str">
        <f t="shared" si="40"/>
        <v/>
      </c>
      <c r="DM57" s="22">
        <f t="shared" si="16"/>
        <v>0</v>
      </c>
      <c r="DN57" s="36">
        <f t="shared" si="34"/>
        <v>10</v>
      </c>
      <c r="DO57" s="36">
        <f t="shared" si="34"/>
        <v>10</v>
      </c>
      <c r="DP57" s="36">
        <f t="shared" si="34"/>
        <v>10</v>
      </c>
      <c r="DQ57" s="36">
        <f t="shared" si="34"/>
        <v>10</v>
      </c>
      <c r="DR57" s="36">
        <f t="shared" si="34"/>
        <v>10</v>
      </c>
      <c r="DS57" s="36">
        <f t="shared" si="34"/>
        <v>10</v>
      </c>
      <c r="DT57" s="36">
        <f t="shared" si="34"/>
        <v>10</v>
      </c>
      <c r="DU57" s="36">
        <f t="shared" si="34"/>
        <v>10</v>
      </c>
      <c r="DV57" s="36">
        <f t="shared" si="34"/>
        <v>40</v>
      </c>
      <c r="DW57" s="36">
        <f t="shared" si="34"/>
        <v>0</v>
      </c>
      <c r="DX57" s="23">
        <f t="shared" si="34"/>
        <v>9</v>
      </c>
      <c r="DY57" s="23">
        <f t="shared" si="34"/>
        <v>100</v>
      </c>
      <c r="DZ57" s="23">
        <f t="shared" si="34"/>
        <v>100</v>
      </c>
      <c r="EA57" s="23">
        <f t="shared" si="34"/>
        <v>100</v>
      </c>
      <c r="EB57" s="23">
        <f t="shared" si="34"/>
        <v>0</v>
      </c>
      <c r="EC57" s="23">
        <f>EC56</f>
        <v>0</v>
      </c>
      <c r="ED57" s="23">
        <f t="shared" si="37"/>
        <v>0</v>
      </c>
      <c r="EE57" s="23">
        <f t="shared" si="37"/>
        <v>0</v>
      </c>
      <c r="EF57" s="23">
        <f t="shared" si="37"/>
        <v>0</v>
      </c>
      <c r="EG57" s="23">
        <f t="shared" si="37"/>
        <v>0</v>
      </c>
      <c r="EH57" s="23">
        <f t="shared" si="37"/>
        <v>0</v>
      </c>
      <c r="EI57" s="23">
        <f t="shared" si="37"/>
        <v>3</v>
      </c>
      <c r="EJ57" s="23">
        <f t="shared" si="37"/>
        <v>100</v>
      </c>
    </row>
    <row r="58" spans="1:140" ht="9.9" customHeight="1" x14ac:dyDescent="0.3">
      <c r="A58" s="23">
        <v>49</v>
      </c>
      <c r="B58" s="50" t="str">
        <f>IF(PRELIM!B58="","",PRELIM!B58)</f>
        <v/>
      </c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9">
        <f t="shared" si="6"/>
        <v>40</v>
      </c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40">
        <f t="shared" si="32"/>
        <v>40</v>
      </c>
      <c r="AI58" s="40">
        <f t="shared" si="32"/>
        <v>40</v>
      </c>
      <c r="AJ58" s="40">
        <f t="shared" si="32"/>
        <v>40</v>
      </c>
      <c r="AK58" s="40">
        <f t="shared" si="32"/>
        <v>40</v>
      </c>
      <c r="AL58" s="40">
        <f t="shared" si="32"/>
        <v>40</v>
      </c>
      <c r="AM58" s="40">
        <f t="shared" si="30"/>
        <v>40</v>
      </c>
      <c r="AN58" s="40">
        <f t="shared" si="30"/>
        <v>40</v>
      </c>
      <c r="AO58" s="40">
        <f t="shared" si="30"/>
        <v>40</v>
      </c>
      <c r="AP58" s="40">
        <f t="shared" si="30"/>
        <v>40</v>
      </c>
      <c r="AQ58" s="40" t="str">
        <f t="shared" si="30"/>
        <v xml:space="preserve"> </v>
      </c>
      <c r="AR58" s="41">
        <f t="shared" si="8"/>
        <v>40</v>
      </c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42">
        <f t="shared" si="33"/>
        <v>40</v>
      </c>
      <c r="BD58" s="42">
        <f t="shared" si="33"/>
        <v>40</v>
      </c>
      <c r="BE58" s="42">
        <f t="shared" si="33"/>
        <v>40</v>
      </c>
      <c r="BF58" s="42" t="str">
        <f t="shared" si="33"/>
        <v xml:space="preserve"> </v>
      </c>
      <c r="BG58" s="42" t="str">
        <f t="shared" si="33"/>
        <v xml:space="preserve"> </v>
      </c>
      <c r="BH58" s="42" t="str">
        <f t="shared" si="31"/>
        <v xml:space="preserve"> </v>
      </c>
      <c r="BI58" s="42" t="str">
        <f t="shared" si="31"/>
        <v xml:space="preserve"> </v>
      </c>
      <c r="BJ58" s="42" t="str">
        <f t="shared" si="31"/>
        <v xml:space="preserve"> </v>
      </c>
      <c r="BK58" s="42" t="str">
        <f t="shared" si="31"/>
        <v xml:space="preserve"> </v>
      </c>
      <c r="BL58" s="42" t="str">
        <f t="shared" si="31"/>
        <v xml:space="preserve"> </v>
      </c>
      <c r="BM58" s="43">
        <f t="shared" si="10"/>
        <v>40</v>
      </c>
      <c r="BN58" s="38"/>
      <c r="BO58" s="44">
        <f t="shared" si="11"/>
        <v>40</v>
      </c>
      <c r="BP58" s="20"/>
      <c r="BQ58" s="39">
        <f t="shared" si="38"/>
        <v>40</v>
      </c>
      <c r="BR58" s="23" t="str">
        <f t="shared" si="21"/>
        <v>FAILED</v>
      </c>
      <c r="BS58" s="45"/>
      <c r="BT58" s="46"/>
      <c r="BU58" s="46"/>
      <c r="BV58" s="46"/>
      <c r="BW58" s="21" t="str">
        <f t="shared" si="35"/>
        <v/>
      </c>
      <c r="BX58" s="22" t="str">
        <f t="shared" si="35"/>
        <v/>
      </c>
      <c r="BY58" s="22" t="str">
        <f t="shared" si="35"/>
        <v/>
      </c>
      <c r="BZ58" s="22" t="str">
        <f t="shared" si="35"/>
        <v/>
      </c>
      <c r="CA58" s="22" t="str">
        <f t="shared" si="35"/>
        <v/>
      </c>
      <c r="CB58" s="22" t="str">
        <f t="shared" si="35"/>
        <v/>
      </c>
      <c r="CC58" s="22" t="str">
        <f t="shared" si="35"/>
        <v/>
      </c>
      <c r="CD58" s="22" t="str">
        <f t="shared" si="35"/>
        <v/>
      </c>
      <c r="CE58" s="22" t="str">
        <f t="shared" si="35"/>
        <v/>
      </c>
      <c r="CF58" s="22" t="str">
        <f t="shared" si="35"/>
        <v/>
      </c>
      <c r="CG58" s="22" t="str">
        <f t="shared" si="35"/>
        <v/>
      </c>
      <c r="CH58" s="22" t="str">
        <f t="shared" si="35"/>
        <v/>
      </c>
      <c r="CI58" s="22" t="str">
        <f t="shared" si="35"/>
        <v/>
      </c>
      <c r="CJ58" s="22" t="str">
        <f t="shared" si="35"/>
        <v/>
      </c>
      <c r="CK58" s="22" t="str">
        <f t="shared" si="35"/>
        <v/>
      </c>
      <c r="CL58" s="22" t="str">
        <f t="shared" si="35"/>
        <v/>
      </c>
      <c r="CM58" s="22" t="str">
        <f t="shared" si="39"/>
        <v/>
      </c>
      <c r="CN58" s="22" t="str">
        <f t="shared" si="39"/>
        <v/>
      </c>
      <c r="CO58" s="22" t="str">
        <f t="shared" si="39"/>
        <v/>
      </c>
      <c r="CP58" s="22" t="str">
        <f t="shared" si="39"/>
        <v/>
      </c>
      <c r="CQ58" s="22">
        <f t="shared" si="22"/>
        <v>0</v>
      </c>
      <c r="CR58" s="22">
        <f t="shared" si="3"/>
        <v>11</v>
      </c>
      <c r="CS58" s="22" t="str">
        <f t="shared" si="36"/>
        <v/>
      </c>
      <c r="CT58" s="22" t="str">
        <f t="shared" si="36"/>
        <v/>
      </c>
      <c r="CU58" s="22" t="str">
        <f t="shared" si="36"/>
        <v/>
      </c>
      <c r="CV58" s="22" t="str">
        <f t="shared" si="36"/>
        <v/>
      </c>
      <c r="CW58" s="22" t="str">
        <f t="shared" si="36"/>
        <v/>
      </c>
      <c r="CX58" s="22" t="str">
        <f t="shared" si="36"/>
        <v/>
      </c>
      <c r="CY58" s="22" t="str">
        <f t="shared" si="36"/>
        <v/>
      </c>
      <c r="CZ58" s="22" t="str">
        <f t="shared" si="36"/>
        <v/>
      </c>
      <c r="DA58" s="22" t="str">
        <f t="shared" si="36"/>
        <v/>
      </c>
      <c r="DB58" s="22" t="str">
        <f t="shared" si="36"/>
        <v/>
      </c>
      <c r="DC58" s="22" t="str">
        <f t="shared" si="36"/>
        <v/>
      </c>
      <c r="DD58" s="22" t="str">
        <f t="shared" si="36"/>
        <v/>
      </c>
      <c r="DE58" s="22" t="str">
        <f t="shared" si="36"/>
        <v/>
      </c>
      <c r="DF58" s="22" t="str">
        <f t="shared" si="36"/>
        <v/>
      </c>
      <c r="DG58" s="22" t="str">
        <f t="shared" si="36"/>
        <v/>
      </c>
      <c r="DH58" s="22" t="str">
        <f t="shared" si="36"/>
        <v/>
      </c>
      <c r="DI58" s="22" t="str">
        <f t="shared" si="40"/>
        <v/>
      </c>
      <c r="DJ58" s="22" t="str">
        <f t="shared" si="40"/>
        <v/>
      </c>
      <c r="DK58" s="22" t="str">
        <f t="shared" si="40"/>
        <v/>
      </c>
      <c r="DL58" s="22" t="str">
        <f t="shared" si="40"/>
        <v/>
      </c>
      <c r="DM58" s="22">
        <f t="shared" si="16"/>
        <v>0</v>
      </c>
      <c r="DN58" s="36">
        <f t="shared" ref="DN58:EB59" si="41">DN57</f>
        <v>10</v>
      </c>
      <c r="DO58" s="36">
        <f t="shared" si="41"/>
        <v>10</v>
      </c>
      <c r="DP58" s="36">
        <f t="shared" si="41"/>
        <v>10</v>
      </c>
      <c r="DQ58" s="36">
        <f t="shared" si="41"/>
        <v>10</v>
      </c>
      <c r="DR58" s="36">
        <f t="shared" si="41"/>
        <v>10</v>
      </c>
      <c r="DS58" s="36">
        <f t="shared" si="41"/>
        <v>10</v>
      </c>
      <c r="DT58" s="36">
        <f t="shared" si="41"/>
        <v>10</v>
      </c>
      <c r="DU58" s="36">
        <f t="shared" si="41"/>
        <v>10</v>
      </c>
      <c r="DV58" s="36">
        <f t="shared" si="41"/>
        <v>40</v>
      </c>
      <c r="DW58" s="36">
        <f t="shared" si="41"/>
        <v>0</v>
      </c>
      <c r="DX58" s="23">
        <f t="shared" si="41"/>
        <v>9</v>
      </c>
      <c r="DY58" s="23">
        <f t="shared" si="41"/>
        <v>100</v>
      </c>
      <c r="DZ58" s="23">
        <f t="shared" si="41"/>
        <v>100</v>
      </c>
      <c r="EA58" s="23">
        <f t="shared" si="41"/>
        <v>100</v>
      </c>
      <c r="EB58" s="23">
        <f t="shared" si="41"/>
        <v>0</v>
      </c>
      <c r="EC58" s="23">
        <f>EC57</f>
        <v>0</v>
      </c>
      <c r="ED58" s="23">
        <f t="shared" si="37"/>
        <v>0</v>
      </c>
      <c r="EE58" s="23">
        <f t="shared" si="37"/>
        <v>0</v>
      </c>
      <c r="EF58" s="23">
        <f t="shared" si="37"/>
        <v>0</v>
      </c>
      <c r="EG58" s="23">
        <f t="shared" si="37"/>
        <v>0</v>
      </c>
      <c r="EH58" s="23">
        <f t="shared" si="37"/>
        <v>0</v>
      </c>
      <c r="EI58" s="23">
        <f t="shared" si="37"/>
        <v>3</v>
      </c>
      <c r="EJ58" s="23">
        <f t="shared" si="37"/>
        <v>100</v>
      </c>
    </row>
    <row r="59" spans="1:140" ht="9.9" customHeight="1" x14ac:dyDescent="0.3">
      <c r="A59" s="23">
        <v>50</v>
      </c>
      <c r="B59" s="50" t="str">
        <f>IF(PRELIM!B59="","",PRELIM!B59)</f>
        <v/>
      </c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9">
        <f t="shared" si="6"/>
        <v>40</v>
      </c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40">
        <f t="shared" si="32"/>
        <v>40</v>
      </c>
      <c r="AI59" s="40">
        <f t="shared" si="32"/>
        <v>40</v>
      </c>
      <c r="AJ59" s="40">
        <f t="shared" si="32"/>
        <v>40</v>
      </c>
      <c r="AK59" s="40">
        <f t="shared" si="32"/>
        <v>40</v>
      </c>
      <c r="AL59" s="40">
        <f t="shared" si="32"/>
        <v>40</v>
      </c>
      <c r="AM59" s="40">
        <f t="shared" si="30"/>
        <v>40</v>
      </c>
      <c r="AN59" s="40">
        <f t="shared" si="30"/>
        <v>40</v>
      </c>
      <c r="AO59" s="40">
        <f t="shared" si="30"/>
        <v>40</v>
      </c>
      <c r="AP59" s="40">
        <f t="shared" si="30"/>
        <v>40</v>
      </c>
      <c r="AQ59" s="40" t="str">
        <f t="shared" si="30"/>
        <v xml:space="preserve"> </v>
      </c>
      <c r="AR59" s="41">
        <f t="shared" si="8"/>
        <v>40</v>
      </c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42">
        <f t="shared" si="33"/>
        <v>40</v>
      </c>
      <c r="BD59" s="42">
        <f t="shared" si="33"/>
        <v>40</v>
      </c>
      <c r="BE59" s="42">
        <f t="shared" si="33"/>
        <v>40</v>
      </c>
      <c r="BF59" s="42" t="str">
        <f t="shared" si="33"/>
        <v xml:space="preserve"> </v>
      </c>
      <c r="BG59" s="42" t="str">
        <f t="shared" si="33"/>
        <v xml:space="preserve"> </v>
      </c>
      <c r="BH59" s="42" t="str">
        <f t="shared" si="31"/>
        <v xml:space="preserve"> </v>
      </c>
      <c r="BI59" s="42" t="str">
        <f t="shared" si="31"/>
        <v xml:space="preserve"> </v>
      </c>
      <c r="BJ59" s="42" t="str">
        <f t="shared" si="31"/>
        <v xml:space="preserve"> </v>
      </c>
      <c r="BK59" s="42" t="str">
        <f t="shared" si="31"/>
        <v xml:space="preserve"> </v>
      </c>
      <c r="BL59" s="42" t="str">
        <f t="shared" si="31"/>
        <v xml:space="preserve"> </v>
      </c>
      <c r="BM59" s="43">
        <f t="shared" si="10"/>
        <v>40</v>
      </c>
      <c r="BN59" s="38"/>
      <c r="BO59" s="44">
        <f t="shared" si="11"/>
        <v>40</v>
      </c>
      <c r="BP59" s="20"/>
      <c r="BQ59" s="39">
        <f t="shared" si="38"/>
        <v>40</v>
      </c>
      <c r="BR59" s="23" t="str">
        <f t="shared" si="21"/>
        <v>FAILED</v>
      </c>
      <c r="BS59" s="45"/>
      <c r="BT59" s="46"/>
      <c r="BU59" s="46"/>
      <c r="BV59" s="46"/>
      <c r="BW59" s="21" t="str">
        <f t="shared" si="35"/>
        <v/>
      </c>
      <c r="BX59" s="22" t="str">
        <f t="shared" si="35"/>
        <v/>
      </c>
      <c r="BY59" s="22" t="str">
        <f t="shared" si="35"/>
        <v/>
      </c>
      <c r="BZ59" s="22" t="str">
        <f t="shared" si="35"/>
        <v/>
      </c>
      <c r="CA59" s="22" t="str">
        <f t="shared" si="35"/>
        <v/>
      </c>
      <c r="CB59" s="22" t="str">
        <f t="shared" si="35"/>
        <v/>
      </c>
      <c r="CC59" s="22" t="str">
        <f t="shared" si="35"/>
        <v/>
      </c>
      <c r="CD59" s="22" t="str">
        <f t="shared" si="35"/>
        <v/>
      </c>
      <c r="CE59" s="22" t="str">
        <f t="shared" si="35"/>
        <v/>
      </c>
      <c r="CF59" s="22" t="str">
        <f t="shared" si="35"/>
        <v/>
      </c>
      <c r="CG59" s="22" t="str">
        <f t="shared" si="35"/>
        <v/>
      </c>
      <c r="CH59" s="22" t="str">
        <f t="shared" si="35"/>
        <v/>
      </c>
      <c r="CI59" s="22" t="str">
        <f t="shared" si="35"/>
        <v/>
      </c>
      <c r="CJ59" s="22" t="str">
        <f>IF(P59="P",1,IF(P59="L",1,""))</f>
        <v/>
      </c>
      <c r="CK59" s="22" t="str">
        <f>IF(Q59="P",1,IF(Q59="L",1,""))</f>
        <v/>
      </c>
      <c r="CL59" s="22" t="str">
        <f>IF(R59="P",1,IF(R59="L",1,""))</f>
        <v/>
      </c>
      <c r="CM59" s="22" t="str">
        <f t="shared" si="39"/>
        <v/>
      </c>
      <c r="CN59" s="22" t="str">
        <f t="shared" si="39"/>
        <v/>
      </c>
      <c r="CO59" s="22" t="str">
        <f t="shared" si="39"/>
        <v/>
      </c>
      <c r="CP59" s="22" t="str">
        <f t="shared" si="39"/>
        <v/>
      </c>
      <c r="CQ59" s="22">
        <f t="shared" si="22"/>
        <v>0</v>
      </c>
      <c r="CR59" s="22">
        <f t="shared" si="3"/>
        <v>11</v>
      </c>
      <c r="CS59" s="22" t="str">
        <f t="shared" si="36"/>
        <v/>
      </c>
      <c r="CT59" s="22" t="str">
        <f t="shared" si="36"/>
        <v/>
      </c>
      <c r="CU59" s="22" t="str">
        <f t="shared" si="36"/>
        <v/>
      </c>
      <c r="CV59" s="22" t="str">
        <f t="shared" si="36"/>
        <v/>
      </c>
      <c r="CW59" s="22" t="str">
        <f t="shared" si="36"/>
        <v/>
      </c>
      <c r="CX59" s="22" t="str">
        <f t="shared" si="36"/>
        <v/>
      </c>
      <c r="CY59" s="22" t="str">
        <f t="shared" si="36"/>
        <v/>
      </c>
      <c r="CZ59" s="22" t="str">
        <f t="shared" si="36"/>
        <v/>
      </c>
      <c r="DA59" s="22" t="str">
        <f t="shared" si="36"/>
        <v/>
      </c>
      <c r="DB59" s="22" t="str">
        <f t="shared" si="36"/>
        <v/>
      </c>
      <c r="DC59" s="22" t="str">
        <f t="shared" si="36"/>
        <v/>
      </c>
      <c r="DD59" s="22" t="str">
        <f t="shared" si="36"/>
        <v/>
      </c>
      <c r="DE59" s="22" t="str">
        <f t="shared" si="36"/>
        <v/>
      </c>
      <c r="DF59" s="22" t="str">
        <f>IF(P59="l",1,"")</f>
        <v/>
      </c>
      <c r="DG59" s="22" t="str">
        <f>IF(Q59="l",1,"")</f>
        <v/>
      </c>
      <c r="DH59" s="22" t="str">
        <f>IF(R59="l",1,"")</f>
        <v/>
      </c>
      <c r="DI59" s="22" t="str">
        <f t="shared" si="40"/>
        <v/>
      </c>
      <c r="DJ59" s="22" t="str">
        <f t="shared" si="40"/>
        <v/>
      </c>
      <c r="DK59" s="22" t="str">
        <f t="shared" si="40"/>
        <v/>
      </c>
      <c r="DL59" s="22" t="str">
        <f t="shared" si="40"/>
        <v/>
      </c>
      <c r="DM59" s="22">
        <f t="shared" si="16"/>
        <v>0</v>
      </c>
      <c r="DN59" s="36">
        <f t="shared" si="41"/>
        <v>10</v>
      </c>
      <c r="DO59" s="36">
        <f t="shared" si="41"/>
        <v>10</v>
      </c>
      <c r="DP59" s="36">
        <f t="shared" si="41"/>
        <v>10</v>
      </c>
      <c r="DQ59" s="36">
        <f t="shared" si="41"/>
        <v>10</v>
      </c>
      <c r="DR59" s="36">
        <f t="shared" si="41"/>
        <v>10</v>
      </c>
      <c r="DS59" s="36">
        <f t="shared" si="41"/>
        <v>10</v>
      </c>
      <c r="DT59" s="36">
        <f t="shared" si="41"/>
        <v>10</v>
      </c>
      <c r="DU59" s="36">
        <f t="shared" si="41"/>
        <v>10</v>
      </c>
      <c r="DV59" s="36">
        <f t="shared" si="41"/>
        <v>40</v>
      </c>
      <c r="DW59" s="36">
        <f t="shared" si="41"/>
        <v>0</v>
      </c>
      <c r="DX59" s="23">
        <f t="shared" si="41"/>
        <v>9</v>
      </c>
      <c r="DY59" s="23">
        <f t="shared" si="41"/>
        <v>100</v>
      </c>
      <c r="DZ59" s="23">
        <f t="shared" si="41"/>
        <v>100</v>
      </c>
      <c r="EA59" s="23">
        <f t="shared" si="41"/>
        <v>100</v>
      </c>
      <c r="EB59" s="23">
        <f t="shared" si="41"/>
        <v>0</v>
      </c>
      <c r="EC59" s="23">
        <f>EC58</f>
        <v>0</v>
      </c>
      <c r="ED59" s="23">
        <f t="shared" ref="ED59:EJ59" si="42">ED58</f>
        <v>0</v>
      </c>
      <c r="EE59" s="23">
        <f t="shared" si="42"/>
        <v>0</v>
      </c>
      <c r="EF59" s="23">
        <f t="shared" si="42"/>
        <v>0</v>
      </c>
      <c r="EG59" s="23">
        <f t="shared" si="42"/>
        <v>0</v>
      </c>
      <c r="EH59" s="23">
        <f t="shared" si="42"/>
        <v>0</v>
      </c>
      <c r="EI59" s="23">
        <f t="shared" si="42"/>
        <v>3</v>
      </c>
      <c r="EJ59" s="23">
        <f t="shared" si="42"/>
        <v>100</v>
      </c>
    </row>
    <row r="60" spans="1:140" ht="9.9" customHeight="1" x14ac:dyDescent="0.3">
      <c r="W60" s="14"/>
      <c r="AH60" s="12"/>
      <c r="AI60" s="12"/>
      <c r="AJ60" s="12"/>
      <c r="AR60" s="12"/>
      <c r="BM60" s="12"/>
      <c r="BO60" s="12"/>
      <c r="BQ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</row>
    <row r="61" spans="1:140" ht="9.9" customHeight="1" x14ac:dyDescent="0.3">
      <c r="W61" s="14"/>
      <c r="AH61" s="12"/>
      <c r="AI61" s="12"/>
      <c r="AJ61" s="12"/>
      <c r="AR61" s="12"/>
      <c r="BM61" s="12"/>
      <c r="BO61" s="12"/>
      <c r="BQ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</row>
    <row r="62" spans="1:140" ht="9.9" customHeight="1" x14ac:dyDescent="0.3">
      <c r="W62" s="14"/>
      <c r="AH62" s="12"/>
      <c r="AI62" s="12"/>
      <c r="AJ62" s="12"/>
      <c r="AR62" s="12"/>
      <c r="BM62" s="12"/>
      <c r="BO62" s="12"/>
      <c r="BQ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</row>
    <row r="63" spans="1:140" ht="9.9" customHeight="1" x14ac:dyDescent="0.3">
      <c r="W63" s="14"/>
      <c r="AH63" s="12"/>
      <c r="AI63" s="12"/>
      <c r="AJ63" s="12"/>
      <c r="AR63" s="12"/>
      <c r="BM63" s="12"/>
      <c r="BO63" s="12"/>
      <c r="BQ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</row>
    <row r="64" spans="1:140" ht="9.9" customHeight="1" x14ac:dyDescent="0.3">
      <c r="W64" s="14"/>
      <c r="AH64" s="12"/>
      <c r="AI64" s="12"/>
      <c r="AJ64" s="12"/>
      <c r="AR64" s="12"/>
      <c r="BM64" s="12"/>
      <c r="BO64" s="12"/>
      <c r="BQ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</row>
    <row r="65" spans="2:127" ht="9.9" customHeight="1" x14ac:dyDescent="0.3">
      <c r="W65" s="14"/>
      <c r="AH65" s="12"/>
      <c r="AI65" s="12"/>
      <c r="AJ65" s="12"/>
      <c r="AR65" s="12"/>
      <c r="BM65" s="12"/>
      <c r="BO65" s="12"/>
      <c r="BQ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</row>
    <row r="66" spans="2:127" x14ac:dyDescent="0.3">
      <c r="B66" s="12"/>
      <c r="W66" s="14"/>
      <c r="AH66" s="12"/>
      <c r="AI66" s="12"/>
      <c r="AJ66" s="12"/>
      <c r="AR66" s="12"/>
      <c r="BM66" s="12"/>
      <c r="BO66" s="12"/>
      <c r="BQ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</row>
    <row r="67" spans="2:127" x14ac:dyDescent="0.3">
      <c r="B67" s="12"/>
      <c r="W67" s="14"/>
      <c r="AH67" s="12"/>
      <c r="AI67" s="12"/>
      <c r="AJ67" s="12"/>
      <c r="AR67" s="12"/>
      <c r="BM67" s="12"/>
      <c r="BO67" s="12"/>
      <c r="BQ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</row>
    <row r="68" spans="2:127" x14ac:dyDescent="0.3">
      <c r="B68" s="12"/>
      <c r="W68" s="14"/>
      <c r="AH68" s="12"/>
      <c r="AI68" s="12"/>
      <c r="AJ68" s="12"/>
      <c r="AR68" s="12"/>
      <c r="BM68" s="12"/>
      <c r="BO68" s="12"/>
      <c r="BQ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</row>
    <row r="69" spans="2:127" x14ac:dyDescent="0.3">
      <c r="B69" s="12"/>
      <c r="W69" s="14"/>
      <c r="AH69" s="12"/>
      <c r="AI69" s="12"/>
      <c r="AJ69" s="12"/>
      <c r="AR69" s="12"/>
      <c r="BM69" s="12"/>
      <c r="BO69" s="12"/>
      <c r="BQ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</row>
    <row r="70" spans="2:127" x14ac:dyDescent="0.3">
      <c r="B70" s="12"/>
      <c r="W70" s="14"/>
      <c r="AH70" s="12"/>
      <c r="AI70" s="12"/>
      <c r="AJ70" s="12"/>
      <c r="AR70" s="12"/>
      <c r="BM70" s="12"/>
      <c r="BO70" s="12"/>
      <c r="BQ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</row>
    <row r="71" spans="2:127" x14ac:dyDescent="0.3">
      <c r="B71" s="12"/>
      <c r="W71" s="14"/>
      <c r="AH71" s="12"/>
      <c r="AI71" s="12"/>
      <c r="AJ71" s="12"/>
      <c r="AR71" s="12"/>
      <c r="BM71" s="12"/>
      <c r="BO71" s="12"/>
      <c r="BQ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</row>
    <row r="72" spans="2:127" x14ac:dyDescent="0.3">
      <c r="B72" s="12"/>
      <c r="W72" s="14"/>
      <c r="AH72" s="12"/>
      <c r="AI72" s="12"/>
      <c r="AJ72" s="12"/>
      <c r="AR72" s="12"/>
      <c r="BM72" s="12"/>
      <c r="BO72" s="12"/>
      <c r="BQ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</row>
    <row r="73" spans="2:127" x14ac:dyDescent="0.3">
      <c r="B73" s="12"/>
      <c r="W73" s="14"/>
      <c r="AH73" s="12"/>
      <c r="AI73" s="12"/>
      <c r="AJ73" s="12"/>
      <c r="AR73" s="12"/>
      <c r="BM73" s="12"/>
      <c r="BO73" s="12"/>
      <c r="BQ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</row>
    <row r="74" spans="2:127" x14ac:dyDescent="0.3">
      <c r="B74" s="12"/>
      <c r="W74" s="14"/>
      <c r="AH74" s="12"/>
      <c r="AI74" s="12"/>
      <c r="AJ74" s="12"/>
      <c r="AR74" s="12"/>
      <c r="BM74" s="12"/>
      <c r="BO74" s="12"/>
      <c r="BQ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</row>
    <row r="75" spans="2:127" x14ac:dyDescent="0.3">
      <c r="B75" s="12"/>
      <c r="W75" s="14"/>
      <c r="AH75" s="12"/>
      <c r="AI75" s="12"/>
      <c r="AJ75" s="12"/>
      <c r="AR75" s="12"/>
      <c r="BM75" s="12"/>
      <c r="BO75" s="12"/>
      <c r="BQ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</row>
    <row r="76" spans="2:127" x14ac:dyDescent="0.3">
      <c r="B76" s="12"/>
      <c r="W76" s="14"/>
      <c r="AH76" s="12"/>
      <c r="AI76" s="12"/>
      <c r="AJ76" s="12"/>
      <c r="AR76" s="12"/>
      <c r="BM76" s="12"/>
      <c r="BO76" s="12"/>
      <c r="BQ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</row>
    <row r="77" spans="2:127" x14ac:dyDescent="0.3">
      <c r="B77" s="12"/>
      <c r="W77" s="14"/>
      <c r="AH77" s="12"/>
      <c r="AI77" s="12"/>
      <c r="AJ77" s="12"/>
      <c r="AR77" s="12"/>
      <c r="BM77" s="12"/>
      <c r="BO77" s="12"/>
      <c r="BQ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</row>
    <row r="78" spans="2:127" x14ac:dyDescent="0.3">
      <c r="B78" s="12"/>
      <c r="W78" s="14"/>
      <c r="AH78" s="12"/>
      <c r="AI78" s="12"/>
      <c r="AJ78" s="12"/>
      <c r="AR78" s="12"/>
      <c r="BM78" s="12"/>
      <c r="BO78" s="12"/>
      <c r="BQ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</row>
    <row r="79" spans="2:127" x14ac:dyDescent="0.3">
      <c r="B79" s="12"/>
      <c r="W79" s="14"/>
      <c r="AH79" s="12"/>
      <c r="AI79" s="12"/>
      <c r="AJ79" s="12"/>
      <c r="AR79" s="12"/>
      <c r="BM79" s="12"/>
      <c r="BO79" s="12"/>
      <c r="BQ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</row>
    <row r="80" spans="2:127" x14ac:dyDescent="0.3">
      <c r="B80" s="12"/>
      <c r="W80" s="14"/>
      <c r="AH80" s="12"/>
      <c r="AI80" s="12"/>
      <c r="AJ80" s="12"/>
      <c r="AR80" s="12"/>
      <c r="BM80" s="12"/>
      <c r="BO80" s="12"/>
      <c r="BQ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</row>
    <row r="81" spans="23:23" s="12" customFormat="1" x14ac:dyDescent="0.3">
      <c r="W81" s="14"/>
    </row>
    <row r="82" spans="23:23" s="12" customFormat="1" x14ac:dyDescent="0.3">
      <c r="W82" s="14"/>
    </row>
    <row r="83" spans="23:23" s="12" customFormat="1" x14ac:dyDescent="0.3">
      <c r="W83" s="14"/>
    </row>
    <row r="84" spans="23:23" s="12" customFormat="1" x14ac:dyDescent="0.3">
      <c r="W84" s="14"/>
    </row>
    <row r="85" spans="23:23" s="12" customFormat="1" x14ac:dyDescent="0.3">
      <c r="W85" s="14"/>
    </row>
    <row r="86" spans="23:23" s="12" customFormat="1" x14ac:dyDescent="0.3">
      <c r="W86" s="14"/>
    </row>
    <row r="87" spans="23:23" s="12" customFormat="1" x14ac:dyDescent="0.3">
      <c r="W87" s="14"/>
    </row>
    <row r="88" spans="23:23" s="12" customFormat="1" x14ac:dyDescent="0.3">
      <c r="W88" s="14"/>
    </row>
    <row r="89" spans="23:23" s="12" customFormat="1" x14ac:dyDescent="0.3">
      <c r="W89" s="14"/>
    </row>
    <row r="90" spans="23:23" s="12" customFormat="1" x14ac:dyDescent="0.3">
      <c r="W90" s="14"/>
    </row>
    <row r="91" spans="23:23" s="12" customFormat="1" x14ac:dyDescent="0.3">
      <c r="W91" s="14"/>
    </row>
    <row r="92" spans="23:23" s="12" customFormat="1" x14ac:dyDescent="0.3">
      <c r="W92" s="14"/>
    </row>
    <row r="93" spans="23:23" s="12" customFormat="1" x14ac:dyDescent="0.3">
      <c r="W93" s="14"/>
    </row>
    <row r="94" spans="23:23" s="12" customFormat="1" x14ac:dyDescent="0.3">
      <c r="W94" s="14"/>
    </row>
    <row r="95" spans="23:23" s="12" customFormat="1" x14ac:dyDescent="0.3">
      <c r="W95" s="14"/>
    </row>
    <row r="96" spans="23:23" s="12" customFormat="1" x14ac:dyDescent="0.3">
      <c r="W96" s="14"/>
    </row>
    <row r="97" spans="23:23" s="12" customFormat="1" x14ac:dyDescent="0.3">
      <c r="W97" s="14"/>
    </row>
    <row r="98" spans="23:23" s="12" customFormat="1" x14ac:dyDescent="0.3">
      <c r="W98" s="14"/>
    </row>
    <row r="99" spans="23:23" s="12" customFormat="1" x14ac:dyDescent="0.3">
      <c r="W99" s="14"/>
    </row>
    <row r="100" spans="23:23" s="12" customFormat="1" x14ac:dyDescent="0.3">
      <c r="W100" s="14"/>
    </row>
    <row r="101" spans="23:23" s="12" customFormat="1" x14ac:dyDescent="0.3">
      <c r="W101" s="14"/>
    </row>
    <row r="102" spans="23:23" s="12" customFormat="1" x14ac:dyDescent="0.3">
      <c r="W102" s="14"/>
    </row>
    <row r="103" spans="23:23" s="12" customFormat="1" x14ac:dyDescent="0.3">
      <c r="W103" s="14"/>
    </row>
    <row r="104" spans="23:23" s="12" customFormat="1" x14ac:dyDescent="0.3">
      <c r="W104" s="14"/>
    </row>
    <row r="105" spans="23:23" s="12" customFormat="1" x14ac:dyDescent="0.3">
      <c r="W105" s="14"/>
    </row>
    <row r="106" spans="23:23" s="12" customFormat="1" x14ac:dyDescent="0.3">
      <c r="W106" s="14"/>
    </row>
    <row r="107" spans="23:23" s="12" customFormat="1" x14ac:dyDescent="0.3">
      <c r="W107" s="14"/>
    </row>
    <row r="108" spans="23:23" s="12" customFormat="1" x14ac:dyDescent="0.3">
      <c r="W108" s="14"/>
    </row>
    <row r="109" spans="23:23" s="12" customFormat="1" x14ac:dyDescent="0.3">
      <c r="W109" s="14"/>
    </row>
    <row r="110" spans="23:23" s="12" customFormat="1" x14ac:dyDescent="0.3">
      <c r="W110" s="14"/>
    </row>
    <row r="111" spans="23:23" s="12" customFormat="1" x14ac:dyDescent="0.3">
      <c r="W111" s="14"/>
    </row>
    <row r="112" spans="23:23" s="12" customFormat="1" x14ac:dyDescent="0.3">
      <c r="W112" s="14"/>
    </row>
    <row r="113" spans="23:23" s="12" customFormat="1" x14ac:dyDescent="0.3">
      <c r="W113" s="14"/>
    </row>
    <row r="114" spans="23:23" s="12" customFormat="1" x14ac:dyDescent="0.3">
      <c r="W114" s="14"/>
    </row>
    <row r="115" spans="23:23" s="12" customFormat="1" x14ac:dyDescent="0.3">
      <c r="W115" s="14"/>
    </row>
    <row r="116" spans="23:23" s="12" customFormat="1" x14ac:dyDescent="0.3">
      <c r="W116" s="14"/>
    </row>
    <row r="117" spans="23:23" s="12" customFormat="1" x14ac:dyDescent="0.3">
      <c r="W117" s="14"/>
    </row>
    <row r="118" spans="23:23" s="12" customFormat="1" x14ac:dyDescent="0.3">
      <c r="W118" s="14"/>
    </row>
    <row r="119" spans="23:23" s="12" customFormat="1" x14ac:dyDescent="0.3">
      <c r="W119" s="14"/>
    </row>
    <row r="120" spans="23:23" s="12" customFormat="1" x14ac:dyDescent="0.3">
      <c r="W120" s="14"/>
    </row>
    <row r="121" spans="23:23" s="12" customFormat="1" x14ac:dyDescent="0.3">
      <c r="W121" s="14"/>
    </row>
    <row r="122" spans="23:23" s="12" customFormat="1" x14ac:dyDescent="0.3">
      <c r="W122" s="14"/>
    </row>
    <row r="123" spans="23:23" s="12" customFormat="1" x14ac:dyDescent="0.3">
      <c r="W123" s="14"/>
    </row>
    <row r="124" spans="23:23" s="12" customFormat="1" x14ac:dyDescent="0.3">
      <c r="W124" s="14"/>
    </row>
    <row r="125" spans="23:23" s="12" customFormat="1" x14ac:dyDescent="0.3">
      <c r="W125" s="14"/>
    </row>
    <row r="126" spans="23:23" s="12" customFormat="1" x14ac:dyDescent="0.3">
      <c r="W126" s="14"/>
    </row>
    <row r="127" spans="23:23" s="12" customFormat="1" x14ac:dyDescent="0.3">
      <c r="W127" s="14"/>
    </row>
    <row r="128" spans="23:23" s="12" customFormat="1" x14ac:dyDescent="0.3">
      <c r="W128" s="14"/>
    </row>
    <row r="129" spans="23:23" s="12" customFormat="1" x14ac:dyDescent="0.3">
      <c r="W129" s="14"/>
    </row>
    <row r="130" spans="23:23" s="12" customFormat="1" x14ac:dyDescent="0.3">
      <c r="W130" s="14"/>
    </row>
    <row r="131" spans="23:23" s="12" customFormat="1" x14ac:dyDescent="0.3">
      <c r="W131" s="14"/>
    </row>
    <row r="132" spans="23:23" s="12" customFormat="1" x14ac:dyDescent="0.3">
      <c r="W132" s="14"/>
    </row>
    <row r="133" spans="23:23" s="12" customFormat="1" x14ac:dyDescent="0.3">
      <c r="W133" s="14"/>
    </row>
    <row r="134" spans="23:23" s="12" customFormat="1" x14ac:dyDescent="0.3">
      <c r="W134" s="14"/>
    </row>
    <row r="135" spans="23:23" s="12" customFormat="1" x14ac:dyDescent="0.3">
      <c r="W135" s="14"/>
    </row>
    <row r="136" spans="23:23" s="12" customFormat="1" x14ac:dyDescent="0.3">
      <c r="W136" s="14"/>
    </row>
    <row r="137" spans="23:23" s="12" customFormat="1" x14ac:dyDescent="0.3">
      <c r="W137" s="14"/>
    </row>
    <row r="138" spans="23:23" s="12" customFormat="1" x14ac:dyDescent="0.3">
      <c r="W138" s="14"/>
    </row>
    <row r="139" spans="23:23" s="12" customFormat="1" x14ac:dyDescent="0.3">
      <c r="W139" s="14"/>
    </row>
    <row r="140" spans="23:23" s="12" customFormat="1" x14ac:dyDescent="0.3">
      <c r="W140" s="14"/>
    </row>
    <row r="141" spans="23:23" s="12" customFormat="1" x14ac:dyDescent="0.3">
      <c r="W141" s="14"/>
    </row>
    <row r="142" spans="23:23" s="12" customFormat="1" x14ac:dyDescent="0.3">
      <c r="W142" s="14"/>
    </row>
    <row r="143" spans="23:23" s="12" customFormat="1" x14ac:dyDescent="0.3">
      <c r="W143" s="14"/>
    </row>
    <row r="144" spans="23:23" s="12" customFormat="1" x14ac:dyDescent="0.3">
      <c r="W144" s="14"/>
    </row>
    <row r="145" spans="23:23" s="12" customFormat="1" x14ac:dyDescent="0.3">
      <c r="W145" s="14"/>
    </row>
    <row r="146" spans="23:23" s="12" customFormat="1" x14ac:dyDescent="0.3">
      <c r="W146" s="14"/>
    </row>
    <row r="147" spans="23:23" s="12" customFormat="1" x14ac:dyDescent="0.3">
      <c r="W147" s="14"/>
    </row>
    <row r="148" spans="23:23" s="12" customFormat="1" x14ac:dyDescent="0.3">
      <c r="W148" s="14"/>
    </row>
    <row r="149" spans="23:23" s="12" customFormat="1" x14ac:dyDescent="0.3">
      <c r="W149" s="14"/>
    </row>
    <row r="150" spans="23:23" s="12" customFormat="1" x14ac:dyDescent="0.3">
      <c r="W150" s="14"/>
    </row>
    <row r="151" spans="23:23" s="12" customFormat="1" x14ac:dyDescent="0.3">
      <c r="W151" s="14"/>
    </row>
    <row r="152" spans="23:23" s="12" customFormat="1" x14ac:dyDescent="0.3">
      <c r="W152" s="14"/>
    </row>
    <row r="153" spans="23:23" s="12" customFormat="1" x14ac:dyDescent="0.3">
      <c r="W153" s="14"/>
    </row>
    <row r="154" spans="23:23" s="12" customFormat="1" x14ac:dyDescent="0.3">
      <c r="W154" s="14"/>
    </row>
    <row r="155" spans="23:23" s="12" customFormat="1" x14ac:dyDescent="0.3">
      <c r="W155" s="14"/>
    </row>
    <row r="156" spans="23:23" s="12" customFormat="1" x14ac:dyDescent="0.3">
      <c r="W156" s="14"/>
    </row>
    <row r="157" spans="23:23" s="12" customFormat="1" x14ac:dyDescent="0.3">
      <c r="W157" s="14"/>
    </row>
    <row r="158" spans="23:23" s="12" customFormat="1" x14ac:dyDescent="0.3">
      <c r="W158" s="14"/>
    </row>
    <row r="159" spans="23:23" s="12" customFormat="1" x14ac:dyDescent="0.3">
      <c r="W159" s="14"/>
    </row>
    <row r="160" spans="23:23" s="12" customFormat="1" x14ac:dyDescent="0.3">
      <c r="W160" s="14"/>
    </row>
    <row r="161" spans="23:23" s="12" customFormat="1" x14ac:dyDescent="0.3">
      <c r="W161" s="14"/>
    </row>
    <row r="162" spans="23:23" s="12" customFormat="1" x14ac:dyDescent="0.3">
      <c r="W162" s="14"/>
    </row>
    <row r="163" spans="23:23" s="12" customFormat="1" x14ac:dyDescent="0.3">
      <c r="W163" s="14"/>
    </row>
    <row r="164" spans="23:23" s="12" customFormat="1" x14ac:dyDescent="0.3">
      <c r="W164" s="14"/>
    </row>
    <row r="165" spans="23:23" s="12" customFormat="1" x14ac:dyDescent="0.3">
      <c r="W165" s="14"/>
    </row>
    <row r="166" spans="23:23" s="12" customFormat="1" x14ac:dyDescent="0.3">
      <c r="W166" s="14"/>
    </row>
    <row r="167" spans="23:23" s="12" customFormat="1" x14ac:dyDescent="0.3">
      <c r="W167" s="14"/>
    </row>
    <row r="168" spans="23:23" s="12" customFormat="1" x14ac:dyDescent="0.3">
      <c r="W168" s="14"/>
    </row>
    <row r="169" spans="23:23" s="12" customFormat="1" x14ac:dyDescent="0.3">
      <c r="W169" s="14"/>
    </row>
    <row r="170" spans="23:23" s="12" customFormat="1" x14ac:dyDescent="0.3">
      <c r="W170" s="14"/>
    </row>
    <row r="171" spans="23:23" s="12" customFormat="1" x14ac:dyDescent="0.3">
      <c r="W171" s="14"/>
    </row>
    <row r="172" spans="23:23" s="12" customFormat="1" x14ac:dyDescent="0.3">
      <c r="W172" s="14"/>
    </row>
    <row r="173" spans="23:23" s="12" customFormat="1" x14ac:dyDescent="0.3">
      <c r="W173" s="14"/>
    </row>
    <row r="174" spans="23:23" s="12" customFormat="1" x14ac:dyDescent="0.3">
      <c r="W174" s="14"/>
    </row>
    <row r="175" spans="23:23" s="12" customFormat="1" x14ac:dyDescent="0.3">
      <c r="W175" s="14"/>
    </row>
    <row r="176" spans="23:23" s="12" customFormat="1" x14ac:dyDescent="0.3">
      <c r="W176" s="14"/>
    </row>
    <row r="177" spans="23:23" s="12" customFormat="1" x14ac:dyDescent="0.3">
      <c r="W177" s="14"/>
    </row>
    <row r="178" spans="23:23" s="12" customFormat="1" x14ac:dyDescent="0.3">
      <c r="W178" s="14"/>
    </row>
    <row r="179" spans="23:23" s="12" customFormat="1" x14ac:dyDescent="0.3">
      <c r="W179" s="14"/>
    </row>
    <row r="180" spans="23:23" s="12" customFormat="1" x14ac:dyDescent="0.3">
      <c r="W180" s="14"/>
    </row>
    <row r="181" spans="23:23" s="12" customFormat="1" x14ac:dyDescent="0.3">
      <c r="W181" s="14"/>
    </row>
    <row r="182" spans="23:23" s="12" customFormat="1" x14ac:dyDescent="0.3">
      <c r="W182" s="14"/>
    </row>
    <row r="183" spans="23:23" s="12" customFormat="1" x14ac:dyDescent="0.3">
      <c r="W183" s="14"/>
    </row>
    <row r="184" spans="23:23" s="12" customFormat="1" x14ac:dyDescent="0.3">
      <c r="W184" s="14"/>
    </row>
    <row r="185" spans="23:23" s="12" customFormat="1" x14ac:dyDescent="0.3">
      <c r="W185" s="14"/>
    </row>
    <row r="186" spans="23:23" s="12" customFormat="1" x14ac:dyDescent="0.3">
      <c r="W186" s="14"/>
    </row>
    <row r="187" spans="23:23" s="12" customFormat="1" x14ac:dyDescent="0.3">
      <c r="W187" s="14"/>
    </row>
    <row r="188" spans="23:23" s="12" customFormat="1" x14ac:dyDescent="0.3">
      <c r="W188" s="14"/>
    </row>
    <row r="189" spans="23:23" s="12" customFormat="1" x14ac:dyDescent="0.3">
      <c r="W189" s="14"/>
    </row>
    <row r="190" spans="23:23" s="12" customFormat="1" x14ac:dyDescent="0.3">
      <c r="W190" s="14"/>
    </row>
    <row r="191" spans="23:23" s="12" customFormat="1" x14ac:dyDescent="0.3">
      <c r="W191" s="14"/>
    </row>
    <row r="192" spans="23:23" s="12" customFormat="1" x14ac:dyDescent="0.3">
      <c r="W192" s="14"/>
    </row>
    <row r="193" spans="23:23" s="12" customFormat="1" x14ac:dyDescent="0.3">
      <c r="W193" s="14"/>
    </row>
    <row r="194" spans="23:23" s="12" customFormat="1" x14ac:dyDescent="0.3">
      <c r="W194" s="14"/>
    </row>
    <row r="195" spans="23:23" s="12" customFormat="1" x14ac:dyDescent="0.3">
      <c r="W195" s="14"/>
    </row>
    <row r="196" spans="23:23" s="12" customFormat="1" x14ac:dyDescent="0.3">
      <c r="W196" s="14"/>
    </row>
    <row r="197" spans="23:23" s="12" customFormat="1" x14ac:dyDescent="0.3">
      <c r="W197" s="14"/>
    </row>
    <row r="198" spans="23:23" s="12" customFormat="1" x14ac:dyDescent="0.3">
      <c r="W198" s="14"/>
    </row>
    <row r="199" spans="23:23" s="12" customFormat="1" x14ac:dyDescent="0.3">
      <c r="W199" s="14"/>
    </row>
    <row r="200" spans="23:23" s="12" customFormat="1" x14ac:dyDescent="0.3">
      <c r="W200" s="14"/>
    </row>
    <row r="201" spans="23:23" s="12" customFormat="1" x14ac:dyDescent="0.3">
      <c r="W201" s="14"/>
    </row>
    <row r="202" spans="23:23" s="12" customFormat="1" x14ac:dyDescent="0.3">
      <c r="W202" s="14"/>
    </row>
    <row r="203" spans="23:23" s="12" customFormat="1" x14ac:dyDescent="0.3">
      <c r="W203" s="14"/>
    </row>
    <row r="204" spans="23:23" s="12" customFormat="1" x14ac:dyDescent="0.3">
      <c r="W204" s="14"/>
    </row>
    <row r="205" spans="23:23" s="12" customFormat="1" x14ac:dyDescent="0.3">
      <c r="W205" s="14"/>
    </row>
    <row r="206" spans="23:23" s="12" customFormat="1" x14ac:dyDescent="0.3">
      <c r="W206" s="14"/>
    </row>
    <row r="207" spans="23:23" s="12" customFormat="1" x14ac:dyDescent="0.3">
      <c r="W207" s="14"/>
    </row>
    <row r="208" spans="23:23" s="12" customFormat="1" x14ac:dyDescent="0.3">
      <c r="W208" s="14"/>
    </row>
    <row r="209" spans="23:23" s="12" customFormat="1" x14ac:dyDescent="0.3">
      <c r="W209" s="14"/>
    </row>
    <row r="210" spans="23:23" s="12" customFormat="1" x14ac:dyDescent="0.3">
      <c r="W210" s="14"/>
    </row>
    <row r="211" spans="23:23" s="12" customFormat="1" x14ac:dyDescent="0.3">
      <c r="W211" s="14"/>
    </row>
    <row r="212" spans="23:23" s="12" customFormat="1" x14ac:dyDescent="0.3">
      <c r="W212" s="14"/>
    </row>
    <row r="213" spans="23:23" s="12" customFormat="1" x14ac:dyDescent="0.3">
      <c r="W213" s="14"/>
    </row>
    <row r="214" spans="23:23" s="12" customFormat="1" x14ac:dyDescent="0.3">
      <c r="W214" s="14"/>
    </row>
    <row r="215" spans="23:23" s="12" customFormat="1" x14ac:dyDescent="0.3">
      <c r="W215" s="14"/>
    </row>
    <row r="216" spans="23:23" s="12" customFormat="1" x14ac:dyDescent="0.3">
      <c r="W216" s="14"/>
    </row>
    <row r="217" spans="23:23" s="12" customFormat="1" x14ac:dyDescent="0.3">
      <c r="W217" s="14"/>
    </row>
    <row r="218" spans="23:23" s="12" customFormat="1" x14ac:dyDescent="0.3">
      <c r="W218" s="14"/>
    </row>
    <row r="219" spans="23:23" s="12" customFormat="1" x14ac:dyDescent="0.3">
      <c r="W219" s="14"/>
    </row>
    <row r="220" spans="23:23" s="12" customFormat="1" x14ac:dyDescent="0.3">
      <c r="W220" s="14"/>
    </row>
    <row r="221" spans="23:23" s="12" customFormat="1" x14ac:dyDescent="0.3">
      <c r="W221" s="14"/>
    </row>
    <row r="222" spans="23:23" s="12" customFormat="1" x14ac:dyDescent="0.3">
      <c r="W222" s="14"/>
    </row>
    <row r="223" spans="23:23" s="12" customFormat="1" x14ac:dyDescent="0.3">
      <c r="W223" s="14"/>
    </row>
    <row r="224" spans="23:23" s="12" customFormat="1" x14ac:dyDescent="0.3">
      <c r="W224" s="14"/>
    </row>
    <row r="225" spans="23:23" s="12" customFormat="1" x14ac:dyDescent="0.3">
      <c r="W225" s="14"/>
    </row>
    <row r="226" spans="23:23" s="12" customFormat="1" x14ac:dyDescent="0.3">
      <c r="W226" s="14"/>
    </row>
    <row r="227" spans="23:23" s="12" customFormat="1" x14ac:dyDescent="0.3">
      <c r="W227" s="14"/>
    </row>
    <row r="228" spans="23:23" s="12" customFormat="1" x14ac:dyDescent="0.3">
      <c r="W228" s="14"/>
    </row>
    <row r="229" spans="23:23" s="12" customFormat="1" x14ac:dyDescent="0.3">
      <c r="W229" s="14"/>
    </row>
    <row r="230" spans="23:23" s="12" customFormat="1" x14ac:dyDescent="0.3">
      <c r="W230" s="14"/>
    </row>
    <row r="231" spans="23:23" s="12" customFormat="1" x14ac:dyDescent="0.3">
      <c r="W231" s="14"/>
    </row>
    <row r="232" spans="23:23" s="12" customFormat="1" x14ac:dyDescent="0.3">
      <c r="W232" s="14"/>
    </row>
    <row r="233" spans="23:23" s="12" customFormat="1" x14ac:dyDescent="0.3">
      <c r="W233" s="14"/>
    </row>
    <row r="234" spans="23:23" s="12" customFormat="1" x14ac:dyDescent="0.3">
      <c r="W234" s="14"/>
    </row>
    <row r="235" spans="23:23" s="12" customFormat="1" x14ac:dyDescent="0.3">
      <c r="W235" s="14"/>
    </row>
    <row r="236" spans="23:23" s="12" customFormat="1" x14ac:dyDescent="0.3">
      <c r="W236" s="14"/>
    </row>
    <row r="237" spans="23:23" s="12" customFormat="1" x14ac:dyDescent="0.3">
      <c r="W237" s="14"/>
    </row>
    <row r="238" spans="23:23" s="12" customFormat="1" x14ac:dyDescent="0.3">
      <c r="W238" s="14"/>
    </row>
    <row r="239" spans="23:23" s="12" customFormat="1" x14ac:dyDescent="0.3">
      <c r="W239" s="14"/>
    </row>
    <row r="240" spans="23:23" s="12" customFormat="1" x14ac:dyDescent="0.3">
      <c r="W240" s="14"/>
    </row>
    <row r="241" spans="23:23" s="12" customFormat="1" x14ac:dyDescent="0.3">
      <c r="W241" s="14"/>
    </row>
    <row r="242" spans="23:23" s="12" customFormat="1" x14ac:dyDescent="0.3">
      <c r="W242" s="14"/>
    </row>
    <row r="243" spans="23:23" s="12" customFormat="1" x14ac:dyDescent="0.3">
      <c r="W243" s="14"/>
    </row>
    <row r="244" spans="23:23" s="12" customFormat="1" x14ac:dyDescent="0.3">
      <c r="W244" s="14"/>
    </row>
    <row r="245" spans="23:23" s="12" customFormat="1" x14ac:dyDescent="0.3">
      <c r="W245" s="14"/>
    </row>
    <row r="246" spans="23:23" s="12" customFormat="1" x14ac:dyDescent="0.3">
      <c r="W246" s="14"/>
    </row>
    <row r="247" spans="23:23" s="12" customFormat="1" x14ac:dyDescent="0.3">
      <c r="W247" s="14"/>
    </row>
    <row r="248" spans="23:23" s="12" customFormat="1" x14ac:dyDescent="0.3">
      <c r="W248" s="14"/>
    </row>
    <row r="249" spans="23:23" s="12" customFormat="1" x14ac:dyDescent="0.3">
      <c r="W249" s="14"/>
    </row>
    <row r="250" spans="23:23" s="12" customFormat="1" x14ac:dyDescent="0.3">
      <c r="W250" s="14"/>
    </row>
    <row r="251" spans="23:23" s="12" customFormat="1" x14ac:dyDescent="0.3">
      <c r="W251" s="14"/>
    </row>
    <row r="252" spans="23:23" s="12" customFormat="1" x14ac:dyDescent="0.3">
      <c r="W252" s="14"/>
    </row>
    <row r="253" spans="23:23" s="12" customFormat="1" x14ac:dyDescent="0.3">
      <c r="W253" s="14"/>
    </row>
    <row r="254" spans="23:23" s="12" customFormat="1" x14ac:dyDescent="0.3">
      <c r="W254" s="14"/>
    </row>
    <row r="255" spans="23:23" s="12" customFormat="1" x14ac:dyDescent="0.3">
      <c r="W255" s="14"/>
    </row>
    <row r="256" spans="23:23" s="12" customFormat="1" x14ac:dyDescent="0.3">
      <c r="W256" s="14"/>
    </row>
    <row r="257" spans="23:23" s="12" customFormat="1" x14ac:dyDescent="0.3">
      <c r="W257" s="14"/>
    </row>
    <row r="258" spans="23:23" s="12" customFormat="1" x14ac:dyDescent="0.3">
      <c r="W258" s="14"/>
    </row>
    <row r="259" spans="23:23" s="12" customFormat="1" x14ac:dyDescent="0.3">
      <c r="W259" s="14"/>
    </row>
    <row r="260" spans="23:23" s="12" customFormat="1" x14ac:dyDescent="0.3">
      <c r="W260" s="14"/>
    </row>
    <row r="261" spans="23:23" s="12" customFormat="1" x14ac:dyDescent="0.3">
      <c r="W261" s="14"/>
    </row>
    <row r="262" spans="23:23" s="12" customFormat="1" x14ac:dyDescent="0.3">
      <c r="W262" s="14"/>
    </row>
    <row r="263" spans="23:23" s="12" customFormat="1" x14ac:dyDescent="0.3">
      <c r="W263" s="14"/>
    </row>
    <row r="264" spans="23:23" s="12" customFormat="1" x14ac:dyDescent="0.3">
      <c r="W264" s="14"/>
    </row>
    <row r="265" spans="23:23" s="12" customFormat="1" x14ac:dyDescent="0.3">
      <c r="W265" s="14"/>
    </row>
    <row r="266" spans="23:23" s="12" customFormat="1" x14ac:dyDescent="0.3">
      <c r="W266" s="14"/>
    </row>
    <row r="267" spans="23:23" s="12" customFormat="1" x14ac:dyDescent="0.3">
      <c r="W267" s="14"/>
    </row>
    <row r="268" spans="23:23" s="12" customFormat="1" x14ac:dyDescent="0.3">
      <c r="W268" s="14"/>
    </row>
    <row r="269" spans="23:23" s="12" customFormat="1" x14ac:dyDescent="0.3">
      <c r="W269" s="14"/>
    </row>
    <row r="270" spans="23:23" s="12" customFormat="1" x14ac:dyDescent="0.3">
      <c r="W270" s="14"/>
    </row>
    <row r="271" spans="23:23" s="12" customFormat="1" x14ac:dyDescent="0.3">
      <c r="W271" s="14"/>
    </row>
    <row r="272" spans="23:23" s="12" customFormat="1" x14ac:dyDescent="0.3">
      <c r="W272" s="14"/>
    </row>
    <row r="273" spans="23:23" s="12" customFormat="1" x14ac:dyDescent="0.3">
      <c r="W273" s="14"/>
    </row>
    <row r="274" spans="23:23" s="12" customFormat="1" x14ac:dyDescent="0.3">
      <c r="W274" s="14"/>
    </row>
    <row r="275" spans="23:23" s="12" customFormat="1" x14ac:dyDescent="0.3">
      <c r="W275" s="14"/>
    </row>
    <row r="276" spans="23:23" s="12" customFormat="1" x14ac:dyDescent="0.3">
      <c r="W276" s="14"/>
    </row>
    <row r="277" spans="23:23" s="12" customFormat="1" x14ac:dyDescent="0.3">
      <c r="W277" s="14"/>
    </row>
    <row r="278" spans="23:23" s="12" customFormat="1" x14ac:dyDescent="0.3">
      <c r="W278" s="14"/>
    </row>
    <row r="279" spans="23:23" s="12" customFormat="1" x14ac:dyDescent="0.3">
      <c r="W279" s="14"/>
    </row>
    <row r="280" spans="23:23" s="12" customFormat="1" x14ac:dyDescent="0.3">
      <c r="W280" s="14"/>
    </row>
    <row r="281" spans="23:23" s="12" customFormat="1" x14ac:dyDescent="0.3">
      <c r="W281" s="14"/>
    </row>
    <row r="282" spans="23:23" s="12" customFormat="1" x14ac:dyDescent="0.3">
      <c r="W282" s="14"/>
    </row>
    <row r="283" spans="23:23" s="12" customFormat="1" x14ac:dyDescent="0.3">
      <c r="W283" s="14"/>
    </row>
    <row r="284" spans="23:23" s="12" customFormat="1" x14ac:dyDescent="0.3">
      <c r="W284" s="14"/>
    </row>
    <row r="285" spans="23:23" s="12" customFormat="1" x14ac:dyDescent="0.3">
      <c r="W285" s="14"/>
    </row>
    <row r="286" spans="23:23" s="12" customFormat="1" x14ac:dyDescent="0.3">
      <c r="W286" s="14"/>
    </row>
    <row r="287" spans="23:23" s="12" customFormat="1" x14ac:dyDescent="0.3">
      <c r="W287" s="14"/>
    </row>
    <row r="288" spans="23:23" s="12" customFormat="1" x14ac:dyDescent="0.3">
      <c r="W288" s="14"/>
    </row>
    <row r="289" spans="23:23" s="12" customFormat="1" x14ac:dyDescent="0.3">
      <c r="W289" s="14"/>
    </row>
    <row r="290" spans="23:23" s="12" customFormat="1" x14ac:dyDescent="0.3">
      <c r="W290" s="14"/>
    </row>
    <row r="291" spans="23:23" s="12" customFormat="1" x14ac:dyDescent="0.3">
      <c r="W291" s="14"/>
    </row>
    <row r="292" spans="23:23" s="12" customFormat="1" x14ac:dyDescent="0.3">
      <c r="W292" s="14"/>
    </row>
    <row r="293" spans="23:23" s="12" customFormat="1" x14ac:dyDescent="0.3">
      <c r="W293" s="14"/>
    </row>
    <row r="294" spans="23:23" s="12" customFormat="1" x14ac:dyDescent="0.3">
      <c r="W294" s="14"/>
    </row>
    <row r="295" spans="23:23" s="12" customFormat="1" x14ac:dyDescent="0.3">
      <c r="W295" s="14"/>
    </row>
    <row r="296" spans="23:23" s="12" customFormat="1" x14ac:dyDescent="0.3">
      <c r="W296" s="14"/>
    </row>
    <row r="297" spans="23:23" s="12" customFormat="1" x14ac:dyDescent="0.3">
      <c r="W297" s="14"/>
    </row>
    <row r="298" spans="23:23" s="12" customFormat="1" x14ac:dyDescent="0.3">
      <c r="W298" s="14"/>
    </row>
    <row r="299" spans="23:23" s="12" customFormat="1" x14ac:dyDescent="0.3">
      <c r="W299" s="14"/>
    </row>
    <row r="300" spans="23:23" s="12" customFormat="1" x14ac:dyDescent="0.3">
      <c r="W300" s="14"/>
    </row>
    <row r="301" spans="23:23" s="12" customFormat="1" x14ac:dyDescent="0.3">
      <c r="W301" s="14"/>
    </row>
    <row r="302" spans="23:23" s="12" customFormat="1" x14ac:dyDescent="0.3">
      <c r="W302" s="14"/>
    </row>
    <row r="303" spans="23:23" s="12" customFormat="1" x14ac:dyDescent="0.3">
      <c r="W303" s="14"/>
    </row>
    <row r="304" spans="23:23" s="12" customFormat="1" x14ac:dyDescent="0.3">
      <c r="W304" s="14"/>
    </row>
    <row r="305" spans="23:23" s="12" customFormat="1" x14ac:dyDescent="0.3">
      <c r="W305" s="14"/>
    </row>
    <row r="306" spans="23:23" s="12" customFormat="1" x14ac:dyDescent="0.3">
      <c r="W306" s="14"/>
    </row>
    <row r="307" spans="23:23" s="12" customFormat="1" x14ac:dyDescent="0.3">
      <c r="W307" s="14"/>
    </row>
    <row r="308" spans="23:23" s="12" customFormat="1" x14ac:dyDescent="0.3">
      <c r="W308" s="14"/>
    </row>
    <row r="309" spans="23:23" s="12" customFormat="1" x14ac:dyDescent="0.3">
      <c r="W309" s="14"/>
    </row>
    <row r="310" spans="23:23" s="12" customFormat="1" x14ac:dyDescent="0.3">
      <c r="W310" s="14"/>
    </row>
    <row r="311" spans="23:23" s="12" customFormat="1" x14ac:dyDescent="0.3">
      <c r="W311" s="14"/>
    </row>
    <row r="312" spans="23:23" s="12" customFormat="1" x14ac:dyDescent="0.3">
      <c r="W312" s="14"/>
    </row>
    <row r="313" spans="23:23" s="12" customFormat="1" x14ac:dyDescent="0.3">
      <c r="W313" s="14"/>
    </row>
    <row r="314" spans="23:23" s="12" customFormat="1" x14ac:dyDescent="0.3">
      <c r="W314" s="14"/>
    </row>
    <row r="315" spans="23:23" s="12" customFormat="1" x14ac:dyDescent="0.3">
      <c r="W315" s="14"/>
    </row>
    <row r="316" spans="23:23" s="12" customFormat="1" x14ac:dyDescent="0.3">
      <c r="W316" s="14"/>
    </row>
    <row r="317" spans="23:23" s="12" customFormat="1" x14ac:dyDescent="0.3">
      <c r="W317" s="14"/>
    </row>
    <row r="318" spans="23:23" s="12" customFormat="1" x14ac:dyDescent="0.3">
      <c r="W318" s="14"/>
    </row>
    <row r="319" spans="23:23" s="12" customFormat="1" x14ac:dyDescent="0.3">
      <c r="W319" s="14"/>
    </row>
    <row r="320" spans="23:23" s="12" customFormat="1" x14ac:dyDescent="0.3">
      <c r="W320" s="14"/>
    </row>
    <row r="321" spans="23:23" s="12" customFormat="1" x14ac:dyDescent="0.3">
      <c r="W321" s="14"/>
    </row>
    <row r="322" spans="23:23" s="12" customFormat="1" x14ac:dyDescent="0.3">
      <c r="W322" s="14"/>
    </row>
    <row r="323" spans="23:23" s="12" customFormat="1" x14ac:dyDescent="0.3">
      <c r="W323" s="14"/>
    </row>
    <row r="324" spans="23:23" s="12" customFormat="1" x14ac:dyDescent="0.3">
      <c r="W324" s="14"/>
    </row>
    <row r="325" spans="23:23" s="12" customFormat="1" x14ac:dyDescent="0.3">
      <c r="W325" s="14"/>
    </row>
    <row r="326" spans="23:23" s="12" customFormat="1" x14ac:dyDescent="0.3">
      <c r="W326" s="14"/>
    </row>
    <row r="327" spans="23:23" s="12" customFormat="1" x14ac:dyDescent="0.3">
      <c r="W327" s="14"/>
    </row>
    <row r="328" spans="23:23" s="12" customFormat="1" x14ac:dyDescent="0.3">
      <c r="W328" s="14"/>
    </row>
    <row r="329" spans="23:23" s="12" customFormat="1" x14ac:dyDescent="0.3">
      <c r="W329" s="14"/>
    </row>
    <row r="330" spans="23:23" s="12" customFormat="1" x14ac:dyDescent="0.3">
      <c r="W330" s="14"/>
    </row>
    <row r="331" spans="23:23" s="12" customFormat="1" x14ac:dyDescent="0.3">
      <c r="W331" s="14"/>
    </row>
    <row r="332" spans="23:23" s="12" customFormat="1" x14ac:dyDescent="0.3">
      <c r="W332" s="14"/>
    </row>
    <row r="333" spans="23:23" s="12" customFormat="1" x14ac:dyDescent="0.3">
      <c r="W333" s="14"/>
    </row>
    <row r="334" spans="23:23" s="12" customFormat="1" x14ac:dyDescent="0.3">
      <c r="W334" s="14"/>
    </row>
    <row r="335" spans="23:23" s="12" customFormat="1" x14ac:dyDescent="0.3">
      <c r="W335" s="14"/>
    </row>
    <row r="336" spans="23:23" s="12" customFormat="1" x14ac:dyDescent="0.3">
      <c r="W336" s="14"/>
    </row>
    <row r="337" spans="23:23" s="12" customFormat="1" x14ac:dyDescent="0.3">
      <c r="W337" s="14"/>
    </row>
    <row r="338" spans="23:23" s="12" customFormat="1" x14ac:dyDescent="0.3">
      <c r="W338" s="14"/>
    </row>
    <row r="339" spans="23:23" s="12" customFormat="1" x14ac:dyDescent="0.3">
      <c r="W339" s="14"/>
    </row>
    <row r="340" spans="23:23" s="12" customFormat="1" x14ac:dyDescent="0.3">
      <c r="W340" s="14"/>
    </row>
    <row r="341" spans="23:23" s="12" customFormat="1" x14ac:dyDescent="0.3">
      <c r="W341" s="14"/>
    </row>
    <row r="342" spans="23:23" s="12" customFormat="1" x14ac:dyDescent="0.3">
      <c r="W342" s="14"/>
    </row>
    <row r="343" spans="23:23" s="12" customFormat="1" x14ac:dyDescent="0.3">
      <c r="W343" s="14"/>
    </row>
    <row r="344" spans="23:23" s="12" customFormat="1" x14ac:dyDescent="0.3">
      <c r="W344" s="14"/>
    </row>
    <row r="345" spans="23:23" s="12" customFormat="1" x14ac:dyDescent="0.3">
      <c r="W345" s="14"/>
    </row>
    <row r="346" spans="23:23" s="12" customFormat="1" x14ac:dyDescent="0.3">
      <c r="W346" s="14"/>
    </row>
    <row r="347" spans="23:23" s="12" customFormat="1" x14ac:dyDescent="0.3">
      <c r="W347" s="14"/>
    </row>
    <row r="348" spans="23:23" s="12" customFormat="1" x14ac:dyDescent="0.3">
      <c r="W348" s="14"/>
    </row>
    <row r="349" spans="23:23" s="12" customFormat="1" x14ac:dyDescent="0.3">
      <c r="W349" s="14"/>
    </row>
    <row r="350" spans="23:23" s="12" customFormat="1" x14ac:dyDescent="0.3">
      <c r="W350" s="14"/>
    </row>
    <row r="351" spans="23:23" s="12" customFormat="1" x14ac:dyDescent="0.3">
      <c r="W351" s="14"/>
    </row>
    <row r="352" spans="23:23" s="12" customFormat="1" x14ac:dyDescent="0.3">
      <c r="W352" s="14"/>
    </row>
    <row r="353" spans="23:23" s="12" customFormat="1" x14ac:dyDescent="0.3">
      <c r="W353" s="14"/>
    </row>
    <row r="354" spans="23:23" s="12" customFormat="1" x14ac:dyDescent="0.3">
      <c r="W354" s="14"/>
    </row>
    <row r="355" spans="23:23" s="12" customFormat="1" x14ac:dyDescent="0.3">
      <c r="W355" s="14"/>
    </row>
    <row r="356" spans="23:23" s="12" customFormat="1" x14ac:dyDescent="0.3">
      <c r="W356" s="14"/>
    </row>
    <row r="357" spans="23:23" s="12" customFormat="1" x14ac:dyDescent="0.3">
      <c r="W357" s="14"/>
    </row>
    <row r="358" spans="23:23" s="12" customFormat="1" x14ac:dyDescent="0.3">
      <c r="W358" s="14"/>
    </row>
    <row r="359" spans="23:23" s="12" customFormat="1" x14ac:dyDescent="0.3">
      <c r="W359" s="14"/>
    </row>
    <row r="360" spans="23:23" s="12" customFormat="1" x14ac:dyDescent="0.3">
      <c r="W360" s="14"/>
    </row>
    <row r="361" spans="23:23" s="12" customFormat="1" x14ac:dyDescent="0.3">
      <c r="W361" s="14"/>
    </row>
    <row r="362" spans="23:23" s="12" customFormat="1" x14ac:dyDescent="0.3">
      <c r="W362" s="14"/>
    </row>
    <row r="363" spans="23:23" s="12" customFormat="1" x14ac:dyDescent="0.3">
      <c r="W363" s="14"/>
    </row>
    <row r="364" spans="23:23" s="12" customFormat="1" x14ac:dyDescent="0.3">
      <c r="W364" s="14"/>
    </row>
    <row r="365" spans="23:23" s="12" customFormat="1" x14ac:dyDescent="0.3">
      <c r="W365" s="14"/>
    </row>
    <row r="366" spans="23:23" s="12" customFormat="1" x14ac:dyDescent="0.3">
      <c r="W366" s="14"/>
    </row>
    <row r="367" spans="23:23" s="12" customFormat="1" x14ac:dyDescent="0.3">
      <c r="W367" s="14"/>
    </row>
    <row r="368" spans="23:23" s="12" customFormat="1" x14ac:dyDescent="0.3">
      <c r="W368" s="14"/>
    </row>
    <row r="369" spans="23:23" s="12" customFormat="1" x14ac:dyDescent="0.3">
      <c r="W369" s="14"/>
    </row>
    <row r="370" spans="23:23" s="12" customFormat="1" x14ac:dyDescent="0.3">
      <c r="W370" s="14"/>
    </row>
    <row r="371" spans="23:23" s="12" customFormat="1" x14ac:dyDescent="0.3">
      <c r="W371" s="14"/>
    </row>
    <row r="372" spans="23:23" s="12" customFormat="1" x14ac:dyDescent="0.3">
      <c r="W372" s="14"/>
    </row>
    <row r="373" spans="23:23" s="12" customFormat="1" x14ac:dyDescent="0.3">
      <c r="W373" s="14"/>
    </row>
    <row r="374" spans="23:23" s="12" customFormat="1" x14ac:dyDescent="0.3">
      <c r="W374" s="14"/>
    </row>
    <row r="375" spans="23:23" s="12" customFormat="1" x14ac:dyDescent="0.3">
      <c r="W375" s="14"/>
    </row>
    <row r="376" spans="23:23" s="12" customFormat="1" x14ac:dyDescent="0.3">
      <c r="W376" s="14"/>
    </row>
    <row r="377" spans="23:23" s="12" customFormat="1" x14ac:dyDescent="0.3">
      <c r="W377" s="14"/>
    </row>
    <row r="378" spans="23:23" s="12" customFormat="1" x14ac:dyDescent="0.3">
      <c r="W378" s="14"/>
    </row>
    <row r="379" spans="23:23" s="12" customFormat="1" x14ac:dyDescent="0.3">
      <c r="W379" s="14"/>
    </row>
    <row r="380" spans="23:23" s="12" customFormat="1" x14ac:dyDescent="0.3">
      <c r="W380" s="14"/>
    </row>
    <row r="381" spans="23:23" s="12" customFormat="1" x14ac:dyDescent="0.3">
      <c r="W381" s="14"/>
    </row>
    <row r="382" spans="23:23" s="12" customFormat="1" x14ac:dyDescent="0.3">
      <c r="W382" s="14"/>
    </row>
    <row r="383" spans="23:23" s="12" customFormat="1" x14ac:dyDescent="0.3">
      <c r="W383" s="14"/>
    </row>
    <row r="384" spans="23:23" s="12" customFormat="1" x14ac:dyDescent="0.3">
      <c r="W384" s="14"/>
    </row>
    <row r="385" spans="23:23" s="12" customFormat="1" x14ac:dyDescent="0.3">
      <c r="W385" s="14"/>
    </row>
    <row r="386" spans="23:23" s="12" customFormat="1" x14ac:dyDescent="0.3">
      <c r="W386" s="14"/>
    </row>
    <row r="387" spans="23:23" s="12" customFormat="1" x14ac:dyDescent="0.3">
      <c r="W387" s="14"/>
    </row>
    <row r="388" spans="23:23" s="12" customFormat="1" x14ac:dyDescent="0.3">
      <c r="W388" s="14"/>
    </row>
    <row r="389" spans="23:23" s="12" customFormat="1" x14ac:dyDescent="0.3">
      <c r="W389" s="14"/>
    </row>
    <row r="390" spans="23:23" s="12" customFormat="1" x14ac:dyDescent="0.3">
      <c r="W390" s="14"/>
    </row>
    <row r="391" spans="23:23" s="12" customFormat="1" x14ac:dyDescent="0.3">
      <c r="W391" s="14"/>
    </row>
    <row r="392" spans="23:23" s="12" customFormat="1" x14ac:dyDescent="0.3">
      <c r="W392" s="14"/>
    </row>
    <row r="393" spans="23:23" s="12" customFormat="1" x14ac:dyDescent="0.3">
      <c r="W393" s="14"/>
    </row>
    <row r="394" spans="23:23" s="12" customFormat="1" x14ac:dyDescent="0.3">
      <c r="W394" s="14"/>
    </row>
    <row r="395" spans="23:23" s="12" customFormat="1" x14ac:dyDescent="0.3">
      <c r="W395" s="14"/>
    </row>
    <row r="396" spans="23:23" s="12" customFormat="1" x14ac:dyDescent="0.3">
      <c r="W396" s="14"/>
    </row>
    <row r="397" spans="23:23" s="12" customFormat="1" x14ac:dyDescent="0.3">
      <c r="W397" s="14"/>
    </row>
    <row r="398" spans="23:23" s="12" customFormat="1" x14ac:dyDescent="0.3">
      <c r="W398" s="14"/>
    </row>
    <row r="399" spans="23:23" s="12" customFormat="1" x14ac:dyDescent="0.3">
      <c r="W399" s="14"/>
    </row>
    <row r="400" spans="23:23" s="12" customFormat="1" x14ac:dyDescent="0.3">
      <c r="W400" s="14"/>
    </row>
    <row r="401" spans="23:23" s="12" customFormat="1" x14ac:dyDescent="0.3">
      <c r="W401" s="14"/>
    </row>
    <row r="402" spans="23:23" s="12" customFormat="1" x14ac:dyDescent="0.3">
      <c r="W402" s="14"/>
    </row>
    <row r="403" spans="23:23" s="12" customFormat="1" x14ac:dyDescent="0.3">
      <c r="W403" s="14"/>
    </row>
    <row r="404" spans="23:23" s="12" customFormat="1" x14ac:dyDescent="0.3">
      <c r="W404" s="14"/>
    </row>
    <row r="405" spans="23:23" s="12" customFormat="1" x14ac:dyDescent="0.3">
      <c r="W405" s="14"/>
    </row>
    <row r="406" spans="23:23" s="12" customFormat="1" x14ac:dyDescent="0.3">
      <c r="W406" s="14"/>
    </row>
    <row r="407" spans="23:23" s="12" customFormat="1" x14ac:dyDescent="0.3">
      <c r="W407" s="14"/>
    </row>
    <row r="408" spans="23:23" s="12" customFormat="1" x14ac:dyDescent="0.3">
      <c r="W408" s="14"/>
    </row>
    <row r="409" spans="23:23" s="12" customFormat="1" x14ac:dyDescent="0.3">
      <c r="W409" s="14"/>
    </row>
    <row r="410" spans="23:23" s="12" customFormat="1" x14ac:dyDescent="0.3">
      <c r="W410" s="14"/>
    </row>
    <row r="411" spans="23:23" s="12" customFormat="1" x14ac:dyDescent="0.3">
      <c r="W411" s="14"/>
    </row>
    <row r="412" spans="23:23" s="12" customFormat="1" x14ac:dyDescent="0.3">
      <c r="W412" s="14"/>
    </row>
    <row r="413" spans="23:23" s="12" customFormat="1" x14ac:dyDescent="0.3">
      <c r="W413" s="14"/>
    </row>
    <row r="414" spans="23:23" s="12" customFormat="1" x14ac:dyDescent="0.3">
      <c r="W414" s="14"/>
    </row>
    <row r="415" spans="23:23" s="12" customFormat="1" x14ac:dyDescent="0.3">
      <c r="W415" s="14"/>
    </row>
    <row r="416" spans="23:23" s="12" customFormat="1" x14ac:dyDescent="0.3">
      <c r="W416" s="14"/>
    </row>
    <row r="417" spans="23:23" s="12" customFormat="1" x14ac:dyDescent="0.3">
      <c r="W417" s="14"/>
    </row>
    <row r="418" spans="23:23" s="12" customFormat="1" x14ac:dyDescent="0.3">
      <c r="W418" s="14"/>
    </row>
    <row r="419" spans="23:23" s="12" customFormat="1" x14ac:dyDescent="0.3">
      <c r="W419" s="14"/>
    </row>
    <row r="420" spans="23:23" s="12" customFormat="1" x14ac:dyDescent="0.3">
      <c r="W420" s="14"/>
    </row>
    <row r="421" spans="23:23" s="12" customFormat="1" x14ac:dyDescent="0.3">
      <c r="W421" s="14"/>
    </row>
    <row r="422" spans="23:23" s="12" customFormat="1" x14ac:dyDescent="0.3">
      <c r="W422" s="14"/>
    </row>
    <row r="423" spans="23:23" s="12" customFormat="1" x14ac:dyDescent="0.3">
      <c r="W423" s="14"/>
    </row>
    <row r="424" spans="23:23" s="12" customFormat="1" x14ac:dyDescent="0.3">
      <c r="W424" s="14"/>
    </row>
    <row r="425" spans="23:23" s="12" customFormat="1" x14ac:dyDescent="0.3">
      <c r="W425" s="14"/>
    </row>
    <row r="426" spans="23:23" s="12" customFormat="1" x14ac:dyDescent="0.3">
      <c r="W426" s="14"/>
    </row>
    <row r="427" spans="23:23" s="12" customFormat="1" x14ac:dyDescent="0.3">
      <c r="W427" s="14"/>
    </row>
    <row r="428" spans="23:23" s="12" customFormat="1" x14ac:dyDescent="0.3">
      <c r="W428" s="14"/>
    </row>
    <row r="429" spans="23:23" s="12" customFormat="1" x14ac:dyDescent="0.3">
      <c r="W429" s="14"/>
    </row>
    <row r="430" spans="23:23" s="12" customFormat="1" x14ac:dyDescent="0.3">
      <c r="W430" s="14"/>
    </row>
    <row r="431" spans="23:23" s="12" customFormat="1" x14ac:dyDescent="0.3">
      <c r="W431" s="14"/>
    </row>
    <row r="432" spans="23:23" s="12" customFormat="1" x14ac:dyDescent="0.3">
      <c r="W432" s="14"/>
    </row>
    <row r="433" spans="23:23" s="12" customFormat="1" x14ac:dyDescent="0.3">
      <c r="W433" s="14"/>
    </row>
    <row r="434" spans="23:23" s="12" customFormat="1" x14ac:dyDescent="0.3">
      <c r="W434" s="14"/>
    </row>
    <row r="435" spans="23:23" s="12" customFormat="1" x14ac:dyDescent="0.3">
      <c r="W435" s="14"/>
    </row>
    <row r="436" spans="23:23" s="12" customFormat="1" x14ac:dyDescent="0.3">
      <c r="W436" s="14"/>
    </row>
    <row r="437" spans="23:23" s="12" customFormat="1" x14ac:dyDescent="0.3">
      <c r="W437" s="14"/>
    </row>
    <row r="438" spans="23:23" s="12" customFormat="1" x14ac:dyDescent="0.3">
      <c r="W438" s="14"/>
    </row>
    <row r="439" spans="23:23" s="12" customFormat="1" x14ac:dyDescent="0.3">
      <c r="W439" s="14"/>
    </row>
    <row r="440" spans="23:23" s="12" customFormat="1" x14ac:dyDescent="0.3">
      <c r="W440" s="14"/>
    </row>
    <row r="441" spans="23:23" s="12" customFormat="1" x14ac:dyDescent="0.3">
      <c r="W441" s="14"/>
    </row>
    <row r="442" spans="23:23" s="12" customFormat="1" x14ac:dyDescent="0.3">
      <c r="W442" s="14"/>
    </row>
    <row r="443" spans="23:23" s="12" customFormat="1" x14ac:dyDescent="0.3">
      <c r="W443" s="14"/>
    </row>
    <row r="444" spans="23:23" s="12" customFormat="1" x14ac:dyDescent="0.3">
      <c r="W444" s="14"/>
    </row>
    <row r="445" spans="23:23" s="12" customFormat="1" x14ac:dyDescent="0.3">
      <c r="W445" s="14"/>
    </row>
    <row r="446" spans="23:23" s="12" customFormat="1" x14ac:dyDescent="0.3">
      <c r="W446" s="14"/>
    </row>
    <row r="447" spans="23:23" s="12" customFormat="1" x14ac:dyDescent="0.3">
      <c r="W447" s="14"/>
    </row>
    <row r="448" spans="23:23" s="12" customFormat="1" x14ac:dyDescent="0.3">
      <c r="W448" s="14"/>
    </row>
    <row r="449" spans="23:23" s="12" customFormat="1" x14ac:dyDescent="0.3">
      <c r="W449" s="14"/>
    </row>
    <row r="450" spans="23:23" s="12" customFormat="1" x14ac:dyDescent="0.3">
      <c r="W450" s="14"/>
    </row>
    <row r="451" spans="23:23" s="12" customFormat="1" x14ac:dyDescent="0.3">
      <c r="W451" s="14"/>
    </row>
    <row r="452" spans="23:23" s="12" customFormat="1" x14ac:dyDescent="0.3">
      <c r="W452" s="14"/>
    </row>
    <row r="453" spans="23:23" s="12" customFormat="1" x14ac:dyDescent="0.3">
      <c r="W453" s="14"/>
    </row>
    <row r="454" spans="23:23" s="12" customFormat="1" x14ac:dyDescent="0.3">
      <c r="W454" s="14"/>
    </row>
    <row r="455" spans="23:23" s="12" customFormat="1" x14ac:dyDescent="0.3">
      <c r="W455" s="14"/>
    </row>
    <row r="456" spans="23:23" s="12" customFormat="1" x14ac:dyDescent="0.3">
      <c r="W456" s="14"/>
    </row>
    <row r="457" spans="23:23" s="12" customFormat="1" x14ac:dyDescent="0.3">
      <c r="W457" s="14"/>
    </row>
    <row r="458" spans="23:23" s="12" customFormat="1" x14ac:dyDescent="0.3">
      <c r="W458" s="14"/>
    </row>
    <row r="459" spans="23:23" s="12" customFormat="1" x14ac:dyDescent="0.3">
      <c r="W459" s="14"/>
    </row>
    <row r="460" spans="23:23" s="12" customFormat="1" x14ac:dyDescent="0.3">
      <c r="W460" s="14"/>
    </row>
    <row r="461" spans="23:23" s="12" customFormat="1" x14ac:dyDescent="0.3">
      <c r="W461" s="14"/>
    </row>
    <row r="462" spans="23:23" s="12" customFormat="1" x14ac:dyDescent="0.3">
      <c r="W462" s="14"/>
    </row>
    <row r="463" spans="23:23" s="12" customFormat="1" x14ac:dyDescent="0.3">
      <c r="W463" s="14"/>
    </row>
    <row r="464" spans="23:23" s="12" customFormat="1" x14ac:dyDescent="0.3">
      <c r="W464" s="14"/>
    </row>
    <row r="465" spans="23:23" s="12" customFormat="1" x14ac:dyDescent="0.3">
      <c r="W465" s="14"/>
    </row>
    <row r="466" spans="23:23" s="12" customFormat="1" x14ac:dyDescent="0.3">
      <c r="W466" s="14"/>
    </row>
    <row r="467" spans="23:23" s="12" customFormat="1" x14ac:dyDescent="0.3">
      <c r="W467" s="14"/>
    </row>
    <row r="468" spans="23:23" s="12" customFormat="1" x14ac:dyDescent="0.3">
      <c r="W468" s="14"/>
    </row>
    <row r="469" spans="23:23" s="12" customFormat="1" x14ac:dyDescent="0.3">
      <c r="W469" s="14"/>
    </row>
    <row r="470" spans="23:23" s="12" customFormat="1" x14ac:dyDescent="0.3">
      <c r="W470" s="14"/>
    </row>
    <row r="471" spans="23:23" s="12" customFormat="1" x14ac:dyDescent="0.3">
      <c r="W471" s="14"/>
    </row>
    <row r="472" spans="23:23" s="12" customFormat="1" x14ac:dyDescent="0.3">
      <c r="W472" s="14"/>
    </row>
    <row r="473" spans="23:23" s="12" customFormat="1" x14ac:dyDescent="0.3">
      <c r="W473" s="14"/>
    </row>
    <row r="474" spans="23:23" s="12" customFormat="1" x14ac:dyDescent="0.3">
      <c r="W474" s="14"/>
    </row>
    <row r="475" spans="23:23" s="12" customFormat="1" x14ac:dyDescent="0.3">
      <c r="W475" s="14"/>
    </row>
    <row r="476" spans="23:23" s="12" customFormat="1" x14ac:dyDescent="0.3">
      <c r="W476" s="14"/>
    </row>
    <row r="477" spans="23:23" s="12" customFormat="1" x14ac:dyDescent="0.3">
      <c r="W477" s="14"/>
    </row>
    <row r="478" spans="23:23" s="12" customFormat="1" x14ac:dyDescent="0.3">
      <c r="W478" s="14"/>
    </row>
    <row r="479" spans="23:23" s="12" customFormat="1" x14ac:dyDescent="0.3">
      <c r="W479" s="14"/>
    </row>
    <row r="480" spans="23:23" s="12" customFormat="1" x14ac:dyDescent="0.3">
      <c r="W480" s="14"/>
    </row>
    <row r="481" spans="23:23" s="12" customFormat="1" x14ac:dyDescent="0.3">
      <c r="W481" s="14"/>
    </row>
    <row r="482" spans="23:23" s="12" customFormat="1" x14ac:dyDescent="0.3">
      <c r="W482" s="14"/>
    </row>
    <row r="483" spans="23:23" s="12" customFormat="1" x14ac:dyDescent="0.3">
      <c r="W483" s="14"/>
    </row>
    <row r="484" spans="23:23" s="12" customFormat="1" x14ac:dyDescent="0.3">
      <c r="W484" s="14"/>
    </row>
    <row r="485" spans="23:23" s="12" customFormat="1" x14ac:dyDescent="0.3">
      <c r="W485" s="14"/>
    </row>
    <row r="486" spans="23:23" s="12" customFormat="1" x14ac:dyDescent="0.3">
      <c r="W486" s="14"/>
    </row>
    <row r="487" spans="23:23" s="12" customFormat="1" x14ac:dyDescent="0.3">
      <c r="W487" s="14"/>
    </row>
    <row r="488" spans="23:23" s="12" customFormat="1" x14ac:dyDescent="0.3">
      <c r="W488" s="14"/>
    </row>
    <row r="489" spans="23:23" s="12" customFormat="1" x14ac:dyDescent="0.3">
      <c r="W489" s="14"/>
    </row>
    <row r="490" spans="23:23" s="12" customFormat="1" x14ac:dyDescent="0.3">
      <c r="W490" s="14"/>
    </row>
    <row r="491" spans="23:23" s="12" customFormat="1" x14ac:dyDescent="0.3">
      <c r="W491" s="14"/>
    </row>
    <row r="492" spans="23:23" s="12" customFormat="1" x14ac:dyDescent="0.3">
      <c r="W492" s="14"/>
    </row>
    <row r="493" spans="23:23" s="12" customFormat="1" x14ac:dyDescent="0.3">
      <c r="W493" s="14"/>
    </row>
    <row r="494" spans="23:23" s="12" customFormat="1" x14ac:dyDescent="0.3">
      <c r="W494" s="14"/>
    </row>
    <row r="495" spans="23:23" s="12" customFormat="1" x14ac:dyDescent="0.3">
      <c r="W495" s="14"/>
    </row>
    <row r="496" spans="23:23" s="12" customFormat="1" x14ac:dyDescent="0.3">
      <c r="W496" s="14"/>
    </row>
    <row r="497" spans="23:23" s="12" customFormat="1" x14ac:dyDescent="0.3">
      <c r="W497" s="14"/>
    </row>
    <row r="498" spans="23:23" s="12" customFormat="1" x14ac:dyDescent="0.3">
      <c r="W498" s="14"/>
    </row>
    <row r="499" spans="23:23" s="12" customFormat="1" x14ac:dyDescent="0.3">
      <c r="W499" s="14"/>
    </row>
    <row r="500" spans="23:23" s="12" customFormat="1" x14ac:dyDescent="0.3">
      <c r="W500" s="14"/>
    </row>
    <row r="501" spans="23:23" s="12" customFormat="1" x14ac:dyDescent="0.3">
      <c r="W501" s="14"/>
    </row>
    <row r="502" spans="23:23" s="12" customFormat="1" x14ac:dyDescent="0.3">
      <c r="W502" s="14"/>
    </row>
    <row r="503" spans="23:23" s="12" customFormat="1" x14ac:dyDescent="0.3">
      <c r="W503" s="14"/>
    </row>
    <row r="504" spans="23:23" s="12" customFormat="1" x14ac:dyDescent="0.3">
      <c r="W504" s="14"/>
    </row>
    <row r="505" spans="23:23" s="12" customFormat="1" x14ac:dyDescent="0.3">
      <c r="W505" s="14"/>
    </row>
    <row r="506" spans="23:23" s="12" customFormat="1" x14ac:dyDescent="0.3">
      <c r="W506" s="14"/>
    </row>
    <row r="507" spans="23:23" s="12" customFormat="1" x14ac:dyDescent="0.3">
      <c r="W507" s="14"/>
    </row>
    <row r="508" spans="23:23" s="12" customFormat="1" x14ac:dyDescent="0.3">
      <c r="W508" s="14"/>
    </row>
    <row r="509" spans="23:23" s="12" customFormat="1" x14ac:dyDescent="0.3">
      <c r="W509" s="14"/>
    </row>
    <row r="510" spans="23:23" s="12" customFormat="1" x14ac:dyDescent="0.3">
      <c r="W510" s="14"/>
    </row>
    <row r="511" spans="23:23" s="12" customFormat="1" x14ac:dyDescent="0.3">
      <c r="W511" s="14"/>
    </row>
    <row r="512" spans="23:23" s="12" customFormat="1" x14ac:dyDescent="0.3">
      <c r="W512" s="14"/>
    </row>
    <row r="513" spans="23:23" s="12" customFormat="1" x14ac:dyDescent="0.3">
      <c r="W513" s="14"/>
    </row>
    <row r="514" spans="23:23" s="12" customFormat="1" x14ac:dyDescent="0.3">
      <c r="W514" s="14"/>
    </row>
    <row r="515" spans="23:23" s="12" customFormat="1" x14ac:dyDescent="0.3">
      <c r="W515" s="14"/>
    </row>
    <row r="516" spans="23:23" s="12" customFormat="1" x14ac:dyDescent="0.3">
      <c r="W516" s="14"/>
    </row>
    <row r="517" spans="23:23" s="12" customFormat="1" x14ac:dyDescent="0.3">
      <c r="W517" s="14"/>
    </row>
    <row r="518" spans="23:23" s="12" customFormat="1" x14ac:dyDescent="0.3">
      <c r="W518" s="14"/>
    </row>
    <row r="519" spans="23:23" s="12" customFormat="1" x14ac:dyDescent="0.3">
      <c r="W519" s="14"/>
    </row>
    <row r="520" spans="23:23" s="12" customFormat="1" x14ac:dyDescent="0.3">
      <c r="W520" s="14"/>
    </row>
    <row r="521" spans="23:23" s="12" customFormat="1" x14ac:dyDescent="0.3">
      <c r="W521" s="14"/>
    </row>
    <row r="522" spans="23:23" s="12" customFormat="1" x14ac:dyDescent="0.3">
      <c r="W522" s="14"/>
    </row>
    <row r="523" spans="23:23" s="12" customFormat="1" x14ac:dyDescent="0.3">
      <c r="W523" s="14"/>
    </row>
    <row r="524" spans="23:23" s="12" customFormat="1" x14ac:dyDescent="0.3">
      <c r="W524" s="14"/>
    </row>
    <row r="525" spans="23:23" s="12" customFormat="1" x14ac:dyDescent="0.3">
      <c r="W525" s="14"/>
    </row>
    <row r="526" spans="23:23" s="12" customFormat="1" x14ac:dyDescent="0.3">
      <c r="W526" s="14"/>
    </row>
    <row r="527" spans="23:23" s="12" customFormat="1" x14ac:dyDescent="0.3">
      <c r="W527" s="14"/>
    </row>
    <row r="528" spans="23:23" s="12" customFormat="1" x14ac:dyDescent="0.3">
      <c r="W528" s="14"/>
    </row>
    <row r="529" spans="23:23" s="12" customFormat="1" x14ac:dyDescent="0.3">
      <c r="W529" s="14"/>
    </row>
    <row r="530" spans="23:23" s="12" customFormat="1" x14ac:dyDescent="0.3">
      <c r="W530" s="14"/>
    </row>
    <row r="531" spans="23:23" s="12" customFormat="1" x14ac:dyDescent="0.3">
      <c r="W531" s="14"/>
    </row>
    <row r="532" spans="23:23" s="12" customFormat="1" x14ac:dyDescent="0.3">
      <c r="W532" s="14"/>
    </row>
    <row r="533" spans="23:23" s="12" customFormat="1" x14ac:dyDescent="0.3">
      <c r="W533" s="14"/>
    </row>
    <row r="534" spans="23:23" s="12" customFormat="1" x14ac:dyDescent="0.3">
      <c r="W534" s="14"/>
    </row>
    <row r="535" spans="23:23" s="12" customFormat="1" x14ac:dyDescent="0.3">
      <c r="W535" s="14"/>
    </row>
    <row r="536" spans="23:23" s="12" customFormat="1" x14ac:dyDescent="0.3">
      <c r="W536" s="14"/>
    </row>
    <row r="537" spans="23:23" s="12" customFormat="1" x14ac:dyDescent="0.3">
      <c r="W537" s="14"/>
    </row>
    <row r="538" spans="23:23" s="12" customFormat="1" x14ac:dyDescent="0.3">
      <c r="W538" s="14"/>
    </row>
    <row r="539" spans="23:23" s="12" customFormat="1" x14ac:dyDescent="0.3">
      <c r="W539" s="14"/>
    </row>
    <row r="540" spans="23:23" s="12" customFormat="1" x14ac:dyDescent="0.3">
      <c r="W540" s="14"/>
    </row>
    <row r="541" spans="23:23" s="12" customFormat="1" x14ac:dyDescent="0.3">
      <c r="W541" s="14"/>
    </row>
    <row r="542" spans="23:23" s="12" customFormat="1" x14ac:dyDescent="0.3">
      <c r="W542" s="14"/>
    </row>
    <row r="543" spans="23:23" s="12" customFormat="1" x14ac:dyDescent="0.3">
      <c r="W543" s="14"/>
    </row>
    <row r="544" spans="23:23" s="12" customFormat="1" x14ac:dyDescent="0.3">
      <c r="W544" s="14"/>
    </row>
    <row r="545" spans="23:23" s="12" customFormat="1" x14ac:dyDescent="0.3">
      <c r="W545" s="14"/>
    </row>
    <row r="546" spans="23:23" s="12" customFormat="1" x14ac:dyDescent="0.3">
      <c r="W546" s="14"/>
    </row>
    <row r="547" spans="23:23" s="12" customFormat="1" x14ac:dyDescent="0.3">
      <c r="W547" s="14"/>
    </row>
    <row r="548" spans="23:23" s="12" customFormat="1" x14ac:dyDescent="0.3">
      <c r="W548" s="14"/>
    </row>
    <row r="549" spans="23:23" s="12" customFormat="1" x14ac:dyDescent="0.3">
      <c r="W549" s="14"/>
    </row>
    <row r="550" spans="23:23" s="12" customFormat="1" x14ac:dyDescent="0.3">
      <c r="W550" s="14"/>
    </row>
    <row r="551" spans="23:23" s="12" customFormat="1" x14ac:dyDescent="0.3">
      <c r="W551" s="14"/>
    </row>
    <row r="552" spans="23:23" s="12" customFormat="1" x14ac:dyDescent="0.3">
      <c r="W552" s="14"/>
    </row>
    <row r="553" spans="23:23" s="12" customFormat="1" x14ac:dyDescent="0.3">
      <c r="W553" s="14"/>
    </row>
    <row r="554" spans="23:23" s="12" customFormat="1" x14ac:dyDescent="0.3">
      <c r="W554" s="14"/>
    </row>
    <row r="555" spans="23:23" s="12" customFormat="1" x14ac:dyDescent="0.3">
      <c r="W555" s="14"/>
    </row>
    <row r="556" spans="23:23" s="12" customFormat="1" x14ac:dyDescent="0.3">
      <c r="W556" s="14"/>
    </row>
    <row r="557" spans="23:23" s="12" customFormat="1" x14ac:dyDescent="0.3">
      <c r="W557" s="14"/>
    </row>
    <row r="558" spans="23:23" s="12" customFormat="1" x14ac:dyDescent="0.3">
      <c r="W558" s="14"/>
    </row>
    <row r="559" spans="23:23" s="12" customFormat="1" x14ac:dyDescent="0.3">
      <c r="W559" s="14"/>
    </row>
    <row r="560" spans="23:23" s="12" customFormat="1" x14ac:dyDescent="0.3">
      <c r="W560" s="14"/>
    </row>
    <row r="561" spans="23:23" s="12" customFormat="1" x14ac:dyDescent="0.3">
      <c r="W561" s="14"/>
    </row>
    <row r="562" spans="23:23" s="12" customFormat="1" x14ac:dyDescent="0.3">
      <c r="W562" s="14"/>
    </row>
    <row r="563" spans="23:23" s="12" customFormat="1" x14ac:dyDescent="0.3">
      <c r="W563" s="14"/>
    </row>
    <row r="564" spans="23:23" s="12" customFormat="1" x14ac:dyDescent="0.3">
      <c r="W564" s="14"/>
    </row>
    <row r="565" spans="23:23" s="12" customFormat="1" x14ac:dyDescent="0.3">
      <c r="W565" s="14"/>
    </row>
    <row r="566" spans="23:23" s="12" customFormat="1" x14ac:dyDescent="0.3">
      <c r="W566" s="14"/>
    </row>
    <row r="567" spans="23:23" s="12" customFormat="1" x14ac:dyDescent="0.3">
      <c r="W567" s="14"/>
    </row>
    <row r="568" spans="23:23" s="12" customFormat="1" x14ac:dyDescent="0.3">
      <c r="W568" s="14"/>
    </row>
    <row r="569" spans="23:23" s="12" customFormat="1" x14ac:dyDescent="0.3">
      <c r="W569" s="14"/>
    </row>
    <row r="570" spans="23:23" s="12" customFormat="1" x14ac:dyDescent="0.3">
      <c r="W570" s="14"/>
    </row>
    <row r="571" spans="23:23" s="12" customFormat="1" x14ac:dyDescent="0.3">
      <c r="W571" s="14"/>
    </row>
    <row r="572" spans="23:23" s="12" customFormat="1" x14ac:dyDescent="0.3">
      <c r="W572" s="14"/>
    </row>
    <row r="573" spans="23:23" s="12" customFormat="1" x14ac:dyDescent="0.3">
      <c r="W573" s="14"/>
    </row>
    <row r="574" spans="23:23" s="12" customFormat="1" x14ac:dyDescent="0.3">
      <c r="W574" s="14"/>
    </row>
    <row r="575" spans="23:23" s="12" customFormat="1" x14ac:dyDescent="0.3">
      <c r="W575" s="14"/>
    </row>
    <row r="576" spans="23:23" s="12" customFormat="1" x14ac:dyDescent="0.3">
      <c r="W576" s="14"/>
    </row>
    <row r="577" spans="23:23" s="12" customFormat="1" x14ac:dyDescent="0.3">
      <c r="W577" s="14"/>
    </row>
    <row r="578" spans="23:23" s="12" customFormat="1" x14ac:dyDescent="0.3">
      <c r="W578" s="14"/>
    </row>
    <row r="579" spans="23:23" s="12" customFormat="1" x14ac:dyDescent="0.3">
      <c r="W579" s="14"/>
    </row>
    <row r="580" spans="23:23" s="12" customFormat="1" x14ac:dyDescent="0.3">
      <c r="W580" s="14"/>
    </row>
    <row r="581" spans="23:23" s="12" customFormat="1" x14ac:dyDescent="0.3">
      <c r="W581" s="14"/>
    </row>
    <row r="582" spans="23:23" s="12" customFormat="1" x14ac:dyDescent="0.3">
      <c r="W582" s="14"/>
    </row>
    <row r="583" spans="23:23" s="12" customFormat="1" x14ac:dyDescent="0.3">
      <c r="W583" s="14"/>
    </row>
    <row r="584" spans="23:23" s="12" customFormat="1" x14ac:dyDescent="0.3">
      <c r="W584" s="14"/>
    </row>
    <row r="585" spans="23:23" s="12" customFormat="1" x14ac:dyDescent="0.3">
      <c r="W585" s="14"/>
    </row>
    <row r="586" spans="23:23" s="12" customFormat="1" x14ac:dyDescent="0.3">
      <c r="W586" s="14"/>
    </row>
    <row r="587" spans="23:23" s="12" customFormat="1" x14ac:dyDescent="0.3">
      <c r="W587" s="14"/>
    </row>
    <row r="588" spans="23:23" s="12" customFormat="1" x14ac:dyDescent="0.3">
      <c r="W588" s="14"/>
    </row>
    <row r="589" spans="23:23" s="12" customFormat="1" x14ac:dyDescent="0.3">
      <c r="W589" s="14"/>
    </row>
    <row r="590" spans="23:23" s="12" customFormat="1" x14ac:dyDescent="0.3">
      <c r="W590" s="14"/>
    </row>
    <row r="591" spans="23:23" s="12" customFormat="1" x14ac:dyDescent="0.3">
      <c r="W591" s="14"/>
    </row>
    <row r="592" spans="23:23" s="12" customFormat="1" x14ac:dyDescent="0.3">
      <c r="W592" s="14"/>
    </row>
    <row r="593" spans="23:23" s="12" customFormat="1" x14ac:dyDescent="0.3">
      <c r="W593" s="14"/>
    </row>
    <row r="594" spans="23:23" s="12" customFormat="1" x14ac:dyDescent="0.3">
      <c r="W594" s="14"/>
    </row>
    <row r="595" spans="23:23" s="12" customFormat="1" x14ac:dyDescent="0.3">
      <c r="W595" s="14"/>
    </row>
    <row r="596" spans="23:23" s="12" customFormat="1" x14ac:dyDescent="0.3">
      <c r="W596" s="14"/>
    </row>
    <row r="597" spans="23:23" s="12" customFormat="1" x14ac:dyDescent="0.3">
      <c r="W597" s="14"/>
    </row>
    <row r="598" spans="23:23" s="12" customFormat="1" x14ac:dyDescent="0.3">
      <c r="W598" s="14"/>
    </row>
    <row r="599" spans="23:23" s="12" customFormat="1" x14ac:dyDescent="0.3">
      <c r="W599" s="14"/>
    </row>
    <row r="600" spans="23:23" s="12" customFormat="1" x14ac:dyDescent="0.3">
      <c r="W600" s="14"/>
    </row>
    <row r="601" spans="23:23" s="12" customFormat="1" x14ac:dyDescent="0.3">
      <c r="W601" s="14"/>
    </row>
    <row r="602" spans="23:23" s="12" customFormat="1" x14ac:dyDescent="0.3">
      <c r="W602" s="14"/>
    </row>
    <row r="603" spans="23:23" s="12" customFormat="1" x14ac:dyDescent="0.3">
      <c r="W603" s="14"/>
    </row>
    <row r="604" spans="23:23" s="12" customFormat="1" x14ac:dyDescent="0.3">
      <c r="W604" s="14"/>
    </row>
    <row r="605" spans="23:23" s="12" customFormat="1" x14ac:dyDescent="0.3">
      <c r="W605" s="14"/>
    </row>
    <row r="606" spans="23:23" s="12" customFormat="1" x14ac:dyDescent="0.3">
      <c r="W606" s="14"/>
    </row>
    <row r="607" spans="23:23" s="12" customFormat="1" x14ac:dyDescent="0.3">
      <c r="W607" s="14"/>
    </row>
    <row r="608" spans="23:23" s="12" customFormat="1" x14ac:dyDescent="0.3">
      <c r="W608" s="14"/>
    </row>
    <row r="609" spans="23:23" s="12" customFormat="1" x14ac:dyDescent="0.3">
      <c r="W609" s="14"/>
    </row>
    <row r="610" spans="23:23" s="12" customFormat="1" x14ac:dyDescent="0.3">
      <c r="W610" s="14"/>
    </row>
    <row r="611" spans="23:23" s="12" customFormat="1" x14ac:dyDescent="0.3">
      <c r="W611" s="14"/>
    </row>
    <row r="612" spans="23:23" s="12" customFormat="1" x14ac:dyDescent="0.3">
      <c r="W612" s="14"/>
    </row>
    <row r="613" spans="23:23" s="12" customFormat="1" x14ac:dyDescent="0.3">
      <c r="W613" s="14"/>
    </row>
    <row r="614" spans="23:23" s="12" customFormat="1" x14ac:dyDescent="0.3">
      <c r="W614" s="14"/>
    </row>
    <row r="615" spans="23:23" s="12" customFormat="1" x14ac:dyDescent="0.3">
      <c r="W615" s="14"/>
    </row>
    <row r="616" spans="23:23" s="12" customFormat="1" x14ac:dyDescent="0.3">
      <c r="W616" s="14"/>
    </row>
    <row r="617" spans="23:23" s="12" customFormat="1" x14ac:dyDescent="0.3">
      <c r="W617" s="14"/>
    </row>
    <row r="618" spans="23:23" s="12" customFormat="1" x14ac:dyDescent="0.3">
      <c r="W618" s="14"/>
    </row>
    <row r="619" spans="23:23" s="12" customFormat="1" x14ac:dyDescent="0.3">
      <c r="W619" s="14"/>
    </row>
    <row r="620" spans="23:23" s="12" customFormat="1" x14ac:dyDescent="0.3">
      <c r="W620" s="14"/>
    </row>
    <row r="621" spans="23:23" s="12" customFormat="1" x14ac:dyDescent="0.3">
      <c r="W621" s="14"/>
    </row>
    <row r="622" spans="23:23" s="12" customFormat="1" x14ac:dyDescent="0.3">
      <c r="W622" s="14"/>
    </row>
    <row r="623" spans="23:23" s="12" customFormat="1" x14ac:dyDescent="0.3">
      <c r="W623" s="14"/>
    </row>
    <row r="624" spans="23:23" s="12" customFormat="1" x14ac:dyDescent="0.3">
      <c r="W624" s="14"/>
    </row>
    <row r="625" spans="23:23" s="12" customFormat="1" x14ac:dyDescent="0.3">
      <c r="W625" s="14"/>
    </row>
    <row r="626" spans="23:23" s="12" customFormat="1" x14ac:dyDescent="0.3">
      <c r="W626" s="14"/>
    </row>
    <row r="627" spans="23:23" s="12" customFormat="1" x14ac:dyDescent="0.3">
      <c r="W627" s="14"/>
    </row>
    <row r="628" spans="23:23" s="12" customFormat="1" x14ac:dyDescent="0.3">
      <c r="W628" s="14"/>
    </row>
    <row r="629" spans="23:23" s="12" customFormat="1" x14ac:dyDescent="0.3">
      <c r="W629" s="14"/>
    </row>
    <row r="630" spans="23:23" s="12" customFormat="1" x14ac:dyDescent="0.3">
      <c r="W630" s="14"/>
    </row>
    <row r="631" spans="23:23" s="12" customFormat="1" x14ac:dyDescent="0.3">
      <c r="W631" s="14"/>
    </row>
    <row r="632" spans="23:23" s="12" customFormat="1" x14ac:dyDescent="0.3">
      <c r="W632" s="14"/>
    </row>
    <row r="633" spans="23:23" s="12" customFormat="1" x14ac:dyDescent="0.3">
      <c r="W633" s="14"/>
    </row>
    <row r="634" spans="23:23" s="12" customFormat="1" x14ac:dyDescent="0.3">
      <c r="W634" s="14"/>
    </row>
    <row r="635" spans="23:23" s="12" customFormat="1" x14ac:dyDescent="0.3">
      <c r="W635" s="14"/>
    </row>
    <row r="636" spans="23:23" s="12" customFormat="1" x14ac:dyDescent="0.3">
      <c r="W636" s="14"/>
    </row>
    <row r="637" spans="23:23" s="12" customFormat="1" x14ac:dyDescent="0.3">
      <c r="W637" s="14"/>
    </row>
    <row r="638" spans="23:23" s="12" customFormat="1" x14ac:dyDescent="0.3">
      <c r="W638" s="14"/>
    </row>
    <row r="639" spans="23:23" s="12" customFormat="1" x14ac:dyDescent="0.3">
      <c r="W639" s="14"/>
    </row>
    <row r="640" spans="23:23" s="12" customFormat="1" x14ac:dyDescent="0.3">
      <c r="W640" s="14"/>
    </row>
    <row r="641" spans="23:23" s="12" customFormat="1" x14ac:dyDescent="0.3">
      <c r="W641" s="14"/>
    </row>
    <row r="642" spans="23:23" s="12" customFormat="1" x14ac:dyDescent="0.3">
      <c r="W642" s="14"/>
    </row>
    <row r="643" spans="23:23" s="12" customFormat="1" x14ac:dyDescent="0.3">
      <c r="W643" s="14"/>
    </row>
    <row r="644" spans="23:23" s="12" customFormat="1" x14ac:dyDescent="0.3">
      <c r="W644" s="14"/>
    </row>
    <row r="645" spans="23:23" s="12" customFormat="1" x14ac:dyDescent="0.3">
      <c r="W645" s="14"/>
    </row>
    <row r="646" spans="23:23" s="12" customFormat="1" x14ac:dyDescent="0.3">
      <c r="W646" s="14"/>
    </row>
    <row r="647" spans="23:23" s="12" customFormat="1" x14ac:dyDescent="0.3">
      <c r="W647" s="14"/>
    </row>
    <row r="648" spans="23:23" s="12" customFormat="1" x14ac:dyDescent="0.3">
      <c r="W648" s="14"/>
    </row>
    <row r="649" spans="23:23" s="12" customFormat="1" x14ac:dyDescent="0.3">
      <c r="W649" s="14"/>
    </row>
    <row r="650" spans="23:23" s="12" customFormat="1" x14ac:dyDescent="0.3">
      <c r="W650" s="14"/>
    </row>
    <row r="651" spans="23:23" s="12" customFormat="1" x14ac:dyDescent="0.3">
      <c r="W651" s="14"/>
    </row>
    <row r="652" spans="23:23" s="12" customFormat="1" x14ac:dyDescent="0.3">
      <c r="W652" s="14"/>
    </row>
    <row r="653" spans="23:23" s="12" customFormat="1" x14ac:dyDescent="0.3">
      <c r="W653" s="14"/>
    </row>
    <row r="654" spans="23:23" s="12" customFormat="1" x14ac:dyDescent="0.3">
      <c r="W654" s="14"/>
    </row>
    <row r="655" spans="23:23" s="12" customFormat="1" x14ac:dyDescent="0.3">
      <c r="W655" s="14"/>
    </row>
    <row r="656" spans="23:23" s="12" customFormat="1" x14ac:dyDescent="0.3">
      <c r="W656" s="14"/>
    </row>
    <row r="657" spans="23:23" s="12" customFormat="1" x14ac:dyDescent="0.3">
      <c r="W657" s="14"/>
    </row>
    <row r="658" spans="23:23" s="12" customFormat="1" x14ac:dyDescent="0.3">
      <c r="W658" s="14"/>
    </row>
    <row r="659" spans="23:23" s="12" customFormat="1" x14ac:dyDescent="0.3">
      <c r="W659" s="14"/>
    </row>
    <row r="660" spans="23:23" s="12" customFormat="1" x14ac:dyDescent="0.3">
      <c r="W660" s="14"/>
    </row>
    <row r="661" spans="23:23" s="12" customFormat="1" x14ac:dyDescent="0.3">
      <c r="W661" s="14"/>
    </row>
    <row r="662" spans="23:23" s="12" customFormat="1" x14ac:dyDescent="0.3">
      <c r="W662" s="14"/>
    </row>
    <row r="663" spans="23:23" s="12" customFormat="1" x14ac:dyDescent="0.3">
      <c r="W663" s="14"/>
    </row>
  </sheetData>
  <mergeCells count="62">
    <mergeCell ref="A6:A9"/>
    <mergeCell ref="B6:B9"/>
    <mergeCell ref="C6:V6"/>
    <mergeCell ref="W6:W9"/>
    <mergeCell ref="V7:V8"/>
    <mergeCell ref="P7:P8"/>
    <mergeCell ref="U7:U8"/>
    <mergeCell ref="Q7:Q8"/>
    <mergeCell ref="R7:R8"/>
    <mergeCell ref="S7:S8"/>
    <mergeCell ref="T7:T8"/>
    <mergeCell ref="L7:L8"/>
    <mergeCell ref="M7:M8"/>
    <mergeCell ref="N7:N8"/>
    <mergeCell ref="O7:O8"/>
    <mergeCell ref="J7:J8"/>
    <mergeCell ref="K7:K8"/>
    <mergeCell ref="BR6:BR9"/>
    <mergeCell ref="BD7:BD8"/>
    <mergeCell ref="BE7:BE8"/>
    <mergeCell ref="BF7:BF8"/>
    <mergeCell ref="BG7:BG8"/>
    <mergeCell ref="BI7:BI8"/>
    <mergeCell ref="BJ7:BJ8"/>
    <mergeCell ref="BO6:BO9"/>
    <mergeCell ref="BQ6:BQ9"/>
    <mergeCell ref="BN6:BN7"/>
    <mergeCell ref="BS6:BS9"/>
    <mergeCell ref="C7:C8"/>
    <mergeCell ref="D7:D8"/>
    <mergeCell ref="E7:E8"/>
    <mergeCell ref="F7:F8"/>
    <mergeCell ref="G7:G8"/>
    <mergeCell ref="H7:H8"/>
    <mergeCell ref="I7:I8"/>
    <mergeCell ref="AK7:AK8"/>
    <mergeCell ref="BL7:BL8"/>
    <mergeCell ref="AS6:BG6"/>
    <mergeCell ref="X6:AL6"/>
    <mergeCell ref="AH7:AH8"/>
    <mergeCell ref="BM6:BM7"/>
    <mergeCell ref="BH7:BH8"/>
    <mergeCell ref="BK7:BK8"/>
    <mergeCell ref="AI1:BD1"/>
    <mergeCell ref="AI2:BD2"/>
    <mergeCell ref="AM7:AM8"/>
    <mergeCell ref="AN7:AN8"/>
    <mergeCell ref="AO7:AO8"/>
    <mergeCell ref="AQ7:AQ8"/>
    <mergeCell ref="BC7:BC8"/>
    <mergeCell ref="AL7:AL8"/>
    <mergeCell ref="AR6:AR7"/>
    <mergeCell ref="AI5:BD5"/>
    <mergeCell ref="AI7:AI8"/>
    <mergeCell ref="AJ7:AJ8"/>
    <mergeCell ref="AP7:AP8"/>
    <mergeCell ref="C3:L3"/>
    <mergeCell ref="BQ3:BR3"/>
    <mergeCell ref="C4:L4"/>
    <mergeCell ref="AH4:BE4"/>
    <mergeCell ref="BQ4:BR4"/>
    <mergeCell ref="AR3:AW3"/>
  </mergeCells>
  <phoneticPr fontId="0" type="noConversion"/>
  <conditionalFormatting sqref="X9">
    <cfRule type="cellIs" dxfId="22" priority="24" operator="greaterThan">
      <formula>$X$9</formula>
    </cfRule>
  </conditionalFormatting>
  <conditionalFormatting sqref="Z9">
    <cfRule type="cellIs" dxfId="21" priority="23" operator="greaterThan">
      <formula>$Z$9</formula>
    </cfRule>
  </conditionalFormatting>
  <conditionalFormatting sqref="AA9">
    <cfRule type="cellIs" dxfId="20" priority="22" operator="greaterThan">
      <formula>$AA$9</formula>
    </cfRule>
  </conditionalFormatting>
  <conditionalFormatting sqref="AB9">
    <cfRule type="cellIs" dxfId="19" priority="21" operator="greaterThan">
      <formula>$AB$9</formula>
    </cfRule>
  </conditionalFormatting>
  <conditionalFormatting sqref="AC9">
    <cfRule type="cellIs" dxfId="18" priority="20" operator="greaterThan">
      <formula>$AC$9</formula>
    </cfRule>
  </conditionalFormatting>
  <conditionalFormatting sqref="AD9">
    <cfRule type="cellIs" dxfId="17" priority="19" operator="greaterThan">
      <formula>$AD$9</formula>
    </cfRule>
  </conditionalFormatting>
  <conditionalFormatting sqref="AE9">
    <cfRule type="cellIs" dxfId="16" priority="18" operator="greaterThan">
      <formula>$AE$9</formula>
    </cfRule>
  </conditionalFormatting>
  <conditionalFormatting sqref="AF9">
    <cfRule type="cellIs" dxfId="15" priority="17" operator="greaterThan">
      <formula>$AF$9</formula>
    </cfRule>
  </conditionalFormatting>
  <conditionalFormatting sqref="AG9">
    <cfRule type="cellIs" dxfId="14" priority="16" operator="greaterThan">
      <formula>$AG$9</formula>
    </cfRule>
  </conditionalFormatting>
  <conditionalFormatting sqref="AS9">
    <cfRule type="cellIs" dxfId="13" priority="15" operator="greaterThan">
      <formula>$AS$9</formula>
    </cfRule>
  </conditionalFormatting>
  <conditionalFormatting sqref="AT9">
    <cfRule type="cellIs" dxfId="12" priority="14" operator="greaterThan">
      <formula>$AT$9</formula>
    </cfRule>
  </conditionalFormatting>
  <conditionalFormatting sqref="AU9">
    <cfRule type="cellIs" dxfId="11" priority="13" operator="greaterThan">
      <formula>$AU$9</formula>
    </cfRule>
  </conditionalFormatting>
  <conditionalFormatting sqref="AV9">
    <cfRule type="cellIs" dxfId="10" priority="12" operator="greaterThan">
      <formula>$AV$9</formula>
    </cfRule>
  </conditionalFormatting>
  <conditionalFormatting sqref="AW9">
    <cfRule type="cellIs" dxfId="9" priority="11" operator="greaterThan">
      <formula>$AW$9</formula>
    </cfRule>
  </conditionalFormatting>
  <conditionalFormatting sqref="AX9">
    <cfRule type="cellIs" dxfId="8" priority="10" operator="greaterThan">
      <formula>$AX$9</formula>
    </cfRule>
  </conditionalFormatting>
  <conditionalFormatting sqref="AY9">
    <cfRule type="cellIs" dxfId="7" priority="9" operator="greaterThan">
      <formula>$AY$9</formula>
    </cfRule>
  </conditionalFormatting>
  <conditionalFormatting sqref="AZ9">
    <cfRule type="cellIs" dxfId="6" priority="8" operator="greaterThan">
      <formula>$AZ$9</formula>
    </cfRule>
  </conditionalFormatting>
  <conditionalFormatting sqref="BA9">
    <cfRule type="cellIs" dxfId="5" priority="7" operator="greaterThan">
      <formula>$BA$9</formula>
    </cfRule>
  </conditionalFormatting>
  <conditionalFormatting sqref="BB9">
    <cfRule type="cellIs" dxfId="4" priority="6" operator="greaterThan">
      <formula>$BB$9</formula>
    </cfRule>
  </conditionalFormatting>
  <conditionalFormatting sqref="BN9:BN59">
    <cfRule type="cellIs" dxfId="3" priority="5" operator="greaterThan">
      <formula>$BN$9</formula>
    </cfRule>
  </conditionalFormatting>
  <conditionalFormatting sqref="BR6:BR59">
    <cfRule type="containsText" dxfId="2" priority="4" operator="containsText" text="failed">
      <formula>NOT(ISERROR(SEARCH("failed",BR6)))</formula>
    </cfRule>
  </conditionalFormatting>
  <conditionalFormatting sqref="Y9">
    <cfRule type="cellIs" dxfId="1" priority="3" operator="greaterThan">
      <formula>$Y$9</formula>
    </cfRule>
  </conditionalFormatting>
  <conditionalFormatting sqref="X10:AG59">
    <cfRule type="expression" priority="2">
      <formula>X$9</formula>
    </cfRule>
  </conditionalFormatting>
  <conditionalFormatting sqref="AS10:BB59">
    <cfRule type="expression" priority="1">
      <formula>AS$9</formula>
    </cfRule>
  </conditionalFormatting>
  <pageMargins left="0.7" right="0.7" top="0.75" bottom="0.75" header="0.3" footer="0.3"/>
  <pageSetup paperSize="256" orientation="landscape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V93"/>
  <sheetViews>
    <sheetView zoomScaleNormal="100" workbookViewId="0">
      <selection activeCell="A47" sqref="A47:XFD61"/>
    </sheetView>
  </sheetViews>
  <sheetFormatPr defaultColWidth="9.109375" defaultRowHeight="15" x14ac:dyDescent="0.25"/>
  <cols>
    <col min="1" max="2" width="4.88671875" style="2" customWidth="1"/>
    <col min="3" max="4" width="7.6640625" style="2" customWidth="1"/>
    <col min="5" max="6" width="9.109375" style="2"/>
    <col min="7" max="7" width="14.77734375" style="2" customWidth="1"/>
    <col min="8" max="8" width="11.33203125" style="7" customWidth="1"/>
    <col min="9" max="9" width="11.6640625" style="7" customWidth="1"/>
    <col min="10" max="18" width="9.109375" style="6"/>
    <col min="19" max="23" width="9.109375" style="2"/>
    <col min="24" max="24" width="10.44140625" style="2" bestFit="1" customWidth="1"/>
    <col min="25" max="16384" width="9.109375" style="2"/>
  </cols>
  <sheetData>
    <row r="1" spans="1:22" ht="15.6" customHeight="1" x14ac:dyDescent="0.3">
      <c r="A1" s="250" t="s">
        <v>73</v>
      </c>
      <c r="B1" s="250"/>
      <c r="C1" s="250"/>
      <c r="D1" s="250"/>
      <c r="E1" s="250"/>
      <c r="F1" s="250"/>
      <c r="G1" s="250"/>
      <c r="H1" s="250"/>
      <c r="I1" s="250"/>
    </row>
    <row r="2" spans="1:22" ht="15.75" customHeight="1" x14ac:dyDescent="0.25">
      <c r="A2" s="253" t="s">
        <v>74</v>
      </c>
      <c r="B2" s="253"/>
      <c r="C2" s="253"/>
      <c r="D2" s="253"/>
      <c r="E2" s="253"/>
      <c r="F2" s="253"/>
      <c r="G2" s="253"/>
      <c r="H2" s="253"/>
      <c r="I2" s="253"/>
      <c r="N2" s="10"/>
      <c r="O2" s="251"/>
    </row>
    <row r="3" spans="1:22" ht="15.6" customHeight="1" x14ac:dyDescent="0.25">
      <c r="N3" s="10"/>
      <c r="O3" s="252"/>
    </row>
    <row r="4" spans="1:22" ht="15.6" x14ac:dyDescent="0.3">
      <c r="A4" s="250" t="str">
        <f>Informations!C3</f>
        <v>COLLEGE OF BUSINESS ADMINISTRATION</v>
      </c>
      <c r="B4" s="250"/>
      <c r="C4" s="250"/>
      <c r="D4" s="250"/>
      <c r="E4" s="250"/>
      <c r="F4" s="250"/>
      <c r="G4" s="250"/>
      <c r="H4" s="250"/>
      <c r="I4" s="250"/>
    </row>
    <row r="5" spans="1:22" ht="15.6" customHeight="1" x14ac:dyDescent="0.3">
      <c r="B5" s="3"/>
      <c r="C5" s="4"/>
      <c r="D5" s="4"/>
      <c r="E5" s="4"/>
      <c r="F5" s="4"/>
      <c r="G5" s="4"/>
    </row>
    <row r="6" spans="1:22" ht="15" customHeight="1" x14ac:dyDescent="0.25">
      <c r="A6" s="239" t="s">
        <v>75</v>
      </c>
      <c r="B6" s="240"/>
      <c r="C6" s="239" t="s">
        <v>76</v>
      </c>
      <c r="D6" s="240"/>
      <c r="E6" s="239" t="s">
        <v>79</v>
      </c>
      <c r="F6" s="247"/>
      <c r="G6" s="240"/>
      <c r="H6" s="243" t="s">
        <v>78</v>
      </c>
      <c r="I6" s="243" t="s">
        <v>77</v>
      </c>
    </row>
    <row r="7" spans="1:22" ht="15" customHeight="1" x14ac:dyDescent="0.25">
      <c r="A7" s="241"/>
      <c r="B7" s="242"/>
      <c r="C7" s="241"/>
      <c r="D7" s="242"/>
      <c r="E7" s="241"/>
      <c r="F7" s="248"/>
      <c r="G7" s="242"/>
      <c r="H7" s="244"/>
      <c r="I7" s="244"/>
    </row>
    <row r="8" spans="1:22" ht="15" customHeight="1" x14ac:dyDescent="0.25">
      <c r="A8" s="245" t="str">
        <f>IF(PRELIM!C3="","",PRELIM!C3)</f>
        <v>2506B</v>
      </c>
      <c r="B8" s="246"/>
      <c r="C8" s="245" t="str">
        <f>IF(PRELIM!C4="","",PRELIM!C4)</f>
        <v>BACC104</v>
      </c>
      <c r="D8" s="246"/>
      <c r="E8" s="236" t="str">
        <f>IF(PRELIM!AH4="","",PRELIM!AH4)</f>
        <v>INTERNATIONAL BUSINESS AND TRADE</v>
      </c>
      <c r="F8" s="237"/>
      <c r="G8" s="238"/>
      <c r="H8" s="10" t="str">
        <f>IF(ISBLANK(PRELIM!AK3)," ",PRELIM!AK3)</f>
        <v>SUMMER</v>
      </c>
      <c r="I8" s="10" t="str">
        <f>IF(ISBLANK(PRELIM!AR3)," ",PRELIM!AR3)</f>
        <v>2024-2025</v>
      </c>
    </row>
    <row r="9" spans="1:22" ht="15.6" customHeight="1" x14ac:dyDescent="0.25">
      <c r="A9" s="245"/>
      <c r="B9" s="249"/>
      <c r="C9" s="249"/>
      <c r="D9" s="249"/>
      <c r="E9" s="249"/>
      <c r="F9" s="249"/>
      <c r="G9" s="249"/>
      <c r="H9" s="249"/>
      <c r="I9" s="246"/>
    </row>
    <row r="10" spans="1:22" s="5" customFormat="1" ht="15.6" x14ac:dyDescent="0.3">
      <c r="A10" s="254" t="s">
        <v>80</v>
      </c>
      <c r="B10" s="255"/>
      <c r="C10" s="255"/>
      <c r="D10" s="255"/>
      <c r="E10" s="255"/>
      <c r="F10" s="255"/>
      <c r="G10" s="256"/>
      <c r="H10" s="8" t="s">
        <v>81</v>
      </c>
      <c r="I10" s="8" t="s">
        <v>115</v>
      </c>
      <c r="J10" s="11"/>
      <c r="K10" s="6"/>
      <c r="L10" s="11"/>
      <c r="M10" s="11"/>
      <c r="N10" s="11"/>
      <c r="O10" s="11"/>
      <c r="P10" s="11"/>
      <c r="Q10" s="11"/>
      <c r="R10" s="11"/>
    </row>
    <row r="11" spans="1:22" x14ac:dyDescent="0.25">
      <c r="A11" s="1">
        <v>1</v>
      </c>
      <c r="B11" s="233" t="str">
        <f>IF(PRELIM!B10="","",PRELIM!B10)</f>
        <v>AIDAROS, ANALIE B.</v>
      </c>
      <c r="C11" s="234"/>
      <c r="D11" s="234"/>
      <c r="E11" s="234"/>
      <c r="F11" s="234"/>
      <c r="G11" s="235"/>
      <c r="H11" s="9">
        <f>FFG!C11</f>
        <v>82.78</v>
      </c>
      <c r="I11" s="9">
        <f>FFG!D11</f>
        <v>87.865000000000009</v>
      </c>
      <c r="T11" s="6"/>
      <c r="U11" s="6"/>
      <c r="V11" s="6"/>
    </row>
    <row r="12" spans="1:22" x14ac:dyDescent="0.25">
      <c r="A12" s="1">
        <v>2</v>
      </c>
      <c r="B12" s="233" t="str">
        <f>IF(PRELIM!B11="","",PRELIM!B11)</f>
        <v>ALILI, JAIDE LOU D.</v>
      </c>
      <c r="C12" s="234"/>
      <c r="D12" s="234"/>
      <c r="E12" s="234"/>
      <c r="F12" s="234"/>
      <c r="G12" s="235"/>
      <c r="H12" s="9">
        <f>FFG!C12</f>
        <v>85.27000000000001</v>
      </c>
      <c r="I12" s="9">
        <f>FFG!D12</f>
        <v>85.263333333333321</v>
      </c>
      <c r="T12" s="6"/>
      <c r="U12" s="6"/>
      <c r="V12" s="6"/>
    </row>
    <row r="13" spans="1:22" x14ac:dyDescent="0.25">
      <c r="A13" s="1">
        <v>3</v>
      </c>
      <c r="B13" s="233" t="str">
        <f>IF(PRELIM!B12="","",PRELIM!B12)</f>
        <v>ALLOSO, RICHELLE MAE</v>
      </c>
      <c r="C13" s="234"/>
      <c r="D13" s="234"/>
      <c r="E13" s="234"/>
      <c r="F13" s="234"/>
      <c r="G13" s="235"/>
      <c r="H13" s="9">
        <f>FFG!C13</f>
        <v>87.019545454545437</v>
      </c>
      <c r="I13" s="9">
        <f>FFG!D13</f>
        <v>87.204999999999998</v>
      </c>
      <c r="T13" s="6"/>
      <c r="U13" s="6"/>
      <c r="V13" s="6"/>
    </row>
    <row r="14" spans="1:22" x14ac:dyDescent="0.25">
      <c r="A14" s="1">
        <v>4</v>
      </c>
      <c r="B14" s="233" t="str">
        <f>IF(PRELIM!B13="","",PRELIM!B13)</f>
        <v>AUTIDA, MHARK ANGELOU E.</v>
      </c>
      <c r="C14" s="234"/>
      <c r="D14" s="234"/>
      <c r="E14" s="234"/>
      <c r="F14" s="234"/>
      <c r="G14" s="235"/>
      <c r="H14" s="9">
        <f>FFG!C14</f>
        <v>77.551428571428573</v>
      </c>
      <c r="I14" s="9">
        <f>FFG!D14</f>
        <v>72.983939393939409</v>
      </c>
      <c r="T14" s="6"/>
      <c r="U14" s="6"/>
      <c r="V14" s="6"/>
    </row>
    <row r="15" spans="1:22" x14ac:dyDescent="0.25">
      <c r="A15" s="1">
        <v>5</v>
      </c>
      <c r="B15" s="233" t="str">
        <f>IF(PRELIM!B14="","",PRELIM!B14)</f>
        <v>BENITO, FADEL C.</v>
      </c>
      <c r="C15" s="234"/>
      <c r="D15" s="234"/>
      <c r="E15" s="234"/>
      <c r="F15" s="234"/>
      <c r="G15" s="235"/>
      <c r="H15" s="9">
        <f>FFG!C15</f>
        <v>93.37</v>
      </c>
      <c r="I15" s="9">
        <f>FFG!D15</f>
        <v>93.161666666666676</v>
      </c>
      <c r="T15" s="6"/>
      <c r="U15" s="6"/>
      <c r="V15" s="6"/>
    </row>
    <row r="16" spans="1:22" x14ac:dyDescent="0.25">
      <c r="A16" s="1">
        <v>6</v>
      </c>
      <c r="B16" s="233" t="str">
        <f>IF(PRELIM!B15="","",PRELIM!B15)</f>
        <v>BESTUDIO, JERBY BRIX T.</v>
      </c>
      <c r="C16" s="234"/>
      <c r="D16" s="234"/>
      <c r="E16" s="234"/>
      <c r="F16" s="234"/>
      <c r="G16" s="235"/>
      <c r="H16" s="9">
        <f>FFG!C16</f>
        <v>81.459415584415581</v>
      </c>
      <c r="I16" s="9">
        <f>FFG!D16</f>
        <v>79.263333333333321</v>
      </c>
      <c r="T16" s="6"/>
      <c r="U16" s="6"/>
      <c r="V16" s="6"/>
    </row>
    <row r="17" spans="1:22" x14ac:dyDescent="0.25">
      <c r="A17" s="1">
        <v>7</v>
      </c>
      <c r="B17" s="233" t="str">
        <f>IF(PRELIM!B16="","",PRELIM!B16)</f>
        <v>BONGGALON, ROSELYN M.</v>
      </c>
      <c r="C17" s="234"/>
      <c r="D17" s="234"/>
      <c r="E17" s="234"/>
      <c r="F17" s="234"/>
      <c r="G17" s="235"/>
      <c r="H17" s="9">
        <f>FFG!C17</f>
        <v>75.010000000000005</v>
      </c>
      <c r="I17" s="9">
        <f>FFG!D17</f>
        <v>75.34</v>
      </c>
      <c r="T17" s="6"/>
      <c r="U17" s="6"/>
      <c r="V17" s="6"/>
    </row>
    <row r="18" spans="1:22" x14ac:dyDescent="0.25">
      <c r="A18" s="1">
        <v>8</v>
      </c>
      <c r="B18" s="233" t="str">
        <f>IF(PRELIM!B17="","",PRELIM!B17)</f>
        <v>CABANIG, JOYCE D.</v>
      </c>
      <c r="C18" s="234"/>
      <c r="D18" s="234"/>
      <c r="E18" s="234"/>
      <c r="F18" s="234"/>
      <c r="G18" s="235"/>
      <c r="H18" s="9">
        <f>FFG!C18</f>
        <v>80.598571428571432</v>
      </c>
      <c r="I18" s="9">
        <f>FFG!D18</f>
        <v>80.723333333333329</v>
      </c>
      <c r="T18" s="6"/>
      <c r="U18" s="6"/>
      <c r="V18" s="6"/>
    </row>
    <row r="19" spans="1:22" x14ac:dyDescent="0.25">
      <c r="A19" s="1">
        <v>9</v>
      </c>
      <c r="B19" s="233" t="str">
        <f>IF(PRELIM!B18="","",PRELIM!B18)</f>
        <v>DELEGUER JR., WYNIEL M.</v>
      </c>
      <c r="C19" s="234"/>
      <c r="D19" s="234"/>
      <c r="E19" s="234"/>
      <c r="F19" s="234"/>
      <c r="G19" s="235"/>
      <c r="H19" s="9">
        <f>FFG!C19</f>
        <v>79.82714285714286</v>
      </c>
      <c r="I19" s="9">
        <f>FFG!D19</f>
        <v>73.56</v>
      </c>
      <c r="T19" s="6"/>
      <c r="U19" s="6"/>
      <c r="V19" s="6"/>
    </row>
    <row r="20" spans="1:22" x14ac:dyDescent="0.25">
      <c r="A20" s="1">
        <v>10</v>
      </c>
      <c r="B20" s="233" t="str">
        <f>IF(PRELIM!B19="","",PRELIM!B19)</f>
        <v>ESPINO, PRINCESS GAIL A.</v>
      </c>
      <c r="C20" s="234"/>
      <c r="D20" s="234"/>
      <c r="E20" s="234"/>
      <c r="F20" s="234"/>
      <c r="G20" s="235"/>
      <c r="H20" s="9">
        <f>FFG!C20</f>
        <v>83.071428571428584</v>
      </c>
      <c r="I20" s="9">
        <f>FFG!D20</f>
        <v>87.993333333333339</v>
      </c>
      <c r="T20" s="6"/>
      <c r="U20" s="6"/>
      <c r="V20" s="6"/>
    </row>
    <row r="21" spans="1:22" x14ac:dyDescent="0.25">
      <c r="A21" s="1">
        <v>11</v>
      </c>
      <c r="B21" s="233" t="str">
        <f>IF(PRELIM!B20="","",PRELIM!B20)</f>
        <v>GUEVARRA, HERLAN ARC JOHNSON C.</v>
      </c>
      <c r="C21" s="234"/>
      <c r="D21" s="234"/>
      <c r="E21" s="234"/>
      <c r="F21" s="234"/>
      <c r="G21" s="235"/>
      <c r="H21" s="9">
        <f>FFG!C21</f>
        <v>86.157532467532462</v>
      </c>
      <c r="I21" s="9">
        <f>FFG!D21</f>
        <v>76.426212121212131</v>
      </c>
      <c r="T21" s="6"/>
      <c r="U21" s="6"/>
      <c r="V21" s="6"/>
    </row>
    <row r="22" spans="1:22" x14ac:dyDescent="0.25">
      <c r="A22" s="1">
        <v>12</v>
      </c>
      <c r="B22" s="233" t="str">
        <f>IF(PRELIM!B21="","",PRELIM!B21)</f>
        <v>GUTIERREZ, MILLECENT SHYNE C.</v>
      </c>
      <c r="C22" s="234"/>
      <c r="D22" s="234"/>
      <c r="E22" s="234"/>
      <c r="F22" s="234"/>
      <c r="G22" s="235"/>
      <c r="H22" s="9">
        <f>FFG!C22</f>
        <v>77.84714285714287</v>
      </c>
      <c r="I22" s="9">
        <f>FFG!D22</f>
        <v>75.788333333333327</v>
      </c>
      <c r="T22" s="6"/>
      <c r="U22" s="6"/>
      <c r="V22" s="6"/>
    </row>
    <row r="23" spans="1:22" x14ac:dyDescent="0.25">
      <c r="A23" s="1">
        <v>13</v>
      </c>
      <c r="B23" s="233" t="str">
        <f>IF(PRELIM!B22="","",PRELIM!B22)</f>
        <v>HERNANDEZ, ANGEL JEAN A</v>
      </c>
      <c r="C23" s="234"/>
      <c r="D23" s="234"/>
      <c r="E23" s="234"/>
      <c r="F23" s="234"/>
      <c r="G23" s="235"/>
      <c r="H23" s="9">
        <f>FFG!C23</f>
        <v>93.352857142857147</v>
      </c>
      <c r="I23" s="9">
        <f>FFG!D23</f>
        <v>95.86333333333333</v>
      </c>
      <c r="T23" s="6"/>
      <c r="U23" s="6"/>
      <c r="V23" s="6"/>
    </row>
    <row r="24" spans="1:22" x14ac:dyDescent="0.25">
      <c r="A24" s="1">
        <v>14</v>
      </c>
      <c r="B24" s="233" t="str">
        <f>IF(PRELIM!B23="","",PRELIM!B23)</f>
        <v>LAGUIDAN, PRINCESS JEAN A.</v>
      </c>
      <c r="C24" s="234"/>
      <c r="D24" s="234"/>
      <c r="E24" s="234"/>
      <c r="F24" s="234"/>
      <c r="G24" s="235"/>
      <c r="H24" s="9">
        <f>FFG!C24</f>
        <v>81.425714285714292</v>
      </c>
      <c r="I24" s="9">
        <f>FFG!D24</f>
        <v>74.577272727272728</v>
      </c>
    </row>
    <row r="25" spans="1:22" x14ac:dyDescent="0.25">
      <c r="A25" s="1">
        <v>15</v>
      </c>
      <c r="B25" s="233" t="str">
        <f>IF(PRELIM!B24="","",PRELIM!B24)</f>
        <v>LAGUROS, LYKA A.</v>
      </c>
      <c r="C25" s="234"/>
      <c r="D25" s="234"/>
      <c r="E25" s="234"/>
      <c r="F25" s="234"/>
      <c r="G25" s="235"/>
      <c r="H25" s="9">
        <f>FFG!C25</f>
        <v>80.041428571428582</v>
      </c>
      <c r="I25" s="9">
        <f>FFG!D25</f>
        <v>82.991666666666674</v>
      </c>
    </row>
    <row r="26" spans="1:22" x14ac:dyDescent="0.25">
      <c r="A26" s="1">
        <v>16</v>
      </c>
      <c r="B26" s="233" t="str">
        <f>IF(PRELIM!B25="","",PRELIM!B25)</f>
        <v>LAIDAN, JOSEPH G.</v>
      </c>
      <c r="C26" s="234"/>
      <c r="D26" s="234"/>
      <c r="E26" s="234"/>
      <c r="F26" s="234"/>
      <c r="G26" s="235"/>
      <c r="H26" s="9">
        <f>FFG!C26</f>
        <v>77.684285714285721</v>
      </c>
      <c r="I26" s="9">
        <f>FFG!D26</f>
        <v>81.960000000000008</v>
      </c>
    </row>
    <row r="27" spans="1:22" x14ac:dyDescent="0.25">
      <c r="A27" s="1">
        <v>17</v>
      </c>
      <c r="B27" s="233" t="str">
        <f>IF(PRELIM!B26="","",PRELIM!B26)</f>
        <v>LAPICEROS, ELVIE V.</v>
      </c>
      <c r="C27" s="234"/>
      <c r="D27" s="234"/>
      <c r="E27" s="234"/>
      <c r="F27" s="234"/>
      <c r="G27" s="235"/>
      <c r="H27" s="9">
        <f>FFG!C27</f>
        <v>86.821428571428584</v>
      </c>
      <c r="I27" s="9">
        <f>FFG!D27</f>
        <v>91.883333333333326</v>
      </c>
    </row>
    <row r="28" spans="1:22" x14ac:dyDescent="0.25">
      <c r="A28" s="1">
        <v>18</v>
      </c>
      <c r="B28" s="233" t="str">
        <f>IF(PRELIM!B27="","",PRELIM!B27)</f>
        <v>LIBOT, MARK ANTHONY A.</v>
      </c>
      <c r="C28" s="234"/>
      <c r="D28" s="234"/>
      <c r="E28" s="234"/>
      <c r="F28" s="234"/>
      <c r="G28" s="235"/>
      <c r="H28" s="9">
        <f>FFG!C28</f>
        <v>88.240000000000009</v>
      </c>
      <c r="I28" s="9">
        <f>FFG!D28</f>
        <v>86.90666666666668</v>
      </c>
    </row>
    <row r="29" spans="1:22" x14ac:dyDescent="0.25">
      <c r="A29" s="1">
        <v>19</v>
      </c>
      <c r="B29" s="233" t="str">
        <f>IF(PRELIM!B28="","",PRELIM!B28)</f>
        <v>MAINAR, MADEL V.</v>
      </c>
      <c r="C29" s="234"/>
      <c r="D29" s="234"/>
      <c r="E29" s="234"/>
      <c r="F29" s="234"/>
      <c r="G29" s="235"/>
      <c r="H29" s="9">
        <f>FFG!C29</f>
        <v>80.388571428571439</v>
      </c>
      <c r="I29" s="9">
        <f>FFG!D29</f>
        <v>77.591212121212124</v>
      </c>
    </row>
    <row r="30" spans="1:22" x14ac:dyDescent="0.25">
      <c r="A30" s="1">
        <v>20</v>
      </c>
      <c r="B30" s="233" t="str">
        <f>IF(PRELIM!B29="","",PRELIM!B29)</f>
        <v>MAITIM, SALVE ANN RUTH E</v>
      </c>
      <c r="C30" s="234"/>
      <c r="D30" s="234"/>
      <c r="E30" s="234"/>
      <c r="F30" s="234"/>
      <c r="G30" s="235"/>
      <c r="H30" s="9">
        <f>FFG!C30</f>
        <v>92.147987012987016</v>
      </c>
      <c r="I30" s="9">
        <f>FFG!D30</f>
        <v>95.00393939393939</v>
      </c>
    </row>
    <row r="31" spans="1:22" x14ac:dyDescent="0.25">
      <c r="A31" s="1">
        <v>21</v>
      </c>
      <c r="B31" s="233" t="str">
        <f>IF(PRELIM!B30="","",PRELIM!B30)</f>
        <v>MALILA, EMMA MAE B.</v>
      </c>
      <c r="C31" s="234"/>
      <c r="D31" s="234"/>
      <c r="E31" s="234"/>
      <c r="F31" s="234"/>
      <c r="G31" s="235"/>
      <c r="H31" s="9">
        <f>FFG!C31</f>
        <v>87.185714285714283</v>
      </c>
      <c r="I31" s="9">
        <f>FFG!D31</f>
        <v>87.12166666666667</v>
      </c>
    </row>
    <row r="32" spans="1:22" x14ac:dyDescent="0.25">
      <c r="A32" s="1">
        <v>22</v>
      </c>
      <c r="B32" s="233" t="str">
        <f>IF(PRELIM!B31="","",PRELIM!B31)</f>
        <v>MENDEZ, SHYZIEL C.</v>
      </c>
      <c r="C32" s="234"/>
      <c r="D32" s="234"/>
      <c r="E32" s="234"/>
      <c r="F32" s="234"/>
      <c r="G32" s="235"/>
      <c r="H32" s="9">
        <f>FFG!C32</f>
        <v>85.779415584415602</v>
      </c>
      <c r="I32" s="9">
        <f>FFG!D32</f>
        <v>89.321818181818188</v>
      </c>
    </row>
    <row r="33" spans="1:9" x14ac:dyDescent="0.25">
      <c r="A33" s="1">
        <v>23</v>
      </c>
      <c r="B33" s="233" t="str">
        <f>IF(PRELIM!B32="","",PRELIM!B32)</f>
        <v>MORA, CLAURENCE  C.</v>
      </c>
      <c r="C33" s="234"/>
      <c r="D33" s="234"/>
      <c r="E33" s="234"/>
      <c r="F33" s="234"/>
      <c r="G33" s="235"/>
      <c r="H33" s="9">
        <f>FFG!C33</f>
        <v>77.846558441558443</v>
      </c>
      <c r="I33" s="9">
        <f>FFG!D33</f>
        <v>78.528333333333336</v>
      </c>
    </row>
    <row r="34" spans="1:9" x14ac:dyDescent="0.25">
      <c r="A34" s="1">
        <v>24</v>
      </c>
      <c r="B34" s="233" t="str">
        <f>IF(PRELIM!B33="","",PRELIM!B33)</f>
        <v>MORALES, JANE MANELYN C.</v>
      </c>
      <c r="C34" s="234"/>
      <c r="D34" s="234"/>
      <c r="E34" s="234"/>
      <c r="F34" s="234"/>
      <c r="G34" s="235"/>
      <c r="H34" s="9">
        <f>FFG!C34</f>
        <v>83.025259740259742</v>
      </c>
      <c r="I34" s="9">
        <f>FFG!D34</f>
        <v>88.162272727272722</v>
      </c>
    </row>
    <row r="35" spans="1:9" x14ac:dyDescent="0.25">
      <c r="A35" s="1">
        <v>25</v>
      </c>
      <c r="B35" s="233" t="str">
        <f>IF(PRELIM!B34="","",PRELIM!B34)</f>
        <v>NARAGA,  JHAMAICA R.</v>
      </c>
      <c r="C35" s="234"/>
      <c r="D35" s="234"/>
      <c r="E35" s="234"/>
      <c r="F35" s="234"/>
      <c r="G35" s="235"/>
      <c r="H35" s="9">
        <f>FFG!C35</f>
        <v>83.208571428571432</v>
      </c>
      <c r="I35" s="9">
        <f>FFG!D35</f>
        <v>85.336666666666673</v>
      </c>
    </row>
    <row r="36" spans="1:9" x14ac:dyDescent="0.25">
      <c r="A36" s="1">
        <v>26</v>
      </c>
      <c r="B36" s="233" t="str">
        <f>IF(PRELIM!B35="","",PRELIM!B35)</f>
        <v>ONGQUE, CHERRY A.</v>
      </c>
      <c r="C36" s="234"/>
      <c r="D36" s="234"/>
      <c r="E36" s="234"/>
      <c r="F36" s="234"/>
      <c r="G36" s="235"/>
      <c r="H36" s="9">
        <f>FFG!C36</f>
        <v>83.439415584415585</v>
      </c>
      <c r="I36" s="9">
        <f>FFG!D36</f>
        <v>88.198333333333338</v>
      </c>
    </row>
    <row r="37" spans="1:9" x14ac:dyDescent="0.25">
      <c r="A37" s="1">
        <v>27</v>
      </c>
      <c r="B37" s="233" t="str">
        <f>IF(PRELIM!B36="","",PRELIM!B36)</f>
        <v>PAT, APRIL JANE L.</v>
      </c>
      <c r="C37" s="234"/>
      <c r="D37" s="234"/>
      <c r="E37" s="234"/>
      <c r="F37" s="234"/>
      <c r="G37" s="235"/>
      <c r="H37" s="9">
        <f>FFG!C37</f>
        <v>78.326558441558447</v>
      </c>
      <c r="I37" s="9">
        <f>FFG!D37</f>
        <v>75.659545454545452</v>
      </c>
    </row>
    <row r="38" spans="1:9" x14ac:dyDescent="0.25">
      <c r="A38" s="1">
        <v>28</v>
      </c>
      <c r="B38" s="233" t="str">
        <f>IF(PRELIM!B37="","",PRELIM!B37)</f>
        <v>RICALDE, HARVEY C.</v>
      </c>
      <c r="C38" s="234"/>
      <c r="D38" s="234"/>
      <c r="E38" s="234"/>
      <c r="F38" s="234"/>
      <c r="G38" s="235"/>
      <c r="H38" s="9">
        <f>FFG!C38</f>
        <v>80.383701298701283</v>
      </c>
      <c r="I38" s="9">
        <f>FFG!D38</f>
        <v>79.389090909090896</v>
      </c>
    </row>
    <row r="39" spans="1:9" x14ac:dyDescent="0.25">
      <c r="A39" s="1">
        <v>29</v>
      </c>
      <c r="B39" s="233" t="str">
        <f>IF(PRELIM!B38="","",PRELIM!B38)</f>
        <v>ROJAS, CYREL KEN L.</v>
      </c>
      <c r="C39" s="234"/>
      <c r="D39" s="234"/>
      <c r="E39" s="234"/>
      <c r="F39" s="234"/>
      <c r="G39" s="235"/>
      <c r="H39" s="9">
        <f>FFG!C39</f>
        <v>84.742857142857133</v>
      </c>
      <c r="I39" s="9">
        <f>FFG!D39</f>
        <v>76.843333333333334</v>
      </c>
    </row>
    <row r="40" spans="1:9" ht="15" customHeight="1" x14ac:dyDescent="0.25">
      <c r="A40" s="1">
        <v>30</v>
      </c>
      <c r="B40" s="233" t="str">
        <f>IF(PRELIM!B39="","",PRELIM!B39)</f>
        <v>SAMLING, GHEZERIE C.</v>
      </c>
      <c r="C40" s="234"/>
      <c r="D40" s="234"/>
      <c r="E40" s="234"/>
      <c r="F40" s="234"/>
      <c r="G40" s="235"/>
      <c r="H40" s="9">
        <f>FFG!C40</f>
        <v>74.812857142857155</v>
      </c>
      <c r="I40" s="9">
        <f>FFG!D40</f>
        <v>79.848333333333329</v>
      </c>
    </row>
    <row r="41" spans="1:9" ht="15" customHeight="1" x14ac:dyDescent="0.25">
      <c r="A41" s="1">
        <v>31</v>
      </c>
      <c r="B41" s="233" t="str">
        <f>IF(PRELIM!B40="","",PRELIM!B40)</f>
        <v>SAPIO, DIETHER E.</v>
      </c>
      <c r="C41" s="234"/>
      <c r="D41" s="234"/>
      <c r="E41" s="234"/>
      <c r="F41" s="234"/>
      <c r="G41" s="235"/>
      <c r="H41" s="9">
        <f>FFG!C41</f>
        <v>82.004285714285714</v>
      </c>
      <c r="I41" s="9">
        <f>FFG!D41</f>
        <v>74.176666666666677</v>
      </c>
    </row>
    <row r="42" spans="1:9" ht="15" customHeight="1" x14ac:dyDescent="0.25">
      <c r="A42" s="1">
        <v>32</v>
      </c>
      <c r="B42" s="233" t="str">
        <f>IF(PRELIM!B41="","",PRELIM!B41)</f>
        <v>SILPAO, JHON CHRISTIAN G.</v>
      </c>
      <c r="C42" s="234"/>
      <c r="D42" s="234"/>
      <c r="E42" s="234"/>
      <c r="F42" s="234"/>
      <c r="G42" s="235"/>
      <c r="H42" s="9">
        <f>FFG!C42</f>
        <v>84.692402597402605</v>
      </c>
      <c r="I42" s="9">
        <f>FFG!D42</f>
        <v>83.908333333333331</v>
      </c>
    </row>
    <row r="43" spans="1:9" ht="15" customHeight="1" x14ac:dyDescent="0.25">
      <c r="A43" s="1">
        <v>33</v>
      </c>
      <c r="B43" s="233" t="str">
        <f>IF(PRELIM!B42="","",PRELIM!B42)</f>
        <v>TIMUAY, JUVY MAE T</v>
      </c>
      <c r="C43" s="234"/>
      <c r="D43" s="234"/>
      <c r="E43" s="234"/>
      <c r="F43" s="234"/>
      <c r="G43" s="235"/>
      <c r="H43" s="9">
        <f>FFG!C43</f>
        <v>87.134285714285724</v>
      </c>
      <c r="I43" s="9">
        <f>FFG!D43</f>
        <v>91.873333333333335</v>
      </c>
    </row>
    <row r="44" spans="1:9" ht="15" customHeight="1" x14ac:dyDescent="0.25">
      <c r="A44" s="1">
        <v>34</v>
      </c>
      <c r="B44" s="233" t="str">
        <f>IF(PRELIM!B43="","",PRELIM!B43)</f>
        <v>VELASCO, SHYRA BABES C.</v>
      </c>
      <c r="C44" s="234"/>
      <c r="D44" s="234"/>
      <c r="E44" s="234"/>
      <c r="F44" s="234"/>
      <c r="G44" s="235"/>
      <c r="H44" s="9">
        <f>FFG!C44</f>
        <v>84.377987012987006</v>
      </c>
      <c r="I44" s="9">
        <f>FFG!D44</f>
        <v>89.233333333333334</v>
      </c>
    </row>
    <row r="45" spans="1:9" ht="15" customHeight="1" x14ac:dyDescent="0.25">
      <c r="A45" s="1">
        <v>35</v>
      </c>
      <c r="B45" s="233" t="str">
        <f>IF(PRELIM!B44="","",PRELIM!B44)</f>
        <v>VENERACION, PRINCESS P.</v>
      </c>
      <c r="C45" s="234"/>
      <c r="D45" s="234"/>
      <c r="E45" s="234"/>
      <c r="F45" s="234"/>
      <c r="G45" s="235"/>
      <c r="H45" s="9">
        <f>FFG!C45</f>
        <v>86.722857142857137</v>
      </c>
      <c r="I45" s="9">
        <f>FFG!D45</f>
        <v>86.321666666666658</v>
      </c>
    </row>
    <row r="46" spans="1:9" ht="15" customHeight="1" x14ac:dyDescent="0.25">
      <c r="A46" s="1">
        <v>36</v>
      </c>
      <c r="B46" s="233" t="str">
        <f>IF(PRELIM!B45="","",PRELIM!B45)</f>
        <v>VERGARA, RAYAN JAY M.</v>
      </c>
      <c r="C46" s="234"/>
      <c r="D46" s="234"/>
      <c r="E46" s="234"/>
      <c r="F46" s="234"/>
      <c r="G46" s="235"/>
      <c r="H46" s="9">
        <f>FFG!C46</f>
        <v>85.15428571428572</v>
      </c>
      <c r="I46" s="9">
        <f>FFG!D46</f>
        <v>90.633333333333326</v>
      </c>
    </row>
    <row r="47" spans="1:9" ht="15" customHeight="1" x14ac:dyDescent="0.25">
      <c r="A47" s="1">
        <v>37</v>
      </c>
      <c r="B47" s="233" t="str">
        <f>IF(PRELIM!B46="","",PRELIM!B46)</f>
        <v>VILLAVER, JEHAN CEDRIC G.</v>
      </c>
      <c r="C47" s="234"/>
      <c r="D47" s="234"/>
      <c r="E47" s="234"/>
      <c r="F47" s="234"/>
      <c r="G47" s="235"/>
      <c r="H47" s="9">
        <f>FFG!C47</f>
        <v>80.289999999999992</v>
      </c>
      <c r="I47" s="9">
        <f>FFG!D47</f>
        <v>80.491212121212129</v>
      </c>
    </row>
    <row r="48" spans="1:9" ht="15" hidden="1" customHeight="1" x14ac:dyDescent="0.25">
      <c r="A48" s="1">
        <v>38</v>
      </c>
      <c r="B48" s="233" t="str">
        <f>IF(PRELIM!B47="","",PRELIM!B47)</f>
        <v/>
      </c>
      <c r="C48" s="234"/>
      <c r="D48" s="234"/>
      <c r="E48" s="234"/>
      <c r="F48" s="234"/>
      <c r="G48" s="235"/>
      <c r="H48" s="9" t="str">
        <f>FFG!C48</f>
        <v>NE</v>
      </c>
      <c r="I48" s="9" t="str">
        <f>FFG!D48</f>
        <v>NE</v>
      </c>
    </row>
    <row r="49" spans="1:9" ht="15" hidden="1" customHeight="1" x14ac:dyDescent="0.25">
      <c r="A49" s="1">
        <v>39</v>
      </c>
      <c r="B49" s="233" t="str">
        <f>IF(PRELIM!B48="","",PRELIM!B48)</f>
        <v/>
      </c>
      <c r="C49" s="234"/>
      <c r="D49" s="234"/>
      <c r="E49" s="234"/>
      <c r="F49" s="234"/>
      <c r="G49" s="235"/>
      <c r="H49" s="9" t="str">
        <f>FFG!C49</f>
        <v>NE</v>
      </c>
      <c r="I49" s="9" t="str">
        <f>FFG!D49</f>
        <v>NE</v>
      </c>
    </row>
    <row r="50" spans="1:9" ht="15" hidden="1" customHeight="1" x14ac:dyDescent="0.25">
      <c r="A50" s="1">
        <v>40</v>
      </c>
      <c r="B50" s="233" t="str">
        <f>IF(PRELIM!B49="","",PRELIM!B49)</f>
        <v/>
      </c>
      <c r="C50" s="234"/>
      <c r="D50" s="234"/>
      <c r="E50" s="234"/>
      <c r="F50" s="234"/>
      <c r="G50" s="235"/>
      <c r="H50" s="9" t="str">
        <f>FFG!C50</f>
        <v>NE</v>
      </c>
      <c r="I50" s="9" t="str">
        <f>FFG!D50</f>
        <v>NE</v>
      </c>
    </row>
    <row r="51" spans="1:9" ht="15" hidden="1" customHeight="1" x14ac:dyDescent="0.25">
      <c r="A51" s="1">
        <v>41</v>
      </c>
      <c r="B51" s="233" t="str">
        <f>IF(PRELIM!B50="","",PRELIM!B50)</f>
        <v/>
      </c>
      <c r="C51" s="234"/>
      <c r="D51" s="234"/>
      <c r="E51" s="234"/>
      <c r="F51" s="234"/>
      <c r="G51" s="235"/>
      <c r="H51" s="9" t="str">
        <f>FFG!C51</f>
        <v>NE</v>
      </c>
      <c r="I51" s="9" t="str">
        <f>FFG!D51</f>
        <v>NE</v>
      </c>
    </row>
    <row r="52" spans="1:9" ht="15" hidden="1" customHeight="1" x14ac:dyDescent="0.25">
      <c r="A52" s="1">
        <v>42</v>
      </c>
      <c r="B52" s="233" t="str">
        <f>IF(PRELIM!B51="","",PRELIM!B51)</f>
        <v/>
      </c>
      <c r="C52" s="234"/>
      <c r="D52" s="234"/>
      <c r="E52" s="234"/>
      <c r="F52" s="234"/>
      <c r="G52" s="235"/>
      <c r="H52" s="9" t="str">
        <f>FFG!C52</f>
        <v>NE</v>
      </c>
      <c r="I52" s="9" t="str">
        <f>FFG!D52</f>
        <v>NE</v>
      </c>
    </row>
    <row r="53" spans="1:9" ht="15" hidden="1" customHeight="1" x14ac:dyDescent="0.25">
      <c r="A53" s="1">
        <v>43</v>
      </c>
      <c r="B53" s="233" t="str">
        <f>IF(PRELIM!B52="","",PRELIM!B52)</f>
        <v/>
      </c>
      <c r="C53" s="234"/>
      <c r="D53" s="234"/>
      <c r="E53" s="234"/>
      <c r="F53" s="234"/>
      <c r="G53" s="235"/>
      <c r="H53" s="9" t="str">
        <f>FFG!C53</f>
        <v>NE</v>
      </c>
      <c r="I53" s="9" t="str">
        <f>FFG!D53</f>
        <v>NE</v>
      </c>
    </row>
    <row r="54" spans="1:9" ht="15" hidden="1" customHeight="1" x14ac:dyDescent="0.25">
      <c r="A54" s="1">
        <v>44</v>
      </c>
      <c r="B54" s="233" t="str">
        <f>IF(PRELIM!B53="","",PRELIM!B53)</f>
        <v/>
      </c>
      <c r="C54" s="234"/>
      <c r="D54" s="234"/>
      <c r="E54" s="234"/>
      <c r="F54" s="234"/>
      <c r="G54" s="235"/>
      <c r="H54" s="9" t="str">
        <f>FFG!C54</f>
        <v>NE</v>
      </c>
      <c r="I54" s="9" t="str">
        <f>FFG!D54</f>
        <v>NE</v>
      </c>
    </row>
    <row r="55" spans="1:9" ht="15" hidden="1" customHeight="1" x14ac:dyDescent="0.25">
      <c r="A55" s="1">
        <v>45</v>
      </c>
      <c r="B55" s="233" t="str">
        <f>IF(PRELIM!B54="","",PRELIM!B54)</f>
        <v/>
      </c>
      <c r="C55" s="234"/>
      <c r="D55" s="234"/>
      <c r="E55" s="234"/>
      <c r="F55" s="234"/>
      <c r="G55" s="235"/>
      <c r="H55" s="9" t="str">
        <f>FFG!C55</f>
        <v>NE</v>
      </c>
      <c r="I55" s="9" t="str">
        <f>FFG!D55</f>
        <v>NE</v>
      </c>
    </row>
    <row r="56" spans="1:9" ht="15" hidden="1" customHeight="1" x14ac:dyDescent="0.25">
      <c r="A56" s="1">
        <v>46</v>
      </c>
      <c r="B56" s="233" t="str">
        <f>IF(PRELIM!B55="","",PRELIM!B55)</f>
        <v/>
      </c>
      <c r="C56" s="234"/>
      <c r="D56" s="234"/>
      <c r="E56" s="234"/>
      <c r="F56" s="234"/>
      <c r="G56" s="235"/>
      <c r="H56" s="9" t="str">
        <f>FFG!C56</f>
        <v>NE</v>
      </c>
      <c r="I56" s="9" t="str">
        <f>FFG!D56</f>
        <v>NE</v>
      </c>
    </row>
    <row r="57" spans="1:9" ht="15" hidden="1" customHeight="1" x14ac:dyDescent="0.25">
      <c r="A57" s="1">
        <v>47</v>
      </c>
      <c r="B57" s="233" t="str">
        <f>IF(PRELIM!B56="","",PRELIM!B56)</f>
        <v/>
      </c>
      <c r="C57" s="234"/>
      <c r="D57" s="234"/>
      <c r="E57" s="234"/>
      <c r="F57" s="234"/>
      <c r="G57" s="235"/>
      <c r="H57" s="9" t="str">
        <f>FFG!C57</f>
        <v>NE</v>
      </c>
      <c r="I57" s="9" t="str">
        <f>FFG!D57</f>
        <v>NE</v>
      </c>
    </row>
    <row r="58" spans="1:9" ht="15" hidden="1" customHeight="1" x14ac:dyDescent="0.25">
      <c r="A58" s="1">
        <v>48</v>
      </c>
      <c r="B58" s="233" t="str">
        <f>IF(PRELIM!B57="","",PRELIM!B57)</f>
        <v/>
      </c>
      <c r="C58" s="234"/>
      <c r="D58" s="234"/>
      <c r="E58" s="234"/>
      <c r="F58" s="234"/>
      <c r="G58" s="235"/>
      <c r="H58" s="9" t="str">
        <f>FFG!C58</f>
        <v>NE</v>
      </c>
      <c r="I58" s="9" t="str">
        <f>FFG!D58</f>
        <v>NE</v>
      </c>
    </row>
    <row r="59" spans="1:9" ht="15" hidden="1" customHeight="1" x14ac:dyDescent="0.25">
      <c r="A59" s="1">
        <v>49</v>
      </c>
      <c r="B59" s="233" t="str">
        <f>IF(PRELIM!B58="","",PRELIM!B58)</f>
        <v/>
      </c>
      <c r="C59" s="234"/>
      <c r="D59" s="234"/>
      <c r="E59" s="234"/>
      <c r="F59" s="234"/>
      <c r="G59" s="235"/>
      <c r="H59" s="9" t="str">
        <f>FFG!C59</f>
        <v>NE</v>
      </c>
      <c r="I59" s="9" t="str">
        <f>FFG!D59</f>
        <v>NE</v>
      </c>
    </row>
    <row r="60" spans="1:9" ht="15" hidden="1" customHeight="1" x14ac:dyDescent="0.25">
      <c r="A60" s="1">
        <v>50</v>
      </c>
      <c r="B60" s="233" t="str">
        <f>IF(PRELIM!B59="","",PRELIM!B59)</f>
        <v/>
      </c>
      <c r="C60" s="234"/>
      <c r="D60" s="234"/>
      <c r="E60" s="234"/>
      <c r="F60" s="234"/>
      <c r="G60" s="235"/>
      <c r="H60" s="9" t="str">
        <f>FFG!C60</f>
        <v>NE</v>
      </c>
      <c r="I60" s="9" t="str">
        <f>FFG!D60</f>
        <v>NE</v>
      </c>
    </row>
    <row r="61" spans="1:9" x14ac:dyDescent="0.25">
      <c r="A61" s="70"/>
      <c r="B61" s="72"/>
      <c r="C61" s="72"/>
      <c r="D61" s="72"/>
      <c r="E61" s="72"/>
      <c r="F61" s="72"/>
      <c r="G61" s="72"/>
      <c r="H61" s="6"/>
      <c r="I61" s="6"/>
    </row>
    <row r="62" spans="1:9" x14ac:dyDescent="0.25">
      <c r="A62" s="70"/>
      <c r="B62" s="72"/>
      <c r="C62" s="72"/>
      <c r="D62" s="72"/>
      <c r="E62" s="72"/>
      <c r="F62" s="72"/>
      <c r="G62" s="72"/>
      <c r="H62" s="71"/>
      <c r="I62" s="71"/>
    </row>
    <row r="63" spans="1:9" x14ac:dyDescent="0.25">
      <c r="A63" s="2" t="s">
        <v>82</v>
      </c>
      <c r="G63" s="72"/>
      <c r="H63" s="71"/>
      <c r="I63" s="71"/>
    </row>
    <row r="64" spans="1:9" x14ac:dyDescent="0.25">
      <c r="G64" s="72"/>
      <c r="H64" s="71"/>
      <c r="I64" s="71"/>
    </row>
    <row r="65" spans="1:18" ht="15.6" x14ac:dyDescent="0.3">
      <c r="A65" s="5" t="str">
        <f>Informations!C2</f>
        <v>DANEVE S. OBERO</v>
      </c>
      <c r="B65" s="5"/>
      <c r="C65" s="5"/>
      <c r="D65" s="5"/>
      <c r="E65" s="5"/>
      <c r="F65" s="5"/>
      <c r="G65" s="72"/>
      <c r="H65" s="71"/>
      <c r="I65" s="71"/>
    </row>
    <row r="66" spans="1:18" x14ac:dyDescent="0.25">
      <c r="A66" s="2" t="s">
        <v>83</v>
      </c>
      <c r="G66" s="72"/>
      <c r="H66" s="71"/>
      <c r="I66" s="71"/>
    </row>
    <row r="67" spans="1:18" x14ac:dyDescent="0.25">
      <c r="G67" s="72"/>
      <c r="H67" s="71"/>
      <c r="I67" s="71"/>
    </row>
    <row r="68" spans="1:18" x14ac:dyDescent="0.25">
      <c r="A68" s="2" t="s">
        <v>84</v>
      </c>
      <c r="G68" s="72"/>
      <c r="H68" s="71"/>
      <c r="I68" s="71"/>
    </row>
    <row r="69" spans="1:18" x14ac:dyDescent="0.25">
      <c r="G69" s="72"/>
      <c r="H69" s="71"/>
      <c r="I69" s="71"/>
    </row>
    <row r="70" spans="1:18" ht="15.6" x14ac:dyDescent="0.3">
      <c r="A70" s="5" t="s">
        <v>145</v>
      </c>
      <c r="B70" s="5"/>
      <c r="C70" s="5"/>
      <c r="D70" s="5"/>
      <c r="E70" s="5"/>
      <c r="F70" s="5"/>
      <c r="G70" s="72"/>
      <c r="H70" s="71"/>
      <c r="I70" s="71"/>
    </row>
    <row r="71" spans="1:18" x14ac:dyDescent="0.25">
      <c r="A71" s="2" t="s">
        <v>121</v>
      </c>
      <c r="G71" s="72"/>
      <c r="H71" s="71"/>
      <c r="I71" s="71"/>
    </row>
    <row r="72" spans="1:18" x14ac:dyDescent="0.25">
      <c r="G72" s="72"/>
      <c r="H72" s="71"/>
      <c r="I72" s="71"/>
    </row>
    <row r="73" spans="1:18" x14ac:dyDescent="0.25">
      <c r="A73" s="2" t="s">
        <v>123</v>
      </c>
      <c r="D73" s="257">
        <f ca="1">TODAY()</f>
        <v>45867</v>
      </c>
      <c r="E73" s="257"/>
      <c r="F73" s="257"/>
      <c r="G73" s="72"/>
      <c r="H73" s="71"/>
      <c r="I73" s="71"/>
    </row>
    <row r="74" spans="1:18" x14ac:dyDescent="0.25"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1:18" x14ac:dyDescent="0.25"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</row>
    <row r="76" spans="1:18" x14ac:dyDescent="0.25"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1:18" x14ac:dyDescent="0.25"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spans="1:18" x14ac:dyDescent="0.25"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1:18" x14ac:dyDescent="0.25"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1:18" x14ac:dyDescent="0.25"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</row>
    <row r="85" spans="8:9" x14ac:dyDescent="0.25">
      <c r="H85" s="6"/>
      <c r="I85" s="6"/>
    </row>
    <row r="86" spans="8:9" x14ac:dyDescent="0.25">
      <c r="H86" s="6"/>
      <c r="I86" s="6"/>
    </row>
    <row r="88" spans="8:9" x14ac:dyDescent="0.25">
      <c r="H88" s="6"/>
      <c r="I88" s="6"/>
    </row>
    <row r="90" spans="8:9" x14ac:dyDescent="0.25">
      <c r="H90" s="6"/>
      <c r="I90" s="6"/>
    </row>
    <row r="91" spans="8:9" x14ac:dyDescent="0.25">
      <c r="H91" s="6"/>
      <c r="I91" s="6"/>
    </row>
    <row r="93" spans="8:9" x14ac:dyDescent="0.25">
      <c r="H93" s="6"/>
      <c r="I93" s="6"/>
    </row>
  </sheetData>
  <mergeCells count="65">
    <mergeCell ref="B57:G57"/>
    <mergeCell ref="B58:G58"/>
    <mergeCell ref="B59:G59"/>
    <mergeCell ref="B60:G60"/>
    <mergeCell ref="D73:F73"/>
    <mergeCell ref="B51:G51"/>
    <mergeCell ref="B52:G52"/>
    <mergeCell ref="B53:G53"/>
    <mergeCell ref="B54:G54"/>
    <mergeCell ref="B55:G55"/>
    <mergeCell ref="B56:G56"/>
    <mergeCell ref="B25:G25"/>
    <mergeCell ref="B44:G44"/>
    <mergeCell ref="B45:G45"/>
    <mergeCell ref="B46:G46"/>
    <mergeCell ref="B47:G47"/>
    <mergeCell ref="B48:G48"/>
    <mergeCell ref="B27:G27"/>
    <mergeCell ref="B28:G28"/>
    <mergeCell ref="B29:G29"/>
    <mergeCell ref="B30:G30"/>
    <mergeCell ref="B31:G31"/>
    <mergeCell ref="B49:G49"/>
    <mergeCell ref="B50:G50"/>
    <mergeCell ref="B40:G40"/>
    <mergeCell ref="B41:G41"/>
    <mergeCell ref="B23:G23"/>
    <mergeCell ref="B24:G24"/>
    <mergeCell ref="B20:G20"/>
    <mergeCell ref="B42:G42"/>
    <mergeCell ref="B36:G36"/>
    <mergeCell ref="B33:G33"/>
    <mergeCell ref="B26:G26"/>
    <mergeCell ref="A1:I1"/>
    <mergeCell ref="B15:G15"/>
    <mergeCell ref="A4:I4"/>
    <mergeCell ref="O2:O3"/>
    <mergeCell ref="B43:G43"/>
    <mergeCell ref="B37:G37"/>
    <mergeCell ref="B38:G38"/>
    <mergeCell ref="B39:G39"/>
    <mergeCell ref="A2:I2"/>
    <mergeCell ref="A10:G10"/>
    <mergeCell ref="B34:G34"/>
    <mergeCell ref="B35:G35"/>
    <mergeCell ref="B32:G32"/>
    <mergeCell ref="B14:G14"/>
    <mergeCell ref="B21:G21"/>
    <mergeCell ref="B22:G22"/>
    <mergeCell ref="I6:I7"/>
    <mergeCell ref="E6:G7"/>
    <mergeCell ref="A8:B8"/>
    <mergeCell ref="A6:B7"/>
    <mergeCell ref="A9:I9"/>
    <mergeCell ref="B17:G17"/>
    <mergeCell ref="B19:G19"/>
    <mergeCell ref="E8:G8"/>
    <mergeCell ref="C6:D7"/>
    <mergeCell ref="H6:H7"/>
    <mergeCell ref="B16:G16"/>
    <mergeCell ref="C8:D8"/>
    <mergeCell ref="B11:G11"/>
    <mergeCell ref="B12:G12"/>
    <mergeCell ref="B13:G13"/>
    <mergeCell ref="B18:G18"/>
  </mergeCells>
  <phoneticPr fontId="0" type="noConversion"/>
  <pageMargins left="0.7" right="0.7" top="0.75" bottom="0.75" header="0.3" footer="0.3"/>
  <pageSetup paperSize="14" scale="9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hide2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60"/>
  <sheetViews>
    <sheetView zoomScale="250" zoomScaleNormal="250" workbookViewId="0">
      <pane ySplit="9" topLeftCell="A39" activePane="bottomLeft" state="frozen"/>
      <selection pane="bottomLeft" activeCell="G47" sqref="G47"/>
    </sheetView>
  </sheetViews>
  <sheetFormatPr defaultColWidth="9.109375" defaultRowHeight="9.6" x14ac:dyDescent="0.2"/>
  <cols>
    <col min="1" max="1" width="4" style="51" customWidth="1"/>
    <col min="2" max="2" width="20.6640625" style="51" customWidth="1"/>
    <col min="3" max="4" width="3.6640625" style="64" customWidth="1"/>
    <col min="5" max="5" width="2.6640625" style="51" customWidth="1"/>
    <col min="6" max="7" width="3.6640625" style="65" customWidth="1"/>
    <col min="8" max="8" width="4.33203125" style="65" customWidth="1"/>
    <col min="9" max="9" width="25.6640625" style="51" customWidth="1"/>
    <col min="10" max="16384" width="9.109375" style="51"/>
  </cols>
  <sheetData>
    <row r="1" spans="1:10" x14ac:dyDescent="0.2">
      <c r="A1" s="66"/>
      <c r="B1" s="67"/>
      <c r="C1" s="67"/>
      <c r="D1" s="67"/>
      <c r="E1" s="67"/>
      <c r="F1" s="67"/>
      <c r="G1" s="67"/>
      <c r="H1" s="67"/>
      <c r="I1" s="67"/>
      <c r="J1" s="67"/>
    </row>
    <row r="2" spans="1:10" ht="9" customHeight="1" x14ac:dyDescent="0.2">
      <c r="A2" s="196" t="str">
        <f>IF(PRELIM!AH4="","",PRELIM!AH4)</f>
        <v>INTERNATIONAL BUSINESS AND TRADE</v>
      </c>
      <c r="B2" s="196"/>
      <c r="C2" s="196"/>
      <c r="D2" s="196"/>
      <c r="E2" s="196"/>
      <c r="F2" s="196"/>
      <c r="G2" s="196"/>
      <c r="H2" s="196"/>
      <c r="I2" s="196"/>
      <c r="J2" s="67"/>
    </row>
    <row r="3" spans="1:10" ht="9" customHeight="1" x14ac:dyDescent="0.2">
      <c r="A3" s="258" t="s">
        <v>114</v>
      </c>
      <c r="B3" s="258"/>
      <c r="C3" s="258"/>
      <c r="D3" s="258"/>
      <c r="E3" s="258"/>
      <c r="F3" s="258"/>
      <c r="G3" s="258"/>
      <c r="H3" s="258"/>
      <c r="I3" s="258"/>
      <c r="J3" s="12"/>
    </row>
    <row r="4" spans="1:10" x14ac:dyDescent="0.2">
      <c r="A4" s="12"/>
      <c r="B4" s="13" t="s">
        <v>109</v>
      </c>
      <c r="C4" s="13"/>
      <c r="D4" s="67"/>
      <c r="E4" s="66"/>
      <c r="F4" s="66"/>
      <c r="G4" s="67" t="s">
        <v>116</v>
      </c>
      <c r="H4" s="66" t="s">
        <v>118</v>
      </c>
      <c r="I4" s="67" t="e">
        <f>IF(PRELIM!BS3="","",PRELIM!BS3)</f>
        <v>#REF!</v>
      </c>
      <c r="J4" s="67"/>
    </row>
    <row r="5" spans="1:10" x14ac:dyDescent="0.2">
      <c r="A5" s="12"/>
      <c r="B5" s="13" t="s">
        <v>113</v>
      </c>
      <c r="C5" s="13"/>
      <c r="D5" s="67"/>
      <c r="E5" s="67"/>
      <c r="F5" s="67"/>
      <c r="G5" s="67" t="s">
        <v>117</v>
      </c>
      <c r="H5" s="67" t="s">
        <v>118</v>
      </c>
      <c r="I5" s="67" t="e">
        <f>IF(PRELIM!BS4="","",PRELIM!BS4)</f>
        <v>#REF!</v>
      </c>
      <c r="J5" s="67"/>
    </row>
    <row r="6" spans="1:10" x14ac:dyDescent="0.2">
      <c r="A6" s="12"/>
      <c r="B6" s="13"/>
      <c r="C6" s="12"/>
      <c r="D6" s="12"/>
      <c r="E6" s="12"/>
      <c r="F6" s="12"/>
      <c r="G6" s="12"/>
      <c r="H6" s="12"/>
      <c r="I6" s="12"/>
      <c r="J6" s="12"/>
    </row>
    <row r="7" spans="1:10" ht="9" customHeight="1" x14ac:dyDescent="0.2">
      <c r="A7" s="267"/>
      <c r="B7" s="262" t="s">
        <v>0</v>
      </c>
      <c r="C7" s="268" t="s">
        <v>70</v>
      </c>
      <c r="D7" s="268" t="s">
        <v>126</v>
      </c>
      <c r="E7" s="261"/>
      <c r="F7" s="263" t="s">
        <v>53</v>
      </c>
      <c r="G7" s="260" t="s">
        <v>71</v>
      </c>
      <c r="H7" s="264" t="s">
        <v>35</v>
      </c>
      <c r="I7" s="259" t="s">
        <v>72</v>
      </c>
    </row>
    <row r="8" spans="1:10" x14ac:dyDescent="0.2">
      <c r="A8" s="267"/>
      <c r="B8" s="262"/>
      <c r="C8" s="268"/>
      <c r="D8" s="268"/>
      <c r="E8" s="261"/>
      <c r="F8" s="263"/>
      <c r="G8" s="260"/>
      <c r="H8" s="265"/>
      <c r="I8" s="259"/>
    </row>
    <row r="9" spans="1:10" x14ac:dyDescent="0.2">
      <c r="A9" s="267"/>
      <c r="B9" s="262"/>
      <c r="C9" s="268"/>
      <c r="D9" s="268"/>
      <c r="E9" s="261"/>
      <c r="F9" s="263"/>
      <c r="G9" s="260"/>
      <c r="H9" s="265"/>
      <c r="I9" s="259"/>
    </row>
    <row r="10" spans="1:10" x14ac:dyDescent="0.2">
      <c r="A10" s="52"/>
      <c r="B10" s="53"/>
      <c r="C10" s="54"/>
      <c r="D10" s="54"/>
      <c r="E10" s="55"/>
      <c r="F10" s="56"/>
      <c r="G10" s="57"/>
      <c r="H10" s="266"/>
      <c r="I10" s="259"/>
    </row>
    <row r="11" spans="1:10" x14ac:dyDescent="0.2">
      <c r="A11" s="52">
        <v>1</v>
      </c>
      <c r="B11" s="58" t="str">
        <f>IF(PRELIM!B10="","",PRELIM!B10)</f>
        <v>AIDAROS, ANALIE B.</v>
      </c>
      <c r="C11" s="59">
        <f>IF(MIDTERM!BN10="","NE",MIDTERM!BQ10)</f>
        <v>82.78</v>
      </c>
      <c r="D11" s="59">
        <f>IF(FINALS!BN10="","NE",FINALS!BQ10)</f>
        <v>87.865000000000009</v>
      </c>
      <c r="E11" s="60"/>
      <c r="F11" s="61">
        <f>(C11*0.4)+(D11*0.6)</f>
        <v>85.831000000000003</v>
      </c>
      <c r="G11" s="62">
        <f>ROUND(IF(F11&lt;74.5,"5.0",(1+((100-F11)*0.1))),1)</f>
        <v>2.4</v>
      </c>
      <c r="H11" s="61" t="str">
        <f>IF(F11&lt;74.5,"FAILED","PASSED")</f>
        <v>PASSED</v>
      </c>
      <c r="I11" s="63"/>
    </row>
    <row r="12" spans="1:10" ht="9" customHeight="1" x14ac:dyDescent="0.2">
      <c r="A12" s="52">
        <v>2</v>
      </c>
      <c r="B12" s="58" t="str">
        <f>IF(PRELIM!B11="","",PRELIM!B11)</f>
        <v>ALILI, JAIDE LOU D.</v>
      </c>
      <c r="C12" s="59">
        <f>IF(MIDTERM!BN11="","NE",MIDTERM!BQ11)</f>
        <v>85.27000000000001</v>
      </c>
      <c r="D12" s="59">
        <f>IF(FINALS!BN11="","NE",FINALS!BQ11)</f>
        <v>85.263333333333321</v>
      </c>
      <c r="E12" s="60"/>
      <c r="F12" s="61">
        <f t="shared" ref="F12:F60" si="0">(C12*0.4)+(D12*0.6)</f>
        <v>85.265999999999991</v>
      </c>
      <c r="G12" s="62">
        <f t="shared" ref="G12:G60" si="1">ROUND(IF(F12&lt;74.5,"5.0",(1+((100-F12)*0.1))),1)</f>
        <v>2.5</v>
      </c>
      <c r="H12" s="61" t="str">
        <f t="shared" ref="H12:H60" si="2">IF(F12&lt;74.5,"FAILED","PASSED")</f>
        <v>PASSED</v>
      </c>
      <c r="I12" s="63"/>
    </row>
    <row r="13" spans="1:10" x14ac:dyDescent="0.2">
      <c r="A13" s="52">
        <v>3</v>
      </c>
      <c r="B13" s="58" t="str">
        <f>IF(PRELIM!B12="","",PRELIM!B12)</f>
        <v>ALLOSO, RICHELLE MAE</v>
      </c>
      <c r="C13" s="59">
        <f>IF(MIDTERM!BN12="","NE",MIDTERM!BQ12)</f>
        <v>87.019545454545437</v>
      </c>
      <c r="D13" s="59">
        <f>IF(FINALS!BN12="","NE",FINALS!BQ12)</f>
        <v>87.204999999999998</v>
      </c>
      <c r="E13" s="60"/>
      <c r="F13" s="61">
        <f t="shared" si="0"/>
        <v>87.130818181818171</v>
      </c>
      <c r="G13" s="62">
        <f t="shared" si="1"/>
        <v>2.2999999999999998</v>
      </c>
      <c r="H13" s="61" t="str">
        <f t="shared" si="2"/>
        <v>PASSED</v>
      </c>
      <c r="I13" s="63"/>
    </row>
    <row r="14" spans="1:10" x14ac:dyDescent="0.2">
      <c r="A14" s="52">
        <v>4</v>
      </c>
      <c r="B14" s="58" t="str">
        <f>IF(PRELIM!B13="","",PRELIM!B13)</f>
        <v>AUTIDA, MHARK ANGELOU E.</v>
      </c>
      <c r="C14" s="59">
        <f>IF(MIDTERM!BN13="","NE",MIDTERM!BQ13)</f>
        <v>77.551428571428573</v>
      </c>
      <c r="D14" s="59">
        <f>IF(FINALS!BN13="","NE",FINALS!BQ13)</f>
        <v>72.983939393939409</v>
      </c>
      <c r="E14" s="60"/>
      <c r="F14" s="61">
        <f t="shared" si="0"/>
        <v>74.81093506493508</v>
      </c>
      <c r="G14" s="62">
        <f t="shared" si="1"/>
        <v>3.5</v>
      </c>
      <c r="H14" s="61" t="str">
        <f t="shared" si="2"/>
        <v>PASSED</v>
      </c>
      <c r="I14" s="63"/>
    </row>
    <row r="15" spans="1:10" x14ac:dyDescent="0.2">
      <c r="A15" s="52">
        <v>5</v>
      </c>
      <c r="B15" s="58" t="str">
        <f>IF(PRELIM!B14="","",PRELIM!B14)</f>
        <v>BENITO, FADEL C.</v>
      </c>
      <c r="C15" s="59">
        <f>IF(MIDTERM!BN14="","NE",MIDTERM!BQ14)</f>
        <v>93.37</v>
      </c>
      <c r="D15" s="59">
        <f>IF(FINALS!BN14="","NE",FINALS!BQ14)</f>
        <v>93.161666666666676</v>
      </c>
      <c r="E15" s="60"/>
      <c r="F15" s="61">
        <f t="shared" si="0"/>
        <v>93.245000000000005</v>
      </c>
      <c r="G15" s="62">
        <f t="shared" si="1"/>
        <v>1.7</v>
      </c>
      <c r="H15" s="61" t="str">
        <f t="shared" si="2"/>
        <v>PASSED</v>
      </c>
      <c r="I15" s="63"/>
    </row>
    <row r="16" spans="1:10" x14ac:dyDescent="0.2">
      <c r="A16" s="52">
        <v>6</v>
      </c>
      <c r="B16" s="58" t="str">
        <f>IF(PRELIM!B15="","",PRELIM!B15)</f>
        <v>BESTUDIO, JERBY BRIX T.</v>
      </c>
      <c r="C16" s="59">
        <f>IF(MIDTERM!BN15="","NE",MIDTERM!BQ15)</f>
        <v>81.459415584415581</v>
      </c>
      <c r="D16" s="59">
        <f>IF(FINALS!BN15="","NE",FINALS!BQ15)</f>
        <v>79.263333333333321</v>
      </c>
      <c r="E16" s="60"/>
      <c r="F16" s="61">
        <f t="shared" si="0"/>
        <v>80.141766233766219</v>
      </c>
      <c r="G16" s="62">
        <f t="shared" si="1"/>
        <v>3</v>
      </c>
      <c r="H16" s="61" t="str">
        <f t="shared" si="2"/>
        <v>PASSED</v>
      </c>
      <c r="I16" s="63"/>
    </row>
    <row r="17" spans="1:9" x14ac:dyDescent="0.2">
      <c r="A17" s="52">
        <v>7</v>
      </c>
      <c r="B17" s="58" t="str">
        <f>IF(PRELIM!B16="","",PRELIM!B16)</f>
        <v>BONGGALON, ROSELYN M.</v>
      </c>
      <c r="C17" s="59">
        <f>IF(MIDTERM!BN16="","NE",MIDTERM!BQ16)</f>
        <v>75.010000000000005</v>
      </c>
      <c r="D17" s="59">
        <f>IF(FINALS!BN16="","NE",FINALS!BQ16)</f>
        <v>75.34</v>
      </c>
      <c r="E17" s="60"/>
      <c r="F17" s="61">
        <f t="shared" si="0"/>
        <v>75.207999999999998</v>
      </c>
      <c r="G17" s="62">
        <f t="shared" si="1"/>
        <v>3.5</v>
      </c>
      <c r="H17" s="61" t="str">
        <f t="shared" si="2"/>
        <v>PASSED</v>
      </c>
      <c r="I17" s="63"/>
    </row>
    <row r="18" spans="1:9" x14ac:dyDescent="0.2">
      <c r="A18" s="52">
        <v>8</v>
      </c>
      <c r="B18" s="58" t="str">
        <f>IF(PRELIM!B17="","",PRELIM!B17)</f>
        <v>CABANIG, JOYCE D.</v>
      </c>
      <c r="C18" s="59">
        <f>IF(MIDTERM!BN17="","NE",MIDTERM!BQ17)</f>
        <v>80.598571428571432</v>
      </c>
      <c r="D18" s="59">
        <f>IF(FINALS!BN17="","NE",FINALS!BQ17)</f>
        <v>80.723333333333329</v>
      </c>
      <c r="E18" s="60"/>
      <c r="F18" s="61">
        <f t="shared" si="0"/>
        <v>80.673428571428573</v>
      </c>
      <c r="G18" s="62">
        <f t="shared" si="1"/>
        <v>2.9</v>
      </c>
      <c r="H18" s="61" t="str">
        <f t="shared" si="2"/>
        <v>PASSED</v>
      </c>
      <c r="I18" s="63"/>
    </row>
    <row r="19" spans="1:9" x14ac:dyDescent="0.2">
      <c r="A19" s="52">
        <v>9</v>
      </c>
      <c r="B19" s="58" t="str">
        <f>IF(PRELIM!B18="","",PRELIM!B18)</f>
        <v>DELEGUER JR., WYNIEL M.</v>
      </c>
      <c r="C19" s="59">
        <f>IF(MIDTERM!BN18="","NE",MIDTERM!BQ18)</f>
        <v>79.82714285714286</v>
      </c>
      <c r="D19" s="59">
        <f>IF(FINALS!BN18="","NE",FINALS!BQ18)</f>
        <v>73.56</v>
      </c>
      <c r="E19" s="60"/>
      <c r="F19" s="61">
        <f t="shared" si="0"/>
        <v>76.066857142857145</v>
      </c>
      <c r="G19" s="62">
        <f t="shared" si="1"/>
        <v>3.4</v>
      </c>
      <c r="H19" s="61" t="str">
        <f t="shared" si="2"/>
        <v>PASSED</v>
      </c>
      <c r="I19" s="63"/>
    </row>
    <row r="20" spans="1:9" x14ac:dyDescent="0.2">
      <c r="A20" s="52">
        <v>10</v>
      </c>
      <c r="B20" s="58" t="str">
        <f>IF(PRELIM!B19="","",PRELIM!B19)</f>
        <v>ESPINO, PRINCESS GAIL A.</v>
      </c>
      <c r="C20" s="59">
        <f>IF(MIDTERM!BN19="","NE",MIDTERM!BQ19)</f>
        <v>83.071428571428584</v>
      </c>
      <c r="D20" s="59">
        <f>IF(FINALS!BN19="","NE",FINALS!BQ19)</f>
        <v>87.993333333333339</v>
      </c>
      <c r="E20" s="60"/>
      <c r="F20" s="61">
        <f t="shared" si="0"/>
        <v>86.024571428571434</v>
      </c>
      <c r="G20" s="62">
        <f t="shared" si="1"/>
        <v>2.4</v>
      </c>
      <c r="H20" s="61" t="str">
        <f t="shared" si="2"/>
        <v>PASSED</v>
      </c>
      <c r="I20" s="63"/>
    </row>
    <row r="21" spans="1:9" x14ac:dyDescent="0.2">
      <c r="A21" s="52">
        <v>11</v>
      </c>
      <c r="B21" s="58" t="str">
        <f>IF(PRELIM!B20="","",PRELIM!B20)</f>
        <v>GUEVARRA, HERLAN ARC JOHNSON C.</v>
      </c>
      <c r="C21" s="59">
        <f>IF(MIDTERM!BN20="","NE",MIDTERM!BQ20)</f>
        <v>86.157532467532462</v>
      </c>
      <c r="D21" s="59">
        <f>IF(FINALS!BN20="","NE",FINALS!BQ20)</f>
        <v>76.426212121212131</v>
      </c>
      <c r="E21" s="60"/>
      <c r="F21" s="61">
        <f t="shared" si="0"/>
        <v>80.318740259740267</v>
      </c>
      <c r="G21" s="62">
        <f t="shared" si="1"/>
        <v>3</v>
      </c>
      <c r="H21" s="61" t="str">
        <f t="shared" si="2"/>
        <v>PASSED</v>
      </c>
      <c r="I21" s="63"/>
    </row>
    <row r="22" spans="1:9" x14ac:dyDescent="0.2">
      <c r="A22" s="52">
        <v>12</v>
      </c>
      <c r="B22" s="58" t="str">
        <f>IF(PRELIM!B21="","",PRELIM!B21)</f>
        <v>GUTIERREZ, MILLECENT SHYNE C.</v>
      </c>
      <c r="C22" s="59">
        <f>IF(MIDTERM!BN21="","NE",MIDTERM!BQ21)</f>
        <v>77.84714285714287</v>
      </c>
      <c r="D22" s="59">
        <f>IF(FINALS!BN21="","NE",FINALS!BQ21)</f>
        <v>75.788333333333327</v>
      </c>
      <c r="E22" s="60"/>
      <c r="F22" s="61">
        <f t="shared" si="0"/>
        <v>76.611857142857133</v>
      </c>
      <c r="G22" s="62">
        <f t="shared" si="1"/>
        <v>3.3</v>
      </c>
      <c r="H22" s="61" t="str">
        <f t="shared" si="2"/>
        <v>PASSED</v>
      </c>
      <c r="I22" s="63"/>
    </row>
    <row r="23" spans="1:9" x14ac:dyDescent="0.2">
      <c r="A23" s="52">
        <v>13</v>
      </c>
      <c r="B23" s="58" t="str">
        <f>IF(PRELIM!B22="","",PRELIM!B22)</f>
        <v>HERNANDEZ, ANGEL JEAN A</v>
      </c>
      <c r="C23" s="59">
        <f>IF(MIDTERM!BN22="","NE",MIDTERM!BQ22)</f>
        <v>93.352857142857147</v>
      </c>
      <c r="D23" s="59">
        <f>IF(FINALS!BN22="","NE",FINALS!BQ22)</f>
        <v>95.86333333333333</v>
      </c>
      <c r="E23" s="60"/>
      <c r="F23" s="61">
        <f t="shared" si="0"/>
        <v>94.859142857142857</v>
      </c>
      <c r="G23" s="62">
        <f t="shared" si="1"/>
        <v>1.5</v>
      </c>
      <c r="H23" s="61" t="str">
        <f t="shared" si="2"/>
        <v>PASSED</v>
      </c>
      <c r="I23" s="63"/>
    </row>
    <row r="24" spans="1:9" x14ac:dyDescent="0.2">
      <c r="A24" s="52">
        <v>14</v>
      </c>
      <c r="B24" s="58" t="str">
        <f>IF(PRELIM!B23="","",PRELIM!B23)</f>
        <v>LAGUIDAN, PRINCESS JEAN A.</v>
      </c>
      <c r="C24" s="59">
        <f>IF(MIDTERM!BN23="","NE",MIDTERM!BQ23)</f>
        <v>81.425714285714292</v>
      </c>
      <c r="D24" s="59">
        <f>IF(FINALS!BN23="","NE",FINALS!BQ23)</f>
        <v>74.577272727272728</v>
      </c>
      <c r="E24" s="60"/>
      <c r="F24" s="61">
        <f t="shared" si="0"/>
        <v>77.316649350649357</v>
      </c>
      <c r="G24" s="62">
        <f t="shared" si="1"/>
        <v>3.3</v>
      </c>
      <c r="H24" s="61" t="str">
        <f t="shared" si="2"/>
        <v>PASSED</v>
      </c>
      <c r="I24" s="63"/>
    </row>
    <row r="25" spans="1:9" x14ac:dyDescent="0.2">
      <c r="A25" s="52">
        <v>15</v>
      </c>
      <c r="B25" s="58" t="str">
        <f>IF(PRELIM!B24="","",PRELIM!B24)</f>
        <v>LAGUROS, LYKA A.</v>
      </c>
      <c r="C25" s="59">
        <f>IF(MIDTERM!BN24="","NE",MIDTERM!BQ24)</f>
        <v>80.041428571428582</v>
      </c>
      <c r="D25" s="59">
        <f>IF(FINALS!BN24="","NE",FINALS!BQ24)</f>
        <v>82.991666666666674</v>
      </c>
      <c r="E25" s="60"/>
      <c r="F25" s="61">
        <f t="shared" si="0"/>
        <v>81.811571428571426</v>
      </c>
      <c r="G25" s="62">
        <f t="shared" si="1"/>
        <v>2.8</v>
      </c>
      <c r="H25" s="61" t="str">
        <f t="shared" si="2"/>
        <v>PASSED</v>
      </c>
      <c r="I25" s="63"/>
    </row>
    <row r="26" spans="1:9" x14ac:dyDescent="0.2">
      <c r="A26" s="52">
        <v>16</v>
      </c>
      <c r="B26" s="58" t="str">
        <f>IF(PRELIM!B25="","",PRELIM!B25)</f>
        <v>LAIDAN, JOSEPH G.</v>
      </c>
      <c r="C26" s="59">
        <f>IF(MIDTERM!BN25="","NE",MIDTERM!BQ25)</f>
        <v>77.684285714285721</v>
      </c>
      <c r="D26" s="59">
        <f>IF(FINALS!BN25="","NE",FINALS!BQ25)</f>
        <v>81.960000000000008</v>
      </c>
      <c r="E26" s="60"/>
      <c r="F26" s="61">
        <f t="shared" si="0"/>
        <v>80.24971428571429</v>
      </c>
      <c r="G26" s="62">
        <f t="shared" si="1"/>
        <v>3</v>
      </c>
      <c r="H26" s="61" t="str">
        <f t="shared" si="2"/>
        <v>PASSED</v>
      </c>
      <c r="I26" s="63"/>
    </row>
    <row r="27" spans="1:9" x14ac:dyDescent="0.2">
      <c r="A27" s="52">
        <v>17</v>
      </c>
      <c r="B27" s="58" t="str">
        <f>IF(PRELIM!B26="","",PRELIM!B26)</f>
        <v>LAPICEROS, ELVIE V.</v>
      </c>
      <c r="C27" s="59">
        <f>IF(MIDTERM!BN26="","NE",MIDTERM!BQ26)</f>
        <v>86.821428571428584</v>
      </c>
      <c r="D27" s="59">
        <f>IF(FINALS!BN26="","NE",FINALS!BQ26)</f>
        <v>91.883333333333326</v>
      </c>
      <c r="E27" s="60"/>
      <c r="F27" s="61">
        <f t="shared" si="0"/>
        <v>89.858571428571423</v>
      </c>
      <c r="G27" s="62">
        <f t="shared" si="1"/>
        <v>2</v>
      </c>
      <c r="H27" s="61" t="str">
        <f t="shared" si="2"/>
        <v>PASSED</v>
      </c>
      <c r="I27" s="63"/>
    </row>
    <row r="28" spans="1:9" x14ac:dyDescent="0.2">
      <c r="A28" s="52">
        <v>18</v>
      </c>
      <c r="B28" s="58" t="str">
        <f>IF(PRELIM!B27="","",PRELIM!B27)</f>
        <v>LIBOT, MARK ANTHONY A.</v>
      </c>
      <c r="C28" s="59">
        <f>IF(MIDTERM!BN27="","NE",MIDTERM!BQ27)</f>
        <v>88.240000000000009</v>
      </c>
      <c r="D28" s="59">
        <f>IF(FINALS!BN27="","NE",FINALS!BQ27)</f>
        <v>86.90666666666668</v>
      </c>
      <c r="E28" s="60"/>
      <c r="F28" s="61">
        <f t="shared" si="0"/>
        <v>87.440000000000012</v>
      </c>
      <c r="G28" s="62">
        <f t="shared" si="1"/>
        <v>2.2999999999999998</v>
      </c>
      <c r="H28" s="61" t="str">
        <f t="shared" si="2"/>
        <v>PASSED</v>
      </c>
      <c r="I28" s="63"/>
    </row>
    <row r="29" spans="1:9" x14ac:dyDescent="0.2">
      <c r="A29" s="52">
        <v>19</v>
      </c>
      <c r="B29" s="58" t="str">
        <f>IF(PRELIM!B28="","",PRELIM!B28)</f>
        <v>MAINAR, MADEL V.</v>
      </c>
      <c r="C29" s="59">
        <f>IF(MIDTERM!BN28="","NE",MIDTERM!BQ28)</f>
        <v>80.388571428571439</v>
      </c>
      <c r="D29" s="59">
        <f>IF(FINALS!BN28="","NE",FINALS!BQ28)</f>
        <v>77.591212121212124</v>
      </c>
      <c r="E29" s="60"/>
      <c r="F29" s="61">
        <f t="shared" si="0"/>
        <v>78.71015584415585</v>
      </c>
      <c r="G29" s="62">
        <f t="shared" si="1"/>
        <v>3.1</v>
      </c>
      <c r="H29" s="61" t="str">
        <f t="shared" si="2"/>
        <v>PASSED</v>
      </c>
      <c r="I29" s="63"/>
    </row>
    <row r="30" spans="1:9" x14ac:dyDescent="0.2">
      <c r="A30" s="52">
        <v>20</v>
      </c>
      <c r="B30" s="58" t="str">
        <f>IF(PRELIM!B29="","",PRELIM!B29)</f>
        <v>MAITIM, SALVE ANN RUTH E</v>
      </c>
      <c r="C30" s="59">
        <f>IF(MIDTERM!BN29="","NE",MIDTERM!BQ29)</f>
        <v>92.147987012987016</v>
      </c>
      <c r="D30" s="59">
        <f>IF(FINALS!BN29="","NE",FINALS!BQ29)</f>
        <v>95.00393939393939</v>
      </c>
      <c r="E30" s="60"/>
      <c r="F30" s="61">
        <f t="shared" si="0"/>
        <v>93.861558441558444</v>
      </c>
      <c r="G30" s="62">
        <f t="shared" si="1"/>
        <v>1.6</v>
      </c>
      <c r="H30" s="61" t="str">
        <f t="shared" si="2"/>
        <v>PASSED</v>
      </c>
      <c r="I30" s="63"/>
    </row>
    <row r="31" spans="1:9" x14ac:dyDescent="0.2">
      <c r="A31" s="52">
        <v>21</v>
      </c>
      <c r="B31" s="58" t="str">
        <f>IF(PRELIM!B30="","",PRELIM!B30)</f>
        <v>MALILA, EMMA MAE B.</v>
      </c>
      <c r="C31" s="59">
        <f>IF(MIDTERM!BN30="","NE",MIDTERM!BQ30)</f>
        <v>87.185714285714283</v>
      </c>
      <c r="D31" s="59">
        <f>IF(FINALS!BN30="","NE",FINALS!BQ30)</f>
        <v>87.12166666666667</v>
      </c>
      <c r="E31" s="60"/>
      <c r="F31" s="61">
        <f t="shared" si="0"/>
        <v>87.147285714285715</v>
      </c>
      <c r="G31" s="62">
        <f t="shared" si="1"/>
        <v>2.2999999999999998</v>
      </c>
      <c r="H31" s="61" t="str">
        <f t="shared" si="2"/>
        <v>PASSED</v>
      </c>
      <c r="I31" s="63"/>
    </row>
    <row r="32" spans="1:9" x14ac:dyDescent="0.2">
      <c r="A32" s="52">
        <v>22</v>
      </c>
      <c r="B32" s="58" t="str">
        <f>IF(PRELIM!B31="","",PRELIM!B31)</f>
        <v>MENDEZ, SHYZIEL C.</v>
      </c>
      <c r="C32" s="59">
        <f>IF(MIDTERM!BN31="","NE",MIDTERM!BQ31)</f>
        <v>85.779415584415602</v>
      </c>
      <c r="D32" s="59">
        <f>IF(FINALS!BN31="","NE",FINALS!BQ31)</f>
        <v>89.321818181818188</v>
      </c>
      <c r="E32" s="60"/>
      <c r="F32" s="61">
        <f t="shared" si="0"/>
        <v>87.904857142857153</v>
      </c>
      <c r="G32" s="62">
        <f t="shared" si="1"/>
        <v>2.2000000000000002</v>
      </c>
      <c r="H32" s="61" t="str">
        <f t="shared" si="2"/>
        <v>PASSED</v>
      </c>
      <c r="I32" s="63"/>
    </row>
    <row r="33" spans="1:9" x14ac:dyDescent="0.2">
      <c r="A33" s="52">
        <v>23</v>
      </c>
      <c r="B33" s="58" t="str">
        <f>IF(PRELIM!B32="","",PRELIM!B32)</f>
        <v>MORA, CLAURENCE  C.</v>
      </c>
      <c r="C33" s="59">
        <f>IF(MIDTERM!BN32="","NE",MIDTERM!BQ32)</f>
        <v>77.846558441558443</v>
      </c>
      <c r="D33" s="59">
        <f>IF(FINALS!BN32="","NE",FINALS!BQ32)</f>
        <v>78.528333333333336</v>
      </c>
      <c r="E33" s="60"/>
      <c r="F33" s="61">
        <f t="shared" si="0"/>
        <v>78.255623376623376</v>
      </c>
      <c r="G33" s="62">
        <f t="shared" si="1"/>
        <v>3.2</v>
      </c>
      <c r="H33" s="61" t="str">
        <f t="shared" si="2"/>
        <v>PASSED</v>
      </c>
      <c r="I33" s="63"/>
    </row>
    <row r="34" spans="1:9" x14ac:dyDescent="0.2">
      <c r="A34" s="52">
        <v>24</v>
      </c>
      <c r="B34" s="58" t="str">
        <f>IF(PRELIM!B33="","",PRELIM!B33)</f>
        <v>MORALES, JANE MANELYN C.</v>
      </c>
      <c r="C34" s="59">
        <f>IF(MIDTERM!BN33="","NE",MIDTERM!BQ33)</f>
        <v>83.025259740259742</v>
      </c>
      <c r="D34" s="59">
        <f>IF(FINALS!BN33="","NE",FINALS!BQ33)</f>
        <v>88.162272727272722</v>
      </c>
      <c r="E34" s="60"/>
      <c r="F34" s="61">
        <f t="shared" si="0"/>
        <v>86.107467532467524</v>
      </c>
      <c r="G34" s="62">
        <f t="shared" si="1"/>
        <v>2.4</v>
      </c>
      <c r="H34" s="61" t="str">
        <f t="shared" si="2"/>
        <v>PASSED</v>
      </c>
      <c r="I34" s="63"/>
    </row>
    <row r="35" spans="1:9" x14ac:dyDescent="0.2">
      <c r="A35" s="52">
        <v>25</v>
      </c>
      <c r="B35" s="58" t="str">
        <f>IF(PRELIM!B34="","",PRELIM!B34)</f>
        <v>NARAGA,  JHAMAICA R.</v>
      </c>
      <c r="C35" s="59">
        <f>IF(MIDTERM!BN34="","NE",MIDTERM!BQ34)</f>
        <v>83.208571428571432</v>
      </c>
      <c r="D35" s="59">
        <f>IF(FINALS!BN34="","NE",FINALS!BQ34)</f>
        <v>85.336666666666673</v>
      </c>
      <c r="E35" s="60"/>
      <c r="F35" s="61">
        <f t="shared" si="0"/>
        <v>84.485428571428571</v>
      </c>
      <c r="G35" s="62">
        <f t="shared" si="1"/>
        <v>2.6</v>
      </c>
      <c r="H35" s="61" t="str">
        <f t="shared" si="2"/>
        <v>PASSED</v>
      </c>
      <c r="I35" s="63"/>
    </row>
    <row r="36" spans="1:9" x14ac:dyDescent="0.2">
      <c r="A36" s="52">
        <v>26</v>
      </c>
      <c r="B36" s="58" t="str">
        <f>IF(PRELIM!B35="","",PRELIM!B35)</f>
        <v>ONGQUE, CHERRY A.</v>
      </c>
      <c r="C36" s="59">
        <f>IF(MIDTERM!BN35="","NE",MIDTERM!BQ35)</f>
        <v>83.439415584415585</v>
      </c>
      <c r="D36" s="59">
        <f>IF(FINALS!BN35="","NE",FINALS!BQ35)</f>
        <v>88.198333333333338</v>
      </c>
      <c r="E36" s="60"/>
      <c r="F36" s="61">
        <f t="shared" si="0"/>
        <v>86.294766233766239</v>
      </c>
      <c r="G36" s="62">
        <f t="shared" si="1"/>
        <v>2.4</v>
      </c>
      <c r="H36" s="61" t="str">
        <f t="shared" si="2"/>
        <v>PASSED</v>
      </c>
      <c r="I36" s="63"/>
    </row>
    <row r="37" spans="1:9" x14ac:dyDescent="0.2">
      <c r="A37" s="52">
        <v>27</v>
      </c>
      <c r="B37" s="58" t="str">
        <f>IF(PRELIM!B36="","",PRELIM!B36)</f>
        <v>PAT, APRIL JANE L.</v>
      </c>
      <c r="C37" s="59">
        <f>IF(MIDTERM!BN36="","NE",MIDTERM!BQ36)</f>
        <v>78.326558441558447</v>
      </c>
      <c r="D37" s="59">
        <f>IF(FINALS!BN36="","NE",FINALS!BQ36)</f>
        <v>75.659545454545452</v>
      </c>
      <c r="E37" s="60"/>
      <c r="F37" s="61">
        <f t="shared" si="0"/>
        <v>76.72635064935065</v>
      </c>
      <c r="G37" s="62">
        <f t="shared" si="1"/>
        <v>3.3</v>
      </c>
      <c r="H37" s="61" t="str">
        <f t="shared" si="2"/>
        <v>PASSED</v>
      </c>
      <c r="I37" s="63"/>
    </row>
    <row r="38" spans="1:9" x14ac:dyDescent="0.2">
      <c r="A38" s="52">
        <v>28</v>
      </c>
      <c r="B38" s="58" t="str">
        <f>IF(PRELIM!B37="","",PRELIM!B37)</f>
        <v>RICALDE, HARVEY C.</v>
      </c>
      <c r="C38" s="59">
        <f>IF(MIDTERM!BN37="","NE",MIDTERM!BQ37)</f>
        <v>80.383701298701283</v>
      </c>
      <c r="D38" s="59">
        <f>IF(FINALS!BN37="","NE",FINALS!BQ37)</f>
        <v>79.389090909090896</v>
      </c>
      <c r="E38" s="60"/>
      <c r="F38" s="61">
        <f t="shared" si="0"/>
        <v>79.786935064935051</v>
      </c>
      <c r="G38" s="62">
        <f t="shared" si="1"/>
        <v>3</v>
      </c>
      <c r="H38" s="61" t="str">
        <f t="shared" si="2"/>
        <v>PASSED</v>
      </c>
      <c r="I38" s="63"/>
    </row>
    <row r="39" spans="1:9" x14ac:dyDescent="0.2">
      <c r="A39" s="52">
        <v>29</v>
      </c>
      <c r="B39" s="58" t="str">
        <f>IF(PRELIM!B38="","",PRELIM!B38)</f>
        <v>ROJAS, CYREL KEN L.</v>
      </c>
      <c r="C39" s="59">
        <f>IF(MIDTERM!BN38="","NE",MIDTERM!BQ38)</f>
        <v>84.742857142857133</v>
      </c>
      <c r="D39" s="59">
        <f>IF(FINALS!BN38="","NE",FINALS!BQ38)</f>
        <v>76.843333333333334</v>
      </c>
      <c r="E39" s="60"/>
      <c r="F39" s="61">
        <f t="shared" si="0"/>
        <v>80.003142857142848</v>
      </c>
      <c r="G39" s="62">
        <f t="shared" si="1"/>
        <v>3</v>
      </c>
      <c r="H39" s="61" t="str">
        <f t="shared" si="2"/>
        <v>PASSED</v>
      </c>
      <c r="I39" s="63"/>
    </row>
    <row r="40" spans="1:9" x14ac:dyDescent="0.2">
      <c r="A40" s="52">
        <v>30</v>
      </c>
      <c r="B40" s="58" t="str">
        <f>IF(PRELIM!B39="","",PRELIM!B39)</f>
        <v>SAMLING, GHEZERIE C.</v>
      </c>
      <c r="C40" s="59">
        <f>IF(MIDTERM!BN39="","NE",MIDTERM!BQ39)</f>
        <v>74.812857142857155</v>
      </c>
      <c r="D40" s="59">
        <f>IF(FINALS!BN39="","NE",FINALS!BQ39)</f>
        <v>79.848333333333329</v>
      </c>
      <c r="E40" s="60"/>
      <c r="F40" s="61">
        <f t="shared" si="0"/>
        <v>77.834142857142865</v>
      </c>
      <c r="G40" s="62">
        <f t="shared" si="1"/>
        <v>3.2</v>
      </c>
      <c r="H40" s="61" t="str">
        <f t="shared" si="2"/>
        <v>PASSED</v>
      </c>
      <c r="I40" s="63"/>
    </row>
    <row r="41" spans="1:9" x14ac:dyDescent="0.2">
      <c r="A41" s="52">
        <v>31</v>
      </c>
      <c r="B41" s="58" t="str">
        <f>IF(PRELIM!B40="","",PRELIM!B40)</f>
        <v>SAPIO, DIETHER E.</v>
      </c>
      <c r="C41" s="59">
        <f>IF(MIDTERM!BN40="","NE",MIDTERM!BQ40)</f>
        <v>82.004285714285714</v>
      </c>
      <c r="D41" s="59">
        <f>IF(FINALS!BN40="","NE",FINALS!BQ40)</f>
        <v>74.176666666666677</v>
      </c>
      <c r="E41" s="60"/>
      <c r="F41" s="61">
        <f t="shared" si="0"/>
        <v>77.307714285714297</v>
      </c>
      <c r="G41" s="62">
        <f t="shared" si="1"/>
        <v>3.3</v>
      </c>
      <c r="H41" s="61" t="str">
        <f t="shared" si="2"/>
        <v>PASSED</v>
      </c>
      <c r="I41" s="63"/>
    </row>
    <row r="42" spans="1:9" x14ac:dyDescent="0.2">
      <c r="A42" s="52">
        <v>32</v>
      </c>
      <c r="B42" s="58" t="str">
        <f>IF(PRELIM!B41="","",PRELIM!B41)</f>
        <v>SILPAO, JHON CHRISTIAN G.</v>
      </c>
      <c r="C42" s="59">
        <f>IF(MIDTERM!BN41="","NE",MIDTERM!BQ41)</f>
        <v>84.692402597402605</v>
      </c>
      <c r="D42" s="59">
        <f>IF(FINALS!BN41="","NE",FINALS!BQ41)</f>
        <v>83.908333333333331</v>
      </c>
      <c r="E42" s="60"/>
      <c r="F42" s="61">
        <f t="shared" si="0"/>
        <v>84.221961038961041</v>
      </c>
      <c r="G42" s="62">
        <f t="shared" si="1"/>
        <v>2.6</v>
      </c>
      <c r="H42" s="61" t="str">
        <f t="shared" si="2"/>
        <v>PASSED</v>
      </c>
      <c r="I42" s="63"/>
    </row>
    <row r="43" spans="1:9" x14ac:dyDescent="0.2">
      <c r="A43" s="52">
        <v>33</v>
      </c>
      <c r="B43" s="58" t="str">
        <f>IF(PRELIM!B42="","",PRELIM!B42)</f>
        <v>TIMUAY, JUVY MAE T</v>
      </c>
      <c r="C43" s="59">
        <f>IF(MIDTERM!BN42="","NE",MIDTERM!BQ42)</f>
        <v>87.134285714285724</v>
      </c>
      <c r="D43" s="59">
        <f>IF(FINALS!BN42="","NE",FINALS!BQ42)</f>
        <v>91.873333333333335</v>
      </c>
      <c r="E43" s="60"/>
      <c r="F43" s="61">
        <f t="shared" si="0"/>
        <v>89.977714285714285</v>
      </c>
      <c r="G43" s="62">
        <f t="shared" si="1"/>
        <v>2</v>
      </c>
      <c r="H43" s="61" t="str">
        <f t="shared" si="2"/>
        <v>PASSED</v>
      </c>
      <c r="I43" s="63"/>
    </row>
    <row r="44" spans="1:9" x14ac:dyDescent="0.2">
      <c r="A44" s="52">
        <v>34</v>
      </c>
      <c r="B44" s="58" t="str">
        <f>IF(PRELIM!B43="","",PRELIM!B43)</f>
        <v>VELASCO, SHYRA BABES C.</v>
      </c>
      <c r="C44" s="59">
        <f>IF(MIDTERM!BN43="","NE",MIDTERM!BQ43)</f>
        <v>84.377987012987006</v>
      </c>
      <c r="D44" s="59">
        <f>IF(FINALS!BN43="","NE",FINALS!BQ43)</f>
        <v>89.233333333333334</v>
      </c>
      <c r="E44" s="60"/>
      <c r="F44" s="61">
        <f t="shared" si="0"/>
        <v>87.291194805194806</v>
      </c>
      <c r="G44" s="62">
        <f t="shared" si="1"/>
        <v>2.2999999999999998</v>
      </c>
      <c r="H44" s="61" t="str">
        <f t="shared" si="2"/>
        <v>PASSED</v>
      </c>
      <c r="I44" s="63"/>
    </row>
    <row r="45" spans="1:9" x14ac:dyDescent="0.2">
      <c r="A45" s="52">
        <v>35</v>
      </c>
      <c r="B45" s="58" t="str">
        <f>IF(PRELIM!B44="","",PRELIM!B44)</f>
        <v>VENERACION, PRINCESS P.</v>
      </c>
      <c r="C45" s="59">
        <f>IF(MIDTERM!BN44="","NE",MIDTERM!BQ44)</f>
        <v>86.722857142857137</v>
      </c>
      <c r="D45" s="59">
        <f>IF(FINALS!BN44="","NE",FINALS!BQ44)</f>
        <v>86.321666666666658</v>
      </c>
      <c r="E45" s="60"/>
      <c r="F45" s="61">
        <f t="shared" si="0"/>
        <v>86.482142857142847</v>
      </c>
      <c r="G45" s="62">
        <f t="shared" si="1"/>
        <v>2.4</v>
      </c>
      <c r="H45" s="61" t="str">
        <f t="shared" si="2"/>
        <v>PASSED</v>
      </c>
      <c r="I45" s="63"/>
    </row>
    <row r="46" spans="1:9" x14ac:dyDescent="0.2">
      <c r="A46" s="52">
        <v>36</v>
      </c>
      <c r="B46" s="58" t="str">
        <f>IF(PRELIM!B45="","",PRELIM!B45)</f>
        <v>VERGARA, RAYAN JAY M.</v>
      </c>
      <c r="C46" s="59">
        <f>IF(MIDTERM!BN45="","NE",MIDTERM!BQ45)</f>
        <v>85.15428571428572</v>
      </c>
      <c r="D46" s="59">
        <f>IF(FINALS!BN45="","NE",FINALS!BQ45)</f>
        <v>90.633333333333326</v>
      </c>
      <c r="E46" s="60"/>
      <c r="F46" s="61">
        <f t="shared" si="0"/>
        <v>88.441714285714284</v>
      </c>
      <c r="G46" s="62">
        <f t="shared" si="1"/>
        <v>2.2000000000000002</v>
      </c>
      <c r="H46" s="61" t="str">
        <f t="shared" si="2"/>
        <v>PASSED</v>
      </c>
      <c r="I46" s="63"/>
    </row>
    <row r="47" spans="1:9" x14ac:dyDescent="0.2">
      <c r="A47" s="52">
        <v>37</v>
      </c>
      <c r="B47" s="58" t="str">
        <f>IF(PRELIM!B46="","",PRELIM!B46)</f>
        <v>VILLAVER, JEHAN CEDRIC G.</v>
      </c>
      <c r="C47" s="59">
        <f>IF(MIDTERM!BN46="","NE",MIDTERM!BQ46)</f>
        <v>80.289999999999992</v>
      </c>
      <c r="D47" s="59">
        <f>IF(FINALS!BN46="","NE",FINALS!BQ46)</f>
        <v>80.491212121212129</v>
      </c>
      <c r="E47" s="60"/>
      <c r="F47" s="61">
        <f t="shared" si="0"/>
        <v>80.410727272727286</v>
      </c>
      <c r="G47" s="62">
        <f t="shared" si="1"/>
        <v>3</v>
      </c>
      <c r="H47" s="61" t="str">
        <f t="shared" si="2"/>
        <v>PASSED</v>
      </c>
      <c r="I47" s="63"/>
    </row>
    <row r="48" spans="1:9" x14ac:dyDescent="0.2">
      <c r="A48" s="52">
        <v>38</v>
      </c>
      <c r="B48" s="58" t="str">
        <f>IF(PRELIM!B47="","",PRELIM!B47)</f>
        <v/>
      </c>
      <c r="C48" s="59" t="str">
        <f>IF(MIDTERM!BN47="","NE",MIDTERM!BQ47)</f>
        <v>NE</v>
      </c>
      <c r="D48" s="59" t="str">
        <f>IF(FINALS!BN47="","NE",FINALS!BQ47)</f>
        <v>NE</v>
      </c>
      <c r="E48" s="60"/>
      <c r="F48" s="61" t="e">
        <f t="shared" si="0"/>
        <v>#VALUE!</v>
      </c>
      <c r="G48" s="62" t="e">
        <f t="shared" si="1"/>
        <v>#VALUE!</v>
      </c>
      <c r="H48" s="61" t="e">
        <f t="shared" si="2"/>
        <v>#VALUE!</v>
      </c>
      <c r="I48" s="63"/>
    </row>
    <row r="49" spans="1:9" x14ac:dyDescent="0.2">
      <c r="A49" s="52">
        <v>39</v>
      </c>
      <c r="B49" s="58" t="str">
        <f>IF(PRELIM!B48="","",PRELIM!B48)</f>
        <v/>
      </c>
      <c r="C49" s="59" t="str">
        <f>IF(MIDTERM!BN48="","NE",MIDTERM!BQ48)</f>
        <v>NE</v>
      </c>
      <c r="D49" s="59" t="str">
        <f>IF(FINALS!BN48="","NE",FINALS!BQ48)</f>
        <v>NE</v>
      </c>
      <c r="E49" s="60"/>
      <c r="F49" s="61" t="e">
        <f t="shared" si="0"/>
        <v>#VALUE!</v>
      </c>
      <c r="G49" s="62" t="e">
        <f t="shared" si="1"/>
        <v>#VALUE!</v>
      </c>
      <c r="H49" s="61" t="e">
        <f t="shared" si="2"/>
        <v>#VALUE!</v>
      </c>
      <c r="I49" s="63"/>
    </row>
    <row r="50" spans="1:9" x14ac:dyDescent="0.2">
      <c r="A50" s="52">
        <v>40</v>
      </c>
      <c r="B50" s="58" t="str">
        <f>IF(PRELIM!B49="","",PRELIM!B49)</f>
        <v/>
      </c>
      <c r="C50" s="59" t="str">
        <f>IF(MIDTERM!BN49="","NE",MIDTERM!BQ49)</f>
        <v>NE</v>
      </c>
      <c r="D50" s="59" t="str">
        <f>IF(FINALS!BN49="","NE",FINALS!BQ49)</f>
        <v>NE</v>
      </c>
      <c r="E50" s="60"/>
      <c r="F50" s="61" t="e">
        <f t="shared" si="0"/>
        <v>#VALUE!</v>
      </c>
      <c r="G50" s="62" t="e">
        <f t="shared" si="1"/>
        <v>#VALUE!</v>
      </c>
      <c r="H50" s="61" t="e">
        <f t="shared" si="2"/>
        <v>#VALUE!</v>
      </c>
      <c r="I50" s="63"/>
    </row>
    <row r="51" spans="1:9" x14ac:dyDescent="0.2">
      <c r="A51" s="52">
        <v>41</v>
      </c>
      <c r="B51" s="58" t="str">
        <f>IF(PRELIM!B50="","",PRELIM!B50)</f>
        <v/>
      </c>
      <c r="C51" s="59" t="str">
        <f>IF(MIDTERM!BN50="","NE",MIDTERM!BQ50)</f>
        <v>NE</v>
      </c>
      <c r="D51" s="59" t="str">
        <f>IF(FINALS!BN50="","NE",FINALS!BQ50)</f>
        <v>NE</v>
      </c>
      <c r="E51" s="60"/>
      <c r="F51" s="61" t="e">
        <f t="shared" si="0"/>
        <v>#VALUE!</v>
      </c>
      <c r="G51" s="62" t="e">
        <f t="shared" si="1"/>
        <v>#VALUE!</v>
      </c>
      <c r="H51" s="61" t="e">
        <f t="shared" si="2"/>
        <v>#VALUE!</v>
      </c>
      <c r="I51" s="63"/>
    </row>
    <row r="52" spans="1:9" x14ac:dyDescent="0.2">
      <c r="A52" s="52">
        <v>42</v>
      </c>
      <c r="B52" s="58" t="str">
        <f>IF(PRELIM!B51="","",PRELIM!B51)</f>
        <v/>
      </c>
      <c r="C52" s="59" t="str">
        <f>IF(MIDTERM!BN51="","NE",MIDTERM!BQ51)</f>
        <v>NE</v>
      </c>
      <c r="D52" s="59" t="str">
        <f>IF(FINALS!BN51="","NE",FINALS!BQ51)</f>
        <v>NE</v>
      </c>
      <c r="E52" s="60"/>
      <c r="F52" s="61" t="e">
        <f t="shared" si="0"/>
        <v>#VALUE!</v>
      </c>
      <c r="G52" s="62" t="e">
        <f t="shared" si="1"/>
        <v>#VALUE!</v>
      </c>
      <c r="H52" s="61" t="e">
        <f t="shared" si="2"/>
        <v>#VALUE!</v>
      </c>
      <c r="I52" s="63"/>
    </row>
    <row r="53" spans="1:9" x14ac:dyDescent="0.2">
      <c r="A53" s="52">
        <v>43</v>
      </c>
      <c r="B53" s="58" t="str">
        <f>IF(PRELIM!B52="","",PRELIM!B52)</f>
        <v/>
      </c>
      <c r="C53" s="59" t="str">
        <f>IF(MIDTERM!BN52="","NE",MIDTERM!BQ52)</f>
        <v>NE</v>
      </c>
      <c r="D53" s="59" t="str">
        <f>IF(FINALS!BN52="","NE",FINALS!BQ52)</f>
        <v>NE</v>
      </c>
      <c r="E53" s="60"/>
      <c r="F53" s="61" t="e">
        <f t="shared" si="0"/>
        <v>#VALUE!</v>
      </c>
      <c r="G53" s="62" t="e">
        <f t="shared" si="1"/>
        <v>#VALUE!</v>
      </c>
      <c r="H53" s="61" t="e">
        <f t="shared" si="2"/>
        <v>#VALUE!</v>
      </c>
      <c r="I53" s="63"/>
    </row>
    <row r="54" spans="1:9" x14ac:dyDescent="0.2">
      <c r="A54" s="52">
        <v>44</v>
      </c>
      <c r="B54" s="58" t="str">
        <f>IF(PRELIM!B53="","",PRELIM!B53)</f>
        <v/>
      </c>
      <c r="C54" s="59" t="str">
        <f>IF(MIDTERM!BN53="","NE",MIDTERM!BQ53)</f>
        <v>NE</v>
      </c>
      <c r="D54" s="59" t="str">
        <f>IF(FINALS!BN53="","NE",FINALS!BQ53)</f>
        <v>NE</v>
      </c>
      <c r="E54" s="60"/>
      <c r="F54" s="61" t="e">
        <f t="shared" si="0"/>
        <v>#VALUE!</v>
      </c>
      <c r="G54" s="62" t="e">
        <f t="shared" si="1"/>
        <v>#VALUE!</v>
      </c>
      <c r="H54" s="61" t="e">
        <f t="shared" si="2"/>
        <v>#VALUE!</v>
      </c>
      <c r="I54" s="63"/>
    </row>
    <row r="55" spans="1:9" x14ac:dyDescent="0.2">
      <c r="A55" s="52">
        <v>45</v>
      </c>
      <c r="B55" s="58" t="str">
        <f>IF(PRELIM!B54="","",PRELIM!B54)</f>
        <v/>
      </c>
      <c r="C55" s="59" t="str">
        <f>IF(MIDTERM!BN54="","NE",MIDTERM!BQ54)</f>
        <v>NE</v>
      </c>
      <c r="D55" s="59" t="str">
        <f>IF(FINALS!BN54="","NE",FINALS!BQ54)</f>
        <v>NE</v>
      </c>
      <c r="E55" s="60"/>
      <c r="F55" s="61" t="e">
        <f t="shared" si="0"/>
        <v>#VALUE!</v>
      </c>
      <c r="G55" s="62" t="e">
        <f t="shared" si="1"/>
        <v>#VALUE!</v>
      </c>
      <c r="H55" s="61" t="e">
        <f t="shared" si="2"/>
        <v>#VALUE!</v>
      </c>
      <c r="I55" s="63"/>
    </row>
    <row r="56" spans="1:9" x14ac:dyDescent="0.2">
      <c r="A56" s="52">
        <v>46</v>
      </c>
      <c r="B56" s="58" t="str">
        <f>IF(PRELIM!B55="","",PRELIM!B55)</f>
        <v/>
      </c>
      <c r="C56" s="59" t="str">
        <f>IF(MIDTERM!BN55="","NE",MIDTERM!BQ55)</f>
        <v>NE</v>
      </c>
      <c r="D56" s="59" t="str">
        <f>IF(FINALS!BN55="","NE",FINALS!BQ55)</f>
        <v>NE</v>
      </c>
      <c r="E56" s="60"/>
      <c r="F56" s="61" t="e">
        <f t="shared" si="0"/>
        <v>#VALUE!</v>
      </c>
      <c r="G56" s="62" t="e">
        <f t="shared" si="1"/>
        <v>#VALUE!</v>
      </c>
      <c r="H56" s="61" t="e">
        <f t="shared" si="2"/>
        <v>#VALUE!</v>
      </c>
      <c r="I56" s="63"/>
    </row>
    <row r="57" spans="1:9" x14ac:dyDescent="0.2">
      <c r="A57" s="52">
        <v>47</v>
      </c>
      <c r="B57" s="58" t="str">
        <f>IF(PRELIM!B56="","",PRELIM!B56)</f>
        <v/>
      </c>
      <c r="C57" s="59" t="str">
        <f>IF(MIDTERM!BN56="","NE",MIDTERM!BQ56)</f>
        <v>NE</v>
      </c>
      <c r="D57" s="59" t="str">
        <f>IF(FINALS!BN56="","NE",FINALS!BQ56)</f>
        <v>NE</v>
      </c>
      <c r="E57" s="60"/>
      <c r="F57" s="61" t="e">
        <f t="shared" si="0"/>
        <v>#VALUE!</v>
      </c>
      <c r="G57" s="62" t="e">
        <f t="shared" si="1"/>
        <v>#VALUE!</v>
      </c>
      <c r="H57" s="61" t="e">
        <f t="shared" si="2"/>
        <v>#VALUE!</v>
      </c>
      <c r="I57" s="63"/>
    </row>
    <row r="58" spans="1:9" x14ac:dyDescent="0.2">
      <c r="A58" s="52">
        <v>48</v>
      </c>
      <c r="B58" s="58" t="str">
        <f>IF(PRELIM!B57="","",PRELIM!B57)</f>
        <v/>
      </c>
      <c r="C58" s="59" t="str">
        <f>IF(MIDTERM!BN57="","NE",MIDTERM!BQ57)</f>
        <v>NE</v>
      </c>
      <c r="D58" s="59" t="str">
        <f>IF(FINALS!BN57="","NE",FINALS!BQ57)</f>
        <v>NE</v>
      </c>
      <c r="E58" s="60"/>
      <c r="F58" s="61" t="e">
        <f t="shared" si="0"/>
        <v>#VALUE!</v>
      </c>
      <c r="G58" s="62" t="e">
        <f t="shared" si="1"/>
        <v>#VALUE!</v>
      </c>
      <c r="H58" s="61" t="e">
        <f t="shared" si="2"/>
        <v>#VALUE!</v>
      </c>
      <c r="I58" s="63"/>
    </row>
    <row r="59" spans="1:9" x14ac:dyDescent="0.2">
      <c r="A59" s="52">
        <v>49</v>
      </c>
      <c r="B59" s="58" t="str">
        <f>IF(PRELIM!B58="","",PRELIM!B58)</f>
        <v/>
      </c>
      <c r="C59" s="59" t="str">
        <f>IF(MIDTERM!BN58="","NE",MIDTERM!BQ58)</f>
        <v>NE</v>
      </c>
      <c r="D59" s="59" t="str">
        <f>IF(FINALS!BN58="","NE",FINALS!BQ58)</f>
        <v>NE</v>
      </c>
      <c r="E59" s="60"/>
      <c r="F59" s="61" t="e">
        <f t="shared" si="0"/>
        <v>#VALUE!</v>
      </c>
      <c r="G59" s="62" t="e">
        <f t="shared" si="1"/>
        <v>#VALUE!</v>
      </c>
      <c r="H59" s="61" t="e">
        <f t="shared" si="2"/>
        <v>#VALUE!</v>
      </c>
      <c r="I59" s="63"/>
    </row>
    <row r="60" spans="1:9" x14ac:dyDescent="0.2">
      <c r="A60" s="52">
        <v>50</v>
      </c>
      <c r="B60" s="58" t="str">
        <f>IF(PRELIM!B59="","",PRELIM!B59)</f>
        <v/>
      </c>
      <c r="C60" s="59" t="str">
        <f>IF(MIDTERM!BN59="","NE",MIDTERM!BQ59)</f>
        <v>NE</v>
      </c>
      <c r="D60" s="59" t="str">
        <f>IF(FINALS!BN59="","NE",FINALS!BQ59)</f>
        <v>NE</v>
      </c>
      <c r="E60" s="60"/>
      <c r="F60" s="61" t="e">
        <f t="shared" si="0"/>
        <v>#VALUE!</v>
      </c>
      <c r="G60" s="62" t="e">
        <f t="shared" si="1"/>
        <v>#VALUE!</v>
      </c>
      <c r="H60" s="61" t="e">
        <f t="shared" si="2"/>
        <v>#VALUE!</v>
      </c>
      <c r="I60" s="63"/>
    </row>
  </sheetData>
  <mergeCells count="11">
    <mergeCell ref="A3:I3"/>
    <mergeCell ref="A2:I2"/>
    <mergeCell ref="I7:I10"/>
    <mergeCell ref="G7:G9"/>
    <mergeCell ref="E7:E9"/>
    <mergeCell ref="B7:B9"/>
    <mergeCell ref="F7:F9"/>
    <mergeCell ref="H7:H10"/>
    <mergeCell ref="A7:A9"/>
    <mergeCell ref="C7:C9"/>
    <mergeCell ref="D7:D9"/>
  </mergeCells>
  <phoneticPr fontId="0" type="noConversion"/>
  <conditionalFormatting sqref="H7 H11:H65536">
    <cfRule type="containsText" dxfId="0" priority="1" operator="containsText" text="FAILED">
      <formula>NOT(ISERROR(SEARCH("FAILED",H7)))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52"/>
  <sheetViews>
    <sheetView workbookViewId="0">
      <selection activeCell="G3" sqref="G3"/>
    </sheetView>
  </sheetViews>
  <sheetFormatPr defaultRowHeight="14.4" x14ac:dyDescent="0.3"/>
  <cols>
    <col min="1" max="1" width="4" bestFit="1" customWidth="1"/>
    <col min="2" max="2" width="22.88671875" customWidth="1"/>
    <col min="3" max="3" width="15.109375" customWidth="1"/>
    <col min="4" max="4" width="10.44140625" bestFit="1" customWidth="1"/>
    <col min="5" max="5" width="10.5546875" bestFit="1" customWidth="1"/>
    <col min="6" max="6" width="11.109375" bestFit="1" customWidth="1"/>
    <col min="7" max="7" width="9.77734375" style="73" bestFit="1" customWidth="1"/>
    <col min="8" max="8" width="10.33203125" style="73" bestFit="1" customWidth="1"/>
    <col min="9" max="9" width="11.6640625" style="73" bestFit="1" customWidth="1"/>
  </cols>
  <sheetData>
    <row r="1" spans="1:9" x14ac:dyDescent="0.3">
      <c r="A1" s="271" t="s">
        <v>129</v>
      </c>
      <c r="B1" s="269" t="s">
        <v>128</v>
      </c>
      <c r="C1" s="269" t="s">
        <v>130</v>
      </c>
      <c r="D1" s="269" t="s">
        <v>134</v>
      </c>
      <c r="E1" s="269"/>
      <c r="F1" s="269"/>
      <c r="G1" s="269" t="s">
        <v>135</v>
      </c>
      <c r="H1" s="269"/>
      <c r="I1" s="270"/>
    </row>
    <row r="2" spans="1:9" x14ac:dyDescent="0.3">
      <c r="A2" s="272"/>
      <c r="B2" s="273"/>
      <c r="C2" s="273"/>
      <c r="D2" s="75" t="s">
        <v>131</v>
      </c>
      <c r="E2" s="75" t="s">
        <v>132</v>
      </c>
      <c r="F2" s="75" t="s">
        <v>133</v>
      </c>
      <c r="G2" s="76" t="s">
        <v>131</v>
      </c>
      <c r="H2" s="76" t="s">
        <v>132</v>
      </c>
      <c r="I2" s="77" t="s">
        <v>133</v>
      </c>
    </row>
    <row r="3" spans="1:9" x14ac:dyDescent="0.3">
      <c r="A3" s="74">
        <f>PRELIM!A10</f>
        <v>1</v>
      </c>
      <c r="B3" s="74" t="str">
        <f>IF(ISBLANK(Informations!B11),"",Informations!B11)</f>
        <v>AIDAROS, ANALIE B.</v>
      </c>
      <c r="C3" s="74">
        <f>IF(ISBLANK(Informations!C11),"",Informations!C11)</f>
        <v>20232214</v>
      </c>
      <c r="D3" s="78" t="e">
        <f>'grading report'!#REF!</f>
        <v>#REF!</v>
      </c>
      <c r="E3" s="78">
        <f>'grading report'!H11</f>
        <v>82.78</v>
      </c>
      <c r="F3" s="78">
        <f>'grading report'!I11</f>
        <v>87.865000000000009</v>
      </c>
      <c r="G3" s="79"/>
      <c r="H3" s="79"/>
      <c r="I3" s="79"/>
    </row>
    <row r="4" spans="1:9" x14ac:dyDescent="0.3">
      <c r="A4" s="74">
        <f>PRELIM!A11</f>
        <v>2</v>
      </c>
      <c r="B4" s="74" t="str">
        <f>IF(ISBLANK(Informations!B12),"",Informations!B12)</f>
        <v>ALILI, JAIDE LOU D.</v>
      </c>
      <c r="C4" s="74">
        <f>IF(ISBLANK(Informations!C12),"",Informations!C12)</f>
        <v>20230597</v>
      </c>
      <c r="D4" s="78" t="e">
        <f>'grading report'!#REF!</f>
        <v>#REF!</v>
      </c>
      <c r="E4" s="78">
        <f>'grading report'!H12</f>
        <v>85.27000000000001</v>
      </c>
      <c r="F4" s="78">
        <f>'grading report'!I12</f>
        <v>85.263333333333321</v>
      </c>
      <c r="G4" s="79"/>
      <c r="H4" s="79"/>
      <c r="I4" s="79"/>
    </row>
    <row r="5" spans="1:9" x14ac:dyDescent="0.3">
      <c r="A5" s="74">
        <f>PRELIM!A12</f>
        <v>3</v>
      </c>
      <c r="B5" s="74" t="str">
        <f>IF(ISBLANK(Informations!B13),"",Informations!B13)</f>
        <v>ALLOSO, RICHELLE MAE</v>
      </c>
      <c r="C5" s="74">
        <f>IF(ISBLANK(Informations!C13),"",Informations!C13)</f>
        <v>20230021</v>
      </c>
      <c r="D5" s="78" t="e">
        <f>'grading report'!#REF!</f>
        <v>#REF!</v>
      </c>
      <c r="E5" s="78">
        <f>'grading report'!H13</f>
        <v>87.019545454545437</v>
      </c>
      <c r="F5" s="78">
        <f>'grading report'!I13</f>
        <v>87.204999999999998</v>
      </c>
      <c r="G5" s="79"/>
      <c r="H5" s="79"/>
      <c r="I5" s="79"/>
    </row>
    <row r="6" spans="1:9" x14ac:dyDescent="0.3">
      <c r="A6" s="74">
        <f>PRELIM!A13</f>
        <v>4</v>
      </c>
      <c r="B6" s="74" t="str">
        <f>IF(ISBLANK(Informations!B14),"",Informations!B14)</f>
        <v>AUTIDA, MHARK ANGELOU E.</v>
      </c>
      <c r="C6" s="74">
        <f>IF(ISBLANK(Informations!C14),"",Informations!C14)</f>
        <v>20232689</v>
      </c>
      <c r="D6" s="78" t="e">
        <f>'grading report'!#REF!</f>
        <v>#REF!</v>
      </c>
      <c r="E6" s="78">
        <f>'grading report'!H14</f>
        <v>77.551428571428573</v>
      </c>
      <c r="F6" s="78">
        <f>'grading report'!I14</f>
        <v>72.983939393939409</v>
      </c>
      <c r="G6" s="79"/>
      <c r="H6" s="79"/>
      <c r="I6" s="79"/>
    </row>
    <row r="7" spans="1:9" x14ac:dyDescent="0.3">
      <c r="A7" s="74">
        <f>PRELIM!A14</f>
        <v>5</v>
      </c>
      <c r="B7" s="74" t="str">
        <f>IF(ISBLANK(Informations!B15),"",Informations!B15)</f>
        <v>BENITO, FADEL C.</v>
      </c>
      <c r="C7" s="74">
        <f>IF(ISBLANK(Informations!C15),"",Informations!C15)</f>
        <v>20232651</v>
      </c>
      <c r="D7" s="78" t="e">
        <f>'grading report'!#REF!</f>
        <v>#REF!</v>
      </c>
      <c r="E7" s="78">
        <f>'grading report'!H15</f>
        <v>93.37</v>
      </c>
      <c r="F7" s="78">
        <f>'grading report'!I15</f>
        <v>93.161666666666676</v>
      </c>
      <c r="G7" s="79"/>
      <c r="H7" s="79"/>
      <c r="I7" s="79"/>
    </row>
    <row r="8" spans="1:9" x14ac:dyDescent="0.3">
      <c r="A8" s="74">
        <f>PRELIM!A15</f>
        <v>6</v>
      </c>
      <c r="B8" s="74" t="str">
        <f>IF(ISBLANK(Informations!B16),"",Informations!B16)</f>
        <v>BESTUDIO, JERBY BRIX T.</v>
      </c>
      <c r="C8" s="74">
        <f>IF(ISBLANK(Informations!C16),"",Informations!C16)</f>
        <v>20230544</v>
      </c>
      <c r="D8" s="78" t="e">
        <f>'grading report'!#REF!</f>
        <v>#REF!</v>
      </c>
      <c r="E8" s="78">
        <f>'grading report'!H16</f>
        <v>81.459415584415581</v>
      </c>
      <c r="F8" s="78">
        <f>'grading report'!I16</f>
        <v>79.263333333333321</v>
      </c>
      <c r="G8" s="79"/>
      <c r="H8" s="79"/>
      <c r="I8" s="79"/>
    </row>
    <row r="9" spans="1:9" x14ac:dyDescent="0.3">
      <c r="A9" s="74">
        <f>PRELIM!A16</f>
        <v>7</v>
      </c>
      <c r="B9" s="74" t="str">
        <f>IF(ISBLANK(Informations!B17),"",Informations!B17)</f>
        <v>BONGGALON, ROSELYN M.</v>
      </c>
      <c r="C9" s="74">
        <f>IF(ISBLANK(Informations!C17),"",Informations!C17)</f>
        <v>20231198</v>
      </c>
      <c r="D9" s="78" t="e">
        <f>'grading report'!#REF!</f>
        <v>#REF!</v>
      </c>
      <c r="E9" s="78">
        <f>'grading report'!H17</f>
        <v>75.010000000000005</v>
      </c>
      <c r="F9" s="78">
        <f>'grading report'!I17</f>
        <v>75.34</v>
      </c>
      <c r="G9" s="79"/>
      <c r="H9" s="79"/>
      <c r="I9" s="79"/>
    </row>
    <row r="10" spans="1:9" x14ac:dyDescent="0.3">
      <c r="A10" s="74">
        <f>PRELIM!A17</f>
        <v>8</v>
      </c>
      <c r="B10" s="74" t="str">
        <f>IF(ISBLANK(Informations!B18),"",Informations!B18)</f>
        <v>CABANIG, JOYCE D.</v>
      </c>
      <c r="C10" s="74">
        <f>IF(ISBLANK(Informations!C18),"",Informations!C18)</f>
        <v>20230582</v>
      </c>
      <c r="D10" s="78" t="e">
        <f>'grading report'!#REF!</f>
        <v>#REF!</v>
      </c>
      <c r="E10" s="78">
        <f>'grading report'!H18</f>
        <v>80.598571428571432</v>
      </c>
      <c r="F10" s="78">
        <f>'grading report'!I18</f>
        <v>80.723333333333329</v>
      </c>
      <c r="G10" s="79"/>
      <c r="H10" s="79"/>
      <c r="I10" s="79"/>
    </row>
    <row r="11" spans="1:9" x14ac:dyDescent="0.3">
      <c r="A11" s="74">
        <f>PRELIM!A18</f>
        <v>9</v>
      </c>
      <c r="B11" s="74" t="str">
        <f>IF(ISBLANK(Informations!B19),"",Informations!B19)</f>
        <v>DELEGUER JR., WYNIEL M.</v>
      </c>
      <c r="C11" s="74">
        <f>IF(ISBLANK(Informations!C19),"",Informations!C19)</f>
        <v>20232030</v>
      </c>
      <c r="D11" s="78" t="e">
        <f>'grading report'!#REF!</f>
        <v>#REF!</v>
      </c>
      <c r="E11" s="78">
        <f>'grading report'!H19</f>
        <v>79.82714285714286</v>
      </c>
      <c r="F11" s="78">
        <f>'grading report'!I19</f>
        <v>73.56</v>
      </c>
      <c r="G11" s="79"/>
      <c r="H11" s="79"/>
      <c r="I11" s="79"/>
    </row>
    <row r="12" spans="1:9" x14ac:dyDescent="0.3">
      <c r="A12" s="74">
        <f>PRELIM!A19</f>
        <v>10</v>
      </c>
      <c r="B12" s="74" t="str">
        <f>IF(ISBLANK(Informations!B20),"",Informations!B20)</f>
        <v>ESPINO, PRINCESS GAIL A.</v>
      </c>
      <c r="C12" s="74">
        <f>IF(ISBLANK(Informations!C20),"",Informations!C20)</f>
        <v>20230285</v>
      </c>
      <c r="D12" s="78" t="e">
        <f>'grading report'!#REF!</f>
        <v>#REF!</v>
      </c>
      <c r="E12" s="78">
        <f>'grading report'!H20</f>
        <v>83.071428571428584</v>
      </c>
      <c r="F12" s="78">
        <f>'grading report'!I20</f>
        <v>87.993333333333339</v>
      </c>
      <c r="G12" s="79"/>
      <c r="H12" s="79"/>
      <c r="I12" s="79"/>
    </row>
    <row r="13" spans="1:9" x14ac:dyDescent="0.3">
      <c r="A13" s="74">
        <f>PRELIM!A20</f>
        <v>11</v>
      </c>
      <c r="B13" s="74" t="str">
        <f>IF(ISBLANK(Informations!B21),"",Informations!B21)</f>
        <v>GUEVARRA, HERLAN ARC JOHNSON C.</v>
      </c>
      <c r="C13" s="74">
        <f>IF(ISBLANK(Informations!C21),"",Informations!C21)</f>
        <v>20232845</v>
      </c>
      <c r="D13" s="78" t="e">
        <f>'grading report'!#REF!</f>
        <v>#REF!</v>
      </c>
      <c r="E13" s="78">
        <f>'grading report'!H21</f>
        <v>86.157532467532462</v>
      </c>
      <c r="F13" s="78">
        <f>'grading report'!I21</f>
        <v>76.426212121212131</v>
      </c>
      <c r="G13" s="79"/>
      <c r="H13" s="79"/>
      <c r="I13" s="79"/>
    </row>
    <row r="14" spans="1:9" x14ac:dyDescent="0.3">
      <c r="A14" s="74">
        <f>PRELIM!A21</f>
        <v>12</v>
      </c>
      <c r="B14" s="74" t="str">
        <f>IF(ISBLANK(Informations!B22),"",Informations!B22)</f>
        <v>GUTIERREZ, MILLECENT SHYNE C.</v>
      </c>
      <c r="C14" s="74">
        <f>IF(ISBLANK(Informations!C22),"",Informations!C22)</f>
        <v>20232519</v>
      </c>
      <c r="D14" s="78" t="e">
        <f>'grading report'!#REF!</f>
        <v>#REF!</v>
      </c>
      <c r="E14" s="78">
        <f>'grading report'!H22</f>
        <v>77.84714285714287</v>
      </c>
      <c r="F14" s="78">
        <f>'grading report'!I22</f>
        <v>75.788333333333327</v>
      </c>
      <c r="G14" s="79"/>
      <c r="H14" s="79"/>
      <c r="I14" s="79"/>
    </row>
    <row r="15" spans="1:9" x14ac:dyDescent="0.3">
      <c r="A15" s="74">
        <f>PRELIM!A22</f>
        <v>13</v>
      </c>
      <c r="B15" s="74" t="str">
        <f>IF(ISBLANK(Informations!B23),"",Informations!B23)</f>
        <v>HERNANDEZ, ANGEL JEAN A</v>
      </c>
      <c r="C15" s="74">
        <f>IF(ISBLANK(Informations!C23),"",Informations!C23)</f>
        <v>20231671</v>
      </c>
      <c r="D15" s="78" t="e">
        <f>'grading report'!#REF!</f>
        <v>#REF!</v>
      </c>
      <c r="E15" s="78">
        <f>'grading report'!H23</f>
        <v>93.352857142857147</v>
      </c>
      <c r="F15" s="78">
        <f>'grading report'!I23</f>
        <v>95.86333333333333</v>
      </c>
      <c r="G15" s="79"/>
      <c r="H15" s="79"/>
      <c r="I15" s="79"/>
    </row>
    <row r="16" spans="1:9" x14ac:dyDescent="0.3">
      <c r="A16" s="74">
        <f>PRELIM!A23</f>
        <v>14</v>
      </c>
      <c r="B16" s="74" t="str">
        <f>IF(ISBLANK(Informations!B24),"",Informations!B24)</f>
        <v>LAGUIDAN, PRINCESS JEAN A.</v>
      </c>
      <c r="C16" s="74">
        <f>IF(ISBLANK(Informations!C24),"",Informations!C24)</f>
        <v>20232322</v>
      </c>
      <c r="D16" s="78" t="e">
        <f>'grading report'!#REF!</f>
        <v>#REF!</v>
      </c>
      <c r="E16" s="78">
        <f>'grading report'!H24</f>
        <v>81.425714285714292</v>
      </c>
      <c r="F16" s="78">
        <f>'grading report'!I24</f>
        <v>74.577272727272728</v>
      </c>
      <c r="G16" s="79"/>
      <c r="H16" s="79"/>
      <c r="I16" s="79"/>
    </row>
    <row r="17" spans="1:9" x14ac:dyDescent="0.3">
      <c r="A17" s="74">
        <f>PRELIM!A24</f>
        <v>15</v>
      </c>
      <c r="B17" s="74" t="str">
        <f>IF(ISBLANK(Informations!B25),"",Informations!B25)</f>
        <v>LAGUROS, LYKA A.</v>
      </c>
      <c r="C17" s="74">
        <f>IF(ISBLANK(Informations!C25),"",Informations!C25)</f>
        <v>20230594</v>
      </c>
      <c r="D17" s="78" t="e">
        <f>'grading report'!#REF!</f>
        <v>#REF!</v>
      </c>
      <c r="E17" s="78">
        <f>'grading report'!H25</f>
        <v>80.041428571428582</v>
      </c>
      <c r="F17" s="78">
        <f>'grading report'!I25</f>
        <v>82.991666666666674</v>
      </c>
      <c r="G17" s="79"/>
      <c r="H17" s="79"/>
      <c r="I17" s="79"/>
    </row>
    <row r="18" spans="1:9" x14ac:dyDescent="0.3">
      <c r="A18" s="74">
        <f>PRELIM!A25</f>
        <v>16</v>
      </c>
      <c r="B18" s="74" t="str">
        <f>IF(ISBLANK(Informations!B26),"",Informations!B26)</f>
        <v>LAIDAN, JOSEPH G.</v>
      </c>
      <c r="C18" s="74">
        <f>IF(ISBLANK(Informations!C26),"",Informations!C26)</f>
        <v>20232466</v>
      </c>
      <c r="D18" s="78" t="e">
        <f>'grading report'!#REF!</f>
        <v>#REF!</v>
      </c>
      <c r="E18" s="78">
        <f>'grading report'!H26</f>
        <v>77.684285714285721</v>
      </c>
      <c r="F18" s="78">
        <f>'grading report'!I26</f>
        <v>81.960000000000008</v>
      </c>
      <c r="G18" s="79"/>
      <c r="H18" s="79"/>
      <c r="I18" s="79"/>
    </row>
    <row r="19" spans="1:9" x14ac:dyDescent="0.3">
      <c r="A19" s="74">
        <f>PRELIM!A26</f>
        <v>17</v>
      </c>
      <c r="B19" s="74" t="str">
        <f>IF(ISBLANK(Informations!B27),"",Informations!B27)</f>
        <v>LAPICEROS, ELVIE V.</v>
      </c>
      <c r="C19" s="74">
        <f>IF(ISBLANK(Informations!C27),"",Informations!C27)</f>
        <v>20231379</v>
      </c>
      <c r="D19" s="78" t="e">
        <f>'grading report'!#REF!</f>
        <v>#REF!</v>
      </c>
      <c r="E19" s="78">
        <f>'grading report'!H27</f>
        <v>86.821428571428584</v>
      </c>
      <c r="F19" s="78">
        <f>'grading report'!I27</f>
        <v>91.883333333333326</v>
      </c>
      <c r="G19" s="79"/>
      <c r="H19" s="79"/>
      <c r="I19" s="79"/>
    </row>
    <row r="20" spans="1:9" x14ac:dyDescent="0.3">
      <c r="A20" s="74">
        <f>PRELIM!A27</f>
        <v>18</v>
      </c>
      <c r="B20" s="74" t="str">
        <f>IF(ISBLANK(Informations!B28),"",Informations!B28)</f>
        <v>LIBOT, MARK ANTHONY A.</v>
      </c>
      <c r="C20" s="74">
        <f>IF(ISBLANK(Informations!C28),"",Informations!C28)</f>
        <v>20232409</v>
      </c>
      <c r="D20" s="78" t="e">
        <f>'grading report'!#REF!</f>
        <v>#REF!</v>
      </c>
      <c r="E20" s="78">
        <f>'grading report'!H28</f>
        <v>88.240000000000009</v>
      </c>
      <c r="F20" s="78">
        <f>'grading report'!I28</f>
        <v>86.90666666666668</v>
      </c>
      <c r="G20" s="79"/>
      <c r="H20" s="79"/>
      <c r="I20" s="79"/>
    </row>
    <row r="21" spans="1:9" x14ac:dyDescent="0.3">
      <c r="A21" s="74">
        <f>PRELIM!A28</f>
        <v>19</v>
      </c>
      <c r="B21" s="74" t="str">
        <f>IF(ISBLANK(Informations!B29),"",Informations!B29)</f>
        <v>MAINAR, MADEL V.</v>
      </c>
      <c r="C21" s="74">
        <f>IF(ISBLANK(Informations!C29),"",Informations!C29)</f>
        <v>20232773</v>
      </c>
      <c r="D21" s="78" t="e">
        <f>'grading report'!#REF!</f>
        <v>#REF!</v>
      </c>
      <c r="E21" s="78">
        <f>'grading report'!H29</f>
        <v>80.388571428571439</v>
      </c>
      <c r="F21" s="78">
        <f>'grading report'!I29</f>
        <v>77.591212121212124</v>
      </c>
      <c r="G21" s="79"/>
      <c r="H21" s="79"/>
      <c r="I21" s="79"/>
    </row>
    <row r="22" spans="1:9" x14ac:dyDescent="0.3">
      <c r="A22" s="74">
        <f>PRELIM!A29</f>
        <v>20</v>
      </c>
      <c r="B22" s="74" t="str">
        <f>IF(ISBLANK(Informations!B30),"",Informations!B30)</f>
        <v>MAITIM, SALVE ANN RUTH E</v>
      </c>
      <c r="C22" s="74">
        <f>IF(ISBLANK(Informations!C30),"",Informations!C30)</f>
        <v>20221397</v>
      </c>
      <c r="D22" s="78" t="e">
        <f>'grading report'!#REF!</f>
        <v>#REF!</v>
      </c>
      <c r="E22" s="78">
        <f>'grading report'!H30</f>
        <v>92.147987012987016</v>
      </c>
      <c r="F22" s="78">
        <f>'grading report'!I30</f>
        <v>95.00393939393939</v>
      </c>
      <c r="G22" s="79"/>
      <c r="H22" s="79"/>
      <c r="I22" s="79"/>
    </row>
    <row r="23" spans="1:9" x14ac:dyDescent="0.3">
      <c r="A23" s="74">
        <f>PRELIM!A30</f>
        <v>21</v>
      </c>
      <c r="B23" s="74" t="str">
        <f>IF(ISBLANK(Informations!B31),"",Informations!B31)</f>
        <v>MALILA, EMMA MAE B.</v>
      </c>
      <c r="C23" s="74">
        <f>IF(ISBLANK(Informations!C31),"",Informations!C31)</f>
        <v>20191129</v>
      </c>
      <c r="D23" s="78" t="e">
        <f>'grading report'!#REF!</f>
        <v>#REF!</v>
      </c>
      <c r="E23" s="78">
        <f>'grading report'!H31</f>
        <v>87.185714285714283</v>
      </c>
      <c r="F23" s="78">
        <f>'grading report'!I31</f>
        <v>87.12166666666667</v>
      </c>
      <c r="G23" s="79"/>
      <c r="H23" s="79"/>
      <c r="I23" s="79"/>
    </row>
    <row r="24" spans="1:9" x14ac:dyDescent="0.3">
      <c r="A24" s="74">
        <f>PRELIM!A31</f>
        <v>22</v>
      </c>
      <c r="B24" s="74" t="str">
        <f>IF(ISBLANK(Informations!B32),"",Informations!B32)</f>
        <v>MENDEZ, SHYZIEL C.</v>
      </c>
      <c r="C24" s="74">
        <f>IF(ISBLANK(Informations!C32),"",Informations!C32)</f>
        <v>20230061</v>
      </c>
      <c r="D24" s="78" t="e">
        <f>'grading report'!#REF!</f>
        <v>#REF!</v>
      </c>
      <c r="E24" s="78">
        <f>'grading report'!H32</f>
        <v>85.779415584415602</v>
      </c>
      <c r="F24" s="78">
        <f>'grading report'!I32</f>
        <v>89.321818181818188</v>
      </c>
      <c r="G24" s="79"/>
      <c r="H24" s="79"/>
      <c r="I24" s="79"/>
    </row>
    <row r="25" spans="1:9" x14ac:dyDescent="0.3">
      <c r="A25" s="74">
        <f>PRELIM!A32</f>
        <v>23</v>
      </c>
      <c r="B25" s="74" t="str">
        <f>IF(ISBLANK(Informations!B33),"",Informations!B33)</f>
        <v>MORA, CLAURENCE  C.</v>
      </c>
      <c r="C25" s="74">
        <f>IF(ISBLANK(Informations!C33),"",Informations!C33)</f>
        <v>20231894</v>
      </c>
      <c r="D25" s="78" t="e">
        <f>'grading report'!#REF!</f>
        <v>#REF!</v>
      </c>
      <c r="E25" s="78">
        <f>'grading report'!H33</f>
        <v>77.846558441558443</v>
      </c>
      <c r="F25" s="78">
        <f>'grading report'!I33</f>
        <v>78.528333333333336</v>
      </c>
      <c r="G25" s="79"/>
      <c r="H25" s="79"/>
      <c r="I25" s="79"/>
    </row>
    <row r="26" spans="1:9" x14ac:dyDescent="0.3">
      <c r="A26" s="74">
        <f>PRELIM!A33</f>
        <v>24</v>
      </c>
      <c r="B26" s="74" t="str">
        <f>IF(ISBLANK(Informations!B34),"",Informations!B34)</f>
        <v>MORALES, JANE MANELYN C.</v>
      </c>
      <c r="C26" s="74">
        <f>IF(ISBLANK(Informations!C34),"",Informations!C34)</f>
        <v>20231183</v>
      </c>
      <c r="D26" s="78" t="e">
        <f>'grading report'!#REF!</f>
        <v>#REF!</v>
      </c>
      <c r="E26" s="78">
        <f>'grading report'!H34</f>
        <v>83.025259740259742</v>
      </c>
      <c r="F26" s="78">
        <f>'grading report'!I34</f>
        <v>88.162272727272722</v>
      </c>
      <c r="G26" s="79"/>
      <c r="H26" s="79"/>
      <c r="I26" s="79"/>
    </row>
    <row r="27" spans="1:9" x14ac:dyDescent="0.3">
      <c r="A27" s="74">
        <f>PRELIM!A34</f>
        <v>25</v>
      </c>
      <c r="B27" s="74" t="str">
        <f>IF(ISBLANK(Informations!B35),"",Informations!B35)</f>
        <v>NARAGA,  JHAMAICA R.</v>
      </c>
      <c r="C27" s="74">
        <f>IF(ISBLANK(Informations!C35),"",Informations!C35)</f>
        <v>20230598</v>
      </c>
      <c r="D27" s="78" t="e">
        <f>'grading report'!#REF!</f>
        <v>#REF!</v>
      </c>
      <c r="E27" s="78">
        <f>'grading report'!H35</f>
        <v>83.208571428571432</v>
      </c>
      <c r="F27" s="78">
        <f>'grading report'!I35</f>
        <v>85.336666666666673</v>
      </c>
      <c r="G27" s="79"/>
      <c r="H27" s="79"/>
      <c r="I27" s="79"/>
    </row>
    <row r="28" spans="1:9" x14ac:dyDescent="0.3">
      <c r="A28" s="74">
        <f>PRELIM!A35</f>
        <v>26</v>
      </c>
      <c r="B28" s="74" t="str">
        <f>IF(ISBLANK(Informations!B36),"",Informations!B36)</f>
        <v>ONGQUE, CHERRY A.</v>
      </c>
      <c r="C28" s="74">
        <f>IF(ISBLANK(Informations!C36),"",Informations!C36)</f>
        <v>20230382</v>
      </c>
      <c r="D28" s="78" t="e">
        <f>'grading report'!#REF!</f>
        <v>#REF!</v>
      </c>
      <c r="E28" s="78">
        <f>'grading report'!H36</f>
        <v>83.439415584415585</v>
      </c>
      <c r="F28" s="78">
        <f>'grading report'!I36</f>
        <v>88.198333333333338</v>
      </c>
      <c r="G28" s="79"/>
      <c r="H28" s="79"/>
      <c r="I28" s="79"/>
    </row>
    <row r="29" spans="1:9" x14ac:dyDescent="0.3">
      <c r="A29" s="74">
        <f>PRELIM!A36</f>
        <v>27</v>
      </c>
      <c r="B29" s="74" t="str">
        <f>IF(ISBLANK(Informations!B37),"",Informations!B37)</f>
        <v>PAT, APRIL JANE L.</v>
      </c>
      <c r="C29" s="74">
        <f>IF(ISBLANK(Informations!C37),"",Informations!C37)</f>
        <v>20230869</v>
      </c>
      <c r="D29" s="78" t="e">
        <f>'grading report'!#REF!</f>
        <v>#REF!</v>
      </c>
      <c r="E29" s="78">
        <f>'grading report'!H37</f>
        <v>78.326558441558447</v>
      </c>
      <c r="F29" s="78">
        <f>'grading report'!I37</f>
        <v>75.659545454545452</v>
      </c>
      <c r="G29" s="79"/>
      <c r="H29" s="79"/>
      <c r="I29" s="79"/>
    </row>
    <row r="30" spans="1:9" x14ac:dyDescent="0.3">
      <c r="A30" s="74">
        <f>PRELIM!A37</f>
        <v>28</v>
      </c>
      <c r="B30" s="74" t="str">
        <f>IF(ISBLANK(Informations!B38),"",Informations!B38)</f>
        <v>RICALDE, HARVEY C.</v>
      </c>
      <c r="C30" s="74">
        <f>IF(ISBLANK(Informations!C38),"",Informations!C38)</f>
        <v>20230085</v>
      </c>
      <c r="D30" s="78" t="e">
        <f>'grading report'!#REF!</f>
        <v>#REF!</v>
      </c>
      <c r="E30" s="78">
        <f>'grading report'!H38</f>
        <v>80.383701298701283</v>
      </c>
      <c r="F30" s="78">
        <f>'grading report'!I38</f>
        <v>79.389090909090896</v>
      </c>
      <c r="G30" s="79"/>
      <c r="H30" s="79"/>
      <c r="I30" s="79"/>
    </row>
    <row r="31" spans="1:9" x14ac:dyDescent="0.3">
      <c r="A31" s="74">
        <f>PRELIM!A38</f>
        <v>29</v>
      </c>
      <c r="B31" s="74" t="str">
        <f>IF(ISBLANK(Informations!B39),"",Informations!B39)</f>
        <v>ROJAS, CYREL KEN L.</v>
      </c>
      <c r="C31" s="74">
        <f>IF(ISBLANK(Informations!C39),"",Informations!C39)</f>
        <v>20232841</v>
      </c>
      <c r="D31" s="78" t="e">
        <f>'grading report'!#REF!</f>
        <v>#REF!</v>
      </c>
      <c r="E31" s="78">
        <f>'grading report'!H39</f>
        <v>84.742857142857133</v>
      </c>
      <c r="F31" s="78">
        <f>'grading report'!I39</f>
        <v>76.843333333333334</v>
      </c>
      <c r="G31" s="79"/>
      <c r="H31" s="79"/>
      <c r="I31" s="79"/>
    </row>
    <row r="32" spans="1:9" x14ac:dyDescent="0.3">
      <c r="A32" s="74">
        <f>PRELIM!A39</f>
        <v>30</v>
      </c>
      <c r="B32" s="74" t="str">
        <f>IF(ISBLANK(Informations!B40),"",Informations!B40)</f>
        <v>SAMLING, GHEZERIE C.</v>
      </c>
      <c r="C32" s="74">
        <f>IF(ISBLANK(Informations!C40),"",Informations!C40)</f>
        <v>20231289</v>
      </c>
      <c r="D32" s="78" t="e">
        <f>'grading report'!#REF!</f>
        <v>#REF!</v>
      </c>
      <c r="E32" s="78">
        <f>'grading report'!H40</f>
        <v>74.812857142857155</v>
      </c>
      <c r="F32" s="78">
        <f>'grading report'!I40</f>
        <v>79.848333333333329</v>
      </c>
      <c r="G32" s="79"/>
      <c r="H32" s="79"/>
      <c r="I32" s="79"/>
    </row>
    <row r="33" spans="1:9" x14ac:dyDescent="0.3">
      <c r="A33" s="74">
        <f>PRELIM!A40</f>
        <v>31</v>
      </c>
      <c r="B33" s="74" t="str">
        <f>IF(ISBLANK(Informations!B41),"",Informations!B41)</f>
        <v>SAPIO, DIETHER E.</v>
      </c>
      <c r="C33" s="74">
        <f>IF(ISBLANK(Informations!C41),"",Informations!C41)</f>
        <v>20232395</v>
      </c>
      <c r="D33" s="78" t="e">
        <f>'grading report'!#REF!</f>
        <v>#REF!</v>
      </c>
      <c r="E33" s="78">
        <f>'grading report'!H41</f>
        <v>82.004285714285714</v>
      </c>
      <c r="F33" s="78">
        <f>'grading report'!I41</f>
        <v>74.176666666666677</v>
      </c>
      <c r="G33" s="79"/>
      <c r="H33" s="79"/>
      <c r="I33" s="79"/>
    </row>
    <row r="34" spans="1:9" x14ac:dyDescent="0.3">
      <c r="A34" s="74">
        <f>PRELIM!A41</f>
        <v>32</v>
      </c>
      <c r="B34" s="74" t="str">
        <f>IF(ISBLANK(Informations!B42),"",Informations!B42)</f>
        <v>SILPAO, JHON CHRISTIAN G.</v>
      </c>
      <c r="C34" s="74">
        <f>IF(ISBLANK(Informations!C42),"",Informations!C42)</f>
        <v>20230843</v>
      </c>
      <c r="D34" s="78" t="e">
        <f>'grading report'!#REF!</f>
        <v>#REF!</v>
      </c>
      <c r="E34" s="78">
        <f>'grading report'!H42</f>
        <v>84.692402597402605</v>
      </c>
      <c r="F34" s="78">
        <f>'grading report'!I42</f>
        <v>83.908333333333331</v>
      </c>
      <c r="G34" s="79"/>
      <c r="H34" s="79"/>
      <c r="I34" s="79"/>
    </row>
    <row r="35" spans="1:9" x14ac:dyDescent="0.3">
      <c r="A35" s="74">
        <f>PRELIM!A42</f>
        <v>33</v>
      </c>
      <c r="B35" s="74" t="str">
        <f>IF(ISBLANK(Informations!B43),"",Informations!B43)</f>
        <v>TIMUAY, JUVY MAE T</v>
      </c>
      <c r="C35" s="74">
        <f>IF(ISBLANK(Informations!C43),"",Informations!C43)</f>
        <v>20232679</v>
      </c>
      <c r="D35" s="78" t="e">
        <f>'grading report'!#REF!</f>
        <v>#REF!</v>
      </c>
      <c r="E35" s="78">
        <f>'grading report'!H43</f>
        <v>87.134285714285724</v>
      </c>
      <c r="F35" s="78">
        <f>'grading report'!I43</f>
        <v>91.873333333333335</v>
      </c>
      <c r="G35" s="79"/>
      <c r="H35" s="79"/>
      <c r="I35" s="79"/>
    </row>
    <row r="36" spans="1:9" x14ac:dyDescent="0.3">
      <c r="A36" s="74">
        <f>PRELIM!A43</f>
        <v>34</v>
      </c>
      <c r="B36" s="74" t="str">
        <f>IF(ISBLANK(Informations!B44),"",Informations!B44)</f>
        <v>VELASCO, SHYRA BABES C.</v>
      </c>
      <c r="C36" s="74">
        <f>IF(ISBLANK(Informations!C44),"",Informations!C44)</f>
        <v>20221216</v>
      </c>
      <c r="D36" s="78" t="e">
        <f>'grading report'!#REF!</f>
        <v>#REF!</v>
      </c>
      <c r="E36" s="78">
        <f>'grading report'!H44</f>
        <v>84.377987012987006</v>
      </c>
      <c r="F36" s="78">
        <f>'grading report'!I44</f>
        <v>89.233333333333334</v>
      </c>
      <c r="G36" s="79"/>
      <c r="H36" s="79"/>
      <c r="I36" s="79"/>
    </row>
    <row r="37" spans="1:9" x14ac:dyDescent="0.3">
      <c r="A37" s="74">
        <f>PRELIM!A44</f>
        <v>35</v>
      </c>
      <c r="B37" s="74" t="str">
        <f>IF(ISBLANK(Informations!B45),"",Informations!B45)</f>
        <v>VENERACION, PRINCESS P.</v>
      </c>
      <c r="C37" s="74">
        <f>IF(ISBLANK(Informations!C45),"",Informations!C45)</f>
        <v>20230959</v>
      </c>
      <c r="D37" s="78" t="e">
        <f>'grading report'!#REF!</f>
        <v>#REF!</v>
      </c>
      <c r="E37" s="78">
        <f>'grading report'!H45</f>
        <v>86.722857142857137</v>
      </c>
      <c r="F37" s="78">
        <f>'grading report'!I45</f>
        <v>86.321666666666658</v>
      </c>
      <c r="G37" s="79"/>
      <c r="H37" s="79"/>
      <c r="I37" s="79"/>
    </row>
    <row r="38" spans="1:9" x14ac:dyDescent="0.3">
      <c r="A38" s="74">
        <f>PRELIM!A45</f>
        <v>36</v>
      </c>
      <c r="B38" s="74" t="str">
        <f>IF(ISBLANK(Informations!B46),"",Informations!B46)</f>
        <v>VERGARA, RAYAN JAY M.</v>
      </c>
      <c r="C38" s="74">
        <f>IF(ISBLANK(Informations!C46),"",Informations!C46)</f>
        <v>20232474</v>
      </c>
      <c r="D38" s="78" t="e">
        <f>'grading report'!#REF!</f>
        <v>#REF!</v>
      </c>
      <c r="E38" s="78">
        <f>'grading report'!H46</f>
        <v>85.15428571428572</v>
      </c>
      <c r="F38" s="78">
        <f>'grading report'!I46</f>
        <v>90.633333333333326</v>
      </c>
      <c r="G38" s="79"/>
      <c r="H38" s="79"/>
      <c r="I38" s="79"/>
    </row>
    <row r="39" spans="1:9" x14ac:dyDescent="0.3">
      <c r="A39" s="74">
        <f>PRELIM!A46</f>
        <v>37</v>
      </c>
      <c r="B39" s="74" t="str">
        <f>IF(ISBLANK(Informations!B47),"",Informations!B47)</f>
        <v>VILLAVER, JEHAN CEDRIC G.</v>
      </c>
      <c r="C39" s="74">
        <f>IF(ISBLANK(Informations!C47),"",Informations!C47)</f>
        <v>20232644</v>
      </c>
      <c r="D39" s="78" t="e">
        <f>'grading report'!#REF!</f>
        <v>#REF!</v>
      </c>
      <c r="E39" s="78">
        <f>'grading report'!H47</f>
        <v>80.289999999999992</v>
      </c>
      <c r="F39" s="78">
        <f>'grading report'!I47</f>
        <v>80.491212121212129</v>
      </c>
      <c r="G39" s="79"/>
      <c r="H39" s="79"/>
      <c r="I39" s="79"/>
    </row>
    <row r="40" spans="1:9" x14ac:dyDescent="0.3">
      <c r="A40" s="74">
        <f>PRELIM!A47</f>
        <v>38</v>
      </c>
      <c r="B40" s="74" t="str">
        <f>IF(ISBLANK(Informations!B48),"",Informations!B48)</f>
        <v/>
      </c>
      <c r="C40" s="74" t="str">
        <f>IF(ISBLANK(Informations!C48),"",Informations!C48)</f>
        <v/>
      </c>
      <c r="D40" s="78" t="e">
        <f>'grading report'!#REF!</f>
        <v>#REF!</v>
      </c>
      <c r="E40" s="78" t="str">
        <f>'grading report'!H48</f>
        <v>NE</v>
      </c>
      <c r="F40" s="78" t="str">
        <f>'grading report'!I48</f>
        <v>NE</v>
      </c>
      <c r="G40" s="79"/>
      <c r="H40" s="79"/>
      <c r="I40" s="79"/>
    </row>
    <row r="41" spans="1:9" x14ac:dyDescent="0.3">
      <c r="A41" s="74">
        <f>PRELIM!A48</f>
        <v>39</v>
      </c>
      <c r="B41" s="74" t="str">
        <f>IF(ISBLANK(Informations!B49),"",Informations!B49)</f>
        <v/>
      </c>
      <c r="C41" s="74" t="str">
        <f>IF(ISBLANK(Informations!C49),"",Informations!C49)</f>
        <v/>
      </c>
      <c r="D41" s="78" t="e">
        <f>'grading report'!#REF!</f>
        <v>#REF!</v>
      </c>
      <c r="E41" s="78" t="str">
        <f>'grading report'!H49</f>
        <v>NE</v>
      </c>
      <c r="F41" s="78" t="str">
        <f>'grading report'!I49</f>
        <v>NE</v>
      </c>
      <c r="G41" s="79"/>
      <c r="H41" s="79"/>
      <c r="I41" s="79"/>
    </row>
    <row r="42" spans="1:9" x14ac:dyDescent="0.3">
      <c r="A42" s="74">
        <f>PRELIM!A49</f>
        <v>40</v>
      </c>
      <c r="B42" s="74" t="str">
        <f>IF(ISBLANK(Informations!B50),"",Informations!B50)</f>
        <v/>
      </c>
      <c r="C42" s="74" t="str">
        <f>IF(ISBLANK(Informations!C50),"",Informations!C50)</f>
        <v/>
      </c>
      <c r="D42" s="78" t="e">
        <f>'grading report'!#REF!</f>
        <v>#REF!</v>
      </c>
      <c r="E42" s="78" t="str">
        <f>'grading report'!H50</f>
        <v>NE</v>
      </c>
      <c r="F42" s="78" t="str">
        <f>'grading report'!I50</f>
        <v>NE</v>
      </c>
      <c r="G42" s="79"/>
      <c r="H42" s="79"/>
      <c r="I42" s="79"/>
    </row>
    <row r="43" spans="1:9" x14ac:dyDescent="0.3">
      <c r="A43" s="74">
        <f>PRELIM!A50</f>
        <v>41</v>
      </c>
      <c r="B43" s="74" t="str">
        <f>IF(ISBLANK(Informations!B51),"",Informations!B51)</f>
        <v/>
      </c>
      <c r="C43" s="74" t="str">
        <f>IF(ISBLANK(Informations!C51),"",Informations!C51)</f>
        <v/>
      </c>
      <c r="D43" s="78" t="e">
        <f>'grading report'!#REF!</f>
        <v>#REF!</v>
      </c>
      <c r="E43" s="78" t="str">
        <f>'grading report'!H51</f>
        <v>NE</v>
      </c>
      <c r="F43" s="78" t="str">
        <f>'grading report'!I51</f>
        <v>NE</v>
      </c>
      <c r="G43" s="79"/>
      <c r="H43" s="79"/>
      <c r="I43" s="79"/>
    </row>
    <row r="44" spans="1:9" x14ac:dyDescent="0.3">
      <c r="A44" s="74">
        <f>PRELIM!A51</f>
        <v>42</v>
      </c>
      <c r="B44" s="74" t="str">
        <f>IF(ISBLANK(Informations!B52),"",Informations!B52)</f>
        <v/>
      </c>
      <c r="C44" s="74" t="str">
        <f>IF(ISBLANK(Informations!C52),"",Informations!C52)</f>
        <v/>
      </c>
      <c r="D44" s="78" t="e">
        <f>'grading report'!#REF!</f>
        <v>#REF!</v>
      </c>
      <c r="E44" s="78" t="str">
        <f>'grading report'!H52</f>
        <v>NE</v>
      </c>
      <c r="F44" s="78" t="str">
        <f>'grading report'!I52</f>
        <v>NE</v>
      </c>
      <c r="G44" s="79"/>
      <c r="H44" s="79"/>
      <c r="I44" s="79"/>
    </row>
    <row r="45" spans="1:9" x14ac:dyDescent="0.3">
      <c r="A45" s="74">
        <f>PRELIM!A52</f>
        <v>43</v>
      </c>
      <c r="B45" s="74" t="str">
        <f>IF(ISBLANK(Informations!B53),"",Informations!B53)</f>
        <v/>
      </c>
      <c r="C45" s="74" t="str">
        <f>IF(ISBLANK(Informations!C53),"",Informations!C53)</f>
        <v/>
      </c>
      <c r="D45" s="78" t="e">
        <f>'grading report'!#REF!</f>
        <v>#REF!</v>
      </c>
      <c r="E45" s="78" t="str">
        <f>'grading report'!H53</f>
        <v>NE</v>
      </c>
      <c r="F45" s="78" t="str">
        <f>'grading report'!I53</f>
        <v>NE</v>
      </c>
      <c r="G45" s="79"/>
      <c r="H45" s="79"/>
      <c r="I45" s="79"/>
    </row>
    <row r="46" spans="1:9" x14ac:dyDescent="0.3">
      <c r="A46" s="74">
        <f>PRELIM!A53</f>
        <v>44</v>
      </c>
      <c r="B46" s="74" t="str">
        <f>IF(ISBLANK(Informations!B54),"",Informations!B54)</f>
        <v/>
      </c>
      <c r="C46" s="74" t="str">
        <f>IF(ISBLANK(Informations!C54),"",Informations!C54)</f>
        <v/>
      </c>
      <c r="D46" s="78" t="e">
        <f>'grading report'!#REF!</f>
        <v>#REF!</v>
      </c>
      <c r="E46" s="78" t="str">
        <f>'grading report'!H54</f>
        <v>NE</v>
      </c>
      <c r="F46" s="78" t="str">
        <f>'grading report'!I54</f>
        <v>NE</v>
      </c>
      <c r="G46" s="79"/>
      <c r="H46" s="79"/>
      <c r="I46" s="79"/>
    </row>
    <row r="47" spans="1:9" x14ac:dyDescent="0.3">
      <c r="A47" s="74">
        <f>PRELIM!A54</f>
        <v>45</v>
      </c>
      <c r="B47" s="74" t="str">
        <f>IF(ISBLANK(Informations!B55),"",Informations!B55)</f>
        <v/>
      </c>
      <c r="C47" s="74" t="str">
        <f>IF(ISBLANK(Informations!C55),"",Informations!C55)</f>
        <v/>
      </c>
      <c r="D47" s="78" t="e">
        <f>'grading report'!#REF!</f>
        <v>#REF!</v>
      </c>
      <c r="E47" s="78" t="str">
        <f>'grading report'!H55</f>
        <v>NE</v>
      </c>
      <c r="F47" s="78" t="str">
        <f>'grading report'!I55</f>
        <v>NE</v>
      </c>
      <c r="G47" s="79"/>
      <c r="H47" s="79"/>
      <c r="I47" s="79"/>
    </row>
    <row r="48" spans="1:9" x14ac:dyDescent="0.3">
      <c r="A48" s="74">
        <f>PRELIM!A55</f>
        <v>46</v>
      </c>
      <c r="B48" s="74" t="str">
        <f>IF(ISBLANK(Informations!B56),"",Informations!B56)</f>
        <v/>
      </c>
      <c r="C48" s="74" t="str">
        <f>IF(ISBLANK(Informations!C56),"",Informations!C56)</f>
        <v/>
      </c>
      <c r="D48" s="78" t="e">
        <f>'grading report'!#REF!</f>
        <v>#REF!</v>
      </c>
      <c r="E48" s="78" t="str">
        <f>'grading report'!H56</f>
        <v>NE</v>
      </c>
      <c r="F48" s="78" t="str">
        <f>'grading report'!I56</f>
        <v>NE</v>
      </c>
      <c r="G48" s="79"/>
      <c r="H48" s="79"/>
      <c r="I48" s="79"/>
    </row>
    <row r="49" spans="1:9" x14ac:dyDescent="0.3">
      <c r="A49" s="74">
        <f>PRELIM!A56</f>
        <v>47</v>
      </c>
      <c r="B49" s="74" t="str">
        <f>IF(ISBLANK(Informations!B57),"",Informations!B57)</f>
        <v/>
      </c>
      <c r="C49" s="74" t="str">
        <f>IF(ISBLANK(Informations!C57),"",Informations!C57)</f>
        <v/>
      </c>
      <c r="D49" s="78" t="e">
        <f>'grading report'!#REF!</f>
        <v>#REF!</v>
      </c>
      <c r="E49" s="78" t="str">
        <f>'grading report'!H57</f>
        <v>NE</v>
      </c>
      <c r="F49" s="78" t="str">
        <f>'grading report'!I57</f>
        <v>NE</v>
      </c>
      <c r="G49" s="79"/>
      <c r="H49" s="79"/>
      <c r="I49" s="79"/>
    </row>
    <row r="50" spans="1:9" x14ac:dyDescent="0.3">
      <c r="A50" s="74">
        <f>PRELIM!A57</f>
        <v>48</v>
      </c>
      <c r="B50" s="74" t="str">
        <f>IF(ISBLANK(Informations!B58),"",Informations!B58)</f>
        <v/>
      </c>
      <c r="C50" s="74" t="str">
        <f>IF(ISBLANK(Informations!C58),"",Informations!C58)</f>
        <v/>
      </c>
      <c r="D50" s="78" t="e">
        <f>'grading report'!#REF!</f>
        <v>#REF!</v>
      </c>
      <c r="E50" s="78" t="str">
        <f>'grading report'!H58</f>
        <v>NE</v>
      </c>
      <c r="F50" s="78" t="str">
        <f>'grading report'!I58</f>
        <v>NE</v>
      </c>
      <c r="G50" s="79"/>
      <c r="H50" s="79"/>
      <c r="I50" s="79"/>
    </row>
    <row r="51" spans="1:9" x14ac:dyDescent="0.3">
      <c r="A51" s="74">
        <f>PRELIM!A58</f>
        <v>49</v>
      </c>
      <c r="B51" s="74" t="str">
        <f>IF(ISBLANK(Informations!B59),"",Informations!B59)</f>
        <v/>
      </c>
      <c r="C51" s="74" t="str">
        <f>IF(ISBLANK(Informations!C59),"",Informations!C59)</f>
        <v/>
      </c>
      <c r="D51" s="78" t="e">
        <f>'grading report'!#REF!</f>
        <v>#REF!</v>
      </c>
      <c r="E51" s="78" t="str">
        <f>'grading report'!H59</f>
        <v>NE</v>
      </c>
      <c r="F51" s="78" t="str">
        <f>'grading report'!I59</f>
        <v>NE</v>
      </c>
      <c r="G51" s="79"/>
      <c r="H51" s="79"/>
      <c r="I51" s="79"/>
    </row>
    <row r="52" spans="1:9" x14ac:dyDescent="0.3">
      <c r="A52" s="74">
        <f>PRELIM!A59</f>
        <v>50</v>
      </c>
      <c r="B52" s="74" t="str">
        <f>IF(ISBLANK(Informations!B60),"",Informations!B60)</f>
        <v/>
      </c>
      <c r="C52" s="74" t="str">
        <f>IF(ISBLANK(Informations!C60),"",Informations!C60)</f>
        <v/>
      </c>
      <c r="D52" s="78" t="e">
        <f>'grading report'!#REF!</f>
        <v>#REF!</v>
      </c>
      <c r="E52" s="78" t="str">
        <f>'grading report'!H60</f>
        <v>NE</v>
      </c>
      <c r="F52" s="78" t="str">
        <f>'grading report'!I60</f>
        <v>NE</v>
      </c>
      <c r="G52" s="79"/>
      <c r="H52" s="79"/>
      <c r="I52" s="79"/>
    </row>
  </sheetData>
  <mergeCells count="5">
    <mergeCell ref="D1:F1"/>
    <mergeCell ref="G1:I1"/>
    <mergeCell ref="A1:A2"/>
    <mergeCell ref="B1:B2"/>
    <mergeCell ref="C1:C2"/>
  </mergeCells>
  <dataValidations count="1">
    <dataValidation type="list" allowBlank="1" showInputMessage="1" showErrorMessage="1" sqref="G3:I52" xr:uid="{00000000-0002-0000-0600-000000000000}">
      <formula1>"OK,"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52"/>
  <sheetViews>
    <sheetView workbookViewId="0">
      <selection activeCell="K18" sqref="K18"/>
    </sheetView>
  </sheetViews>
  <sheetFormatPr defaultRowHeight="14.4" x14ac:dyDescent="0.3"/>
  <cols>
    <col min="2" max="2" width="19.33203125" bestFit="1" customWidth="1"/>
    <col min="3" max="3" width="7.44140625" bestFit="1" customWidth="1"/>
    <col min="7" max="7" width="19.33203125" bestFit="1" customWidth="1"/>
    <col min="12" max="12" width="19.33203125" bestFit="1" customWidth="1"/>
  </cols>
  <sheetData>
    <row r="1" spans="1:13" x14ac:dyDescent="0.3">
      <c r="A1" s="271" t="s">
        <v>129</v>
      </c>
      <c r="B1" s="269" t="s">
        <v>128</v>
      </c>
      <c r="C1" s="82" t="s">
        <v>134</v>
      </c>
      <c r="F1" s="271" t="s">
        <v>129</v>
      </c>
      <c r="G1" s="269" t="s">
        <v>128</v>
      </c>
      <c r="H1" s="82" t="s">
        <v>134</v>
      </c>
      <c r="K1" s="271" t="s">
        <v>129</v>
      </c>
      <c r="L1" s="269" t="s">
        <v>128</v>
      </c>
      <c r="M1" s="82" t="s">
        <v>134</v>
      </c>
    </row>
    <row r="2" spans="1:13" x14ac:dyDescent="0.3">
      <c r="A2" s="272"/>
      <c r="B2" s="273"/>
      <c r="C2" s="75" t="s">
        <v>131</v>
      </c>
      <c r="F2" s="274"/>
      <c r="G2" s="275"/>
      <c r="H2" s="83" t="s">
        <v>132</v>
      </c>
      <c r="K2" s="274"/>
      <c r="L2" s="275"/>
      <c r="M2" s="83" t="s">
        <v>133</v>
      </c>
    </row>
    <row r="3" spans="1:13" x14ac:dyDescent="0.3">
      <c r="A3" s="74">
        <f>PRELIM!A10</f>
        <v>1</v>
      </c>
      <c r="B3" s="74" t="str">
        <f>IF(ISBLANK(Informations!B11),"",Informations!B11)</f>
        <v>AIDAROS, ANALIE B.</v>
      </c>
      <c r="C3" s="78" t="e">
        <f>'grading report'!#REF!</f>
        <v>#REF!</v>
      </c>
      <c r="F3" s="84">
        <f>A3</f>
        <v>1</v>
      </c>
      <c r="G3" s="74" t="str">
        <f>IF(ISBLANK(Informations!B11),"",Informations!B11)</f>
        <v>AIDAROS, ANALIE B.</v>
      </c>
      <c r="H3" s="85">
        <f>'grading report'!H11</f>
        <v>82.78</v>
      </c>
      <c r="K3" s="84">
        <f>A3</f>
        <v>1</v>
      </c>
      <c r="L3" s="74" t="str">
        <f>IF(ISBLANK(Informations!T11),"",Informations!T11)</f>
        <v/>
      </c>
      <c r="M3" s="85">
        <f>'grading report'!I11</f>
        <v>87.865000000000009</v>
      </c>
    </row>
    <row r="4" spans="1:13" x14ac:dyDescent="0.3">
      <c r="A4" s="74">
        <f>PRELIM!A11</f>
        <v>2</v>
      </c>
      <c r="B4" s="74" t="str">
        <f>IF(ISBLANK(Informations!B12),"",Informations!B12)</f>
        <v>ALILI, JAIDE LOU D.</v>
      </c>
      <c r="C4" s="78" t="e">
        <f>'grading report'!#REF!</f>
        <v>#REF!</v>
      </c>
      <c r="F4" s="84">
        <f t="shared" ref="F4:F52" si="0">A4</f>
        <v>2</v>
      </c>
      <c r="G4" s="74" t="str">
        <f>IF(ISBLANK(Informations!B12),"",Informations!B12)</f>
        <v>ALILI, JAIDE LOU D.</v>
      </c>
      <c r="H4" s="85">
        <f>'grading report'!H12</f>
        <v>85.27000000000001</v>
      </c>
      <c r="K4" s="84">
        <f t="shared" ref="K4:K52" si="1">A4</f>
        <v>2</v>
      </c>
      <c r="L4" s="74" t="str">
        <f>IF(ISBLANK(Informations!T12),"",Informations!T12)</f>
        <v/>
      </c>
      <c r="M4" s="85">
        <f>'grading report'!I12</f>
        <v>85.263333333333321</v>
      </c>
    </row>
    <row r="5" spans="1:13" x14ac:dyDescent="0.3">
      <c r="A5" s="74">
        <f>PRELIM!A12</f>
        <v>3</v>
      </c>
      <c r="B5" s="74" t="str">
        <f>IF(ISBLANK(Informations!B13),"",Informations!B13)</f>
        <v>ALLOSO, RICHELLE MAE</v>
      </c>
      <c r="C5" s="78" t="e">
        <f>'grading report'!#REF!</f>
        <v>#REF!</v>
      </c>
      <c r="F5" s="84">
        <f t="shared" si="0"/>
        <v>3</v>
      </c>
      <c r="G5" s="74" t="str">
        <f>IF(ISBLANK(Informations!B13),"",Informations!B13)</f>
        <v>ALLOSO, RICHELLE MAE</v>
      </c>
      <c r="H5" s="85">
        <f>'grading report'!H13</f>
        <v>87.019545454545437</v>
      </c>
      <c r="K5" s="84">
        <f t="shared" si="1"/>
        <v>3</v>
      </c>
      <c r="L5" s="74" t="str">
        <f>IF(ISBLANK(Informations!T13),"",Informations!T13)</f>
        <v/>
      </c>
      <c r="M5" s="85">
        <f>'grading report'!I13</f>
        <v>87.204999999999998</v>
      </c>
    </row>
    <row r="6" spans="1:13" x14ac:dyDescent="0.3">
      <c r="A6" s="74">
        <f>PRELIM!A13</f>
        <v>4</v>
      </c>
      <c r="B6" s="74" t="str">
        <f>IF(ISBLANK(Informations!B14),"",Informations!B14)</f>
        <v>AUTIDA, MHARK ANGELOU E.</v>
      </c>
      <c r="C6" s="78" t="e">
        <f>'grading report'!#REF!</f>
        <v>#REF!</v>
      </c>
      <c r="F6" s="84">
        <f t="shared" si="0"/>
        <v>4</v>
      </c>
      <c r="G6" s="74" t="str">
        <f>IF(ISBLANK(Informations!B14),"",Informations!B14)</f>
        <v>AUTIDA, MHARK ANGELOU E.</v>
      </c>
      <c r="H6" s="85">
        <f>'grading report'!H14</f>
        <v>77.551428571428573</v>
      </c>
      <c r="K6" s="84">
        <f t="shared" si="1"/>
        <v>4</v>
      </c>
      <c r="L6" s="74" t="str">
        <f>IF(ISBLANK(Informations!T14),"",Informations!T14)</f>
        <v/>
      </c>
      <c r="M6" s="85">
        <f>'grading report'!I14</f>
        <v>72.983939393939409</v>
      </c>
    </row>
    <row r="7" spans="1:13" x14ac:dyDescent="0.3">
      <c r="A7" s="74">
        <f>PRELIM!A14</f>
        <v>5</v>
      </c>
      <c r="B7" s="74" t="str">
        <f>IF(ISBLANK(Informations!B15),"",Informations!B15)</f>
        <v>BENITO, FADEL C.</v>
      </c>
      <c r="C7" s="78" t="e">
        <f>'grading report'!#REF!</f>
        <v>#REF!</v>
      </c>
      <c r="F7" s="84">
        <f t="shared" si="0"/>
        <v>5</v>
      </c>
      <c r="G7" s="74" t="str">
        <f>IF(ISBLANK(Informations!B15),"",Informations!B15)</f>
        <v>BENITO, FADEL C.</v>
      </c>
      <c r="H7" s="85">
        <f>'grading report'!H15</f>
        <v>93.37</v>
      </c>
      <c r="K7" s="84">
        <f t="shared" si="1"/>
        <v>5</v>
      </c>
      <c r="L7" s="74" t="str">
        <f>IF(ISBLANK(Informations!T15),"",Informations!T15)</f>
        <v/>
      </c>
      <c r="M7" s="85">
        <f>'grading report'!I15</f>
        <v>93.161666666666676</v>
      </c>
    </row>
    <row r="8" spans="1:13" x14ac:dyDescent="0.3">
      <c r="A8" s="74">
        <f>PRELIM!A15</f>
        <v>6</v>
      </c>
      <c r="B8" s="74" t="str">
        <f>IF(ISBLANK(Informations!B16),"",Informations!B16)</f>
        <v>BESTUDIO, JERBY BRIX T.</v>
      </c>
      <c r="C8" s="78" t="e">
        <f>'grading report'!#REF!</f>
        <v>#REF!</v>
      </c>
      <c r="F8" s="84">
        <f t="shared" si="0"/>
        <v>6</v>
      </c>
      <c r="G8" s="74" t="str">
        <f>IF(ISBLANK(Informations!B16),"",Informations!B16)</f>
        <v>BESTUDIO, JERBY BRIX T.</v>
      </c>
      <c r="H8" s="85">
        <f>'grading report'!H16</f>
        <v>81.459415584415581</v>
      </c>
      <c r="K8" s="84">
        <f t="shared" si="1"/>
        <v>6</v>
      </c>
      <c r="L8" s="74" t="str">
        <f>IF(ISBLANK(Informations!T16),"",Informations!T16)</f>
        <v/>
      </c>
      <c r="M8" s="85">
        <f>'grading report'!I16</f>
        <v>79.263333333333321</v>
      </c>
    </row>
    <row r="9" spans="1:13" x14ac:dyDescent="0.3">
      <c r="A9" s="74">
        <f>PRELIM!A16</f>
        <v>7</v>
      </c>
      <c r="B9" s="74" t="str">
        <f>IF(ISBLANK(Informations!B17),"",Informations!B17)</f>
        <v>BONGGALON, ROSELYN M.</v>
      </c>
      <c r="C9" s="78" t="e">
        <f>'grading report'!#REF!</f>
        <v>#REF!</v>
      </c>
      <c r="F9" s="84">
        <f t="shared" si="0"/>
        <v>7</v>
      </c>
      <c r="G9" s="74" t="str">
        <f>IF(ISBLANK(Informations!B17),"",Informations!B17)</f>
        <v>BONGGALON, ROSELYN M.</v>
      </c>
      <c r="H9" s="85">
        <f>'grading report'!H17</f>
        <v>75.010000000000005</v>
      </c>
      <c r="K9" s="84">
        <f t="shared" si="1"/>
        <v>7</v>
      </c>
      <c r="L9" s="74" t="str">
        <f>IF(ISBLANK(Informations!T17),"",Informations!T17)</f>
        <v/>
      </c>
      <c r="M9" s="85">
        <f>'grading report'!I17</f>
        <v>75.34</v>
      </c>
    </row>
    <row r="10" spans="1:13" x14ac:dyDescent="0.3">
      <c r="A10" s="74">
        <f>PRELIM!A17</f>
        <v>8</v>
      </c>
      <c r="B10" s="74" t="str">
        <f>IF(ISBLANK(Informations!B18),"",Informations!B18)</f>
        <v>CABANIG, JOYCE D.</v>
      </c>
      <c r="C10" s="78" t="e">
        <f>'grading report'!#REF!</f>
        <v>#REF!</v>
      </c>
      <c r="F10" s="84">
        <f t="shared" si="0"/>
        <v>8</v>
      </c>
      <c r="G10" s="74" t="str">
        <f>IF(ISBLANK(Informations!B18),"",Informations!B18)</f>
        <v>CABANIG, JOYCE D.</v>
      </c>
      <c r="H10" s="85">
        <f>'grading report'!H18</f>
        <v>80.598571428571432</v>
      </c>
      <c r="K10" s="84">
        <f t="shared" si="1"/>
        <v>8</v>
      </c>
      <c r="L10" s="74" t="str">
        <f>IF(ISBLANK(Informations!T18),"",Informations!T18)</f>
        <v/>
      </c>
      <c r="M10" s="85">
        <f>'grading report'!I18</f>
        <v>80.723333333333329</v>
      </c>
    </row>
    <row r="11" spans="1:13" x14ac:dyDescent="0.3">
      <c r="A11" s="74">
        <f>PRELIM!A18</f>
        <v>9</v>
      </c>
      <c r="B11" s="74" t="str">
        <f>IF(ISBLANK(Informations!B19),"",Informations!B19)</f>
        <v>DELEGUER JR., WYNIEL M.</v>
      </c>
      <c r="C11" s="78" t="e">
        <f>'grading report'!#REF!</f>
        <v>#REF!</v>
      </c>
      <c r="F11" s="84">
        <f t="shared" si="0"/>
        <v>9</v>
      </c>
      <c r="G11" s="74" t="str">
        <f>IF(ISBLANK(Informations!B19),"",Informations!B19)</f>
        <v>DELEGUER JR., WYNIEL M.</v>
      </c>
      <c r="H11" s="85">
        <f>'grading report'!H19</f>
        <v>79.82714285714286</v>
      </c>
      <c r="K11" s="84">
        <f t="shared" si="1"/>
        <v>9</v>
      </c>
      <c r="L11" s="74" t="str">
        <f>IF(ISBLANK(Informations!T19),"",Informations!T19)</f>
        <v/>
      </c>
      <c r="M11" s="85">
        <f>'grading report'!I19</f>
        <v>73.56</v>
      </c>
    </row>
    <row r="12" spans="1:13" x14ac:dyDescent="0.3">
      <c r="A12" s="74">
        <f>PRELIM!A19</f>
        <v>10</v>
      </c>
      <c r="B12" s="74" t="str">
        <f>IF(ISBLANK(Informations!B20),"",Informations!B20)</f>
        <v>ESPINO, PRINCESS GAIL A.</v>
      </c>
      <c r="C12" s="78" t="e">
        <f>'grading report'!#REF!</f>
        <v>#REF!</v>
      </c>
      <c r="F12" s="84">
        <f t="shared" si="0"/>
        <v>10</v>
      </c>
      <c r="G12" s="74" t="str">
        <f>IF(ISBLANK(Informations!B20),"",Informations!B20)</f>
        <v>ESPINO, PRINCESS GAIL A.</v>
      </c>
      <c r="H12" s="85">
        <f>'grading report'!H20</f>
        <v>83.071428571428584</v>
      </c>
      <c r="K12" s="84">
        <f t="shared" si="1"/>
        <v>10</v>
      </c>
      <c r="L12" s="74" t="str">
        <f>IF(ISBLANK(Informations!T20),"",Informations!T20)</f>
        <v/>
      </c>
      <c r="M12" s="85">
        <f>'grading report'!I20</f>
        <v>87.993333333333339</v>
      </c>
    </row>
    <row r="13" spans="1:13" x14ac:dyDescent="0.3">
      <c r="A13" s="74">
        <f>PRELIM!A20</f>
        <v>11</v>
      </c>
      <c r="B13" s="74" t="str">
        <f>IF(ISBLANK(Informations!B21),"",Informations!B21)</f>
        <v>GUEVARRA, HERLAN ARC JOHNSON C.</v>
      </c>
      <c r="C13" s="78" t="e">
        <f>'grading report'!#REF!</f>
        <v>#REF!</v>
      </c>
      <c r="F13" s="84">
        <f t="shared" si="0"/>
        <v>11</v>
      </c>
      <c r="G13" s="74" t="str">
        <f>IF(ISBLANK(Informations!B21),"",Informations!B21)</f>
        <v>GUEVARRA, HERLAN ARC JOHNSON C.</v>
      </c>
      <c r="H13" s="85">
        <f>'grading report'!H21</f>
        <v>86.157532467532462</v>
      </c>
      <c r="K13" s="84">
        <f t="shared" si="1"/>
        <v>11</v>
      </c>
      <c r="L13" s="74" t="str">
        <f>IF(ISBLANK(Informations!T21),"",Informations!T21)</f>
        <v/>
      </c>
      <c r="M13" s="85">
        <f>'grading report'!I21</f>
        <v>76.426212121212131</v>
      </c>
    </row>
    <row r="14" spans="1:13" x14ac:dyDescent="0.3">
      <c r="A14" s="74">
        <f>PRELIM!A21</f>
        <v>12</v>
      </c>
      <c r="B14" s="74" t="str">
        <f>IF(ISBLANK(Informations!B22),"",Informations!B22)</f>
        <v>GUTIERREZ, MILLECENT SHYNE C.</v>
      </c>
      <c r="C14" s="78" t="e">
        <f>'grading report'!#REF!</f>
        <v>#REF!</v>
      </c>
      <c r="F14" s="84">
        <f t="shared" si="0"/>
        <v>12</v>
      </c>
      <c r="G14" s="74" t="str">
        <f>IF(ISBLANK(Informations!B22),"",Informations!B22)</f>
        <v>GUTIERREZ, MILLECENT SHYNE C.</v>
      </c>
      <c r="H14" s="85">
        <f>'grading report'!H22</f>
        <v>77.84714285714287</v>
      </c>
      <c r="K14" s="84">
        <f t="shared" si="1"/>
        <v>12</v>
      </c>
      <c r="L14" s="74" t="str">
        <f>IF(ISBLANK(Informations!T22),"",Informations!T22)</f>
        <v/>
      </c>
      <c r="M14" s="85">
        <f>'grading report'!I22</f>
        <v>75.788333333333327</v>
      </c>
    </row>
    <row r="15" spans="1:13" x14ac:dyDescent="0.3">
      <c r="A15" s="74">
        <f>PRELIM!A22</f>
        <v>13</v>
      </c>
      <c r="B15" s="74" t="str">
        <f>IF(ISBLANK(Informations!B23),"",Informations!B23)</f>
        <v>HERNANDEZ, ANGEL JEAN A</v>
      </c>
      <c r="C15" s="78" t="e">
        <f>'grading report'!#REF!</f>
        <v>#REF!</v>
      </c>
      <c r="F15" s="84">
        <f t="shared" si="0"/>
        <v>13</v>
      </c>
      <c r="G15" s="74" t="str">
        <f>IF(ISBLANK(Informations!B23),"",Informations!B23)</f>
        <v>HERNANDEZ, ANGEL JEAN A</v>
      </c>
      <c r="H15" s="85">
        <f>'grading report'!H23</f>
        <v>93.352857142857147</v>
      </c>
      <c r="K15" s="84">
        <f t="shared" si="1"/>
        <v>13</v>
      </c>
      <c r="L15" s="74" t="str">
        <f>IF(ISBLANK(Informations!T23),"",Informations!T23)</f>
        <v/>
      </c>
      <c r="M15" s="85">
        <f>'grading report'!I23</f>
        <v>95.86333333333333</v>
      </c>
    </row>
    <row r="16" spans="1:13" x14ac:dyDescent="0.3">
      <c r="A16" s="74">
        <f>PRELIM!A23</f>
        <v>14</v>
      </c>
      <c r="B16" s="74" t="str">
        <f>IF(ISBLANK(Informations!B24),"",Informations!B24)</f>
        <v>LAGUIDAN, PRINCESS JEAN A.</v>
      </c>
      <c r="C16" s="78" t="e">
        <f>'grading report'!#REF!</f>
        <v>#REF!</v>
      </c>
      <c r="F16" s="84">
        <f t="shared" si="0"/>
        <v>14</v>
      </c>
      <c r="G16" s="74" t="str">
        <f>IF(ISBLANK(Informations!B24),"",Informations!B24)</f>
        <v>LAGUIDAN, PRINCESS JEAN A.</v>
      </c>
      <c r="H16" s="85">
        <f>'grading report'!H24</f>
        <v>81.425714285714292</v>
      </c>
      <c r="K16" s="84">
        <f t="shared" si="1"/>
        <v>14</v>
      </c>
      <c r="L16" s="74" t="str">
        <f>IF(ISBLANK(Informations!T24),"",Informations!T24)</f>
        <v/>
      </c>
      <c r="M16" s="85">
        <f>'grading report'!I24</f>
        <v>74.577272727272728</v>
      </c>
    </row>
    <row r="17" spans="1:13" x14ac:dyDescent="0.3">
      <c r="A17" s="74">
        <f>PRELIM!A24</f>
        <v>15</v>
      </c>
      <c r="B17" s="74" t="str">
        <f>IF(ISBLANK(Informations!B25),"",Informations!B25)</f>
        <v>LAGUROS, LYKA A.</v>
      </c>
      <c r="C17" s="78" t="e">
        <f>'grading report'!#REF!</f>
        <v>#REF!</v>
      </c>
      <c r="F17" s="84">
        <f t="shared" si="0"/>
        <v>15</v>
      </c>
      <c r="G17" s="74" t="str">
        <f>IF(ISBLANK(Informations!B25),"",Informations!B25)</f>
        <v>LAGUROS, LYKA A.</v>
      </c>
      <c r="H17" s="85">
        <f>'grading report'!H25</f>
        <v>80.041428571428582</v>
      </c>
      <c r="K17" s="84">
        <f t="shared" si="1"/>
        <v>15</v>
      </c>
      <c r="L17" s="74" t="str">
        <f>IF(ISBLANK(Informations!T25),"",Informations!T25)</f>
        <v/>
      </c>
      <c r="M17" s="85">
        <f>'grading report'!I25</f>
        <v>82.991666666666674</v>
      </c>
    </row>
    <row r="18" spans="1:13" x14ac:dyDescent="0.3">
      <c r="A18" s="74">
        <f>PRELIM!A25</f>
        <v>16</v>
      </c>
      <c r="B18" s="74" t="str">
        <f>IF(ISBLANK(Informations!B26),"",Informations!B26)</f>
        <v>LAIDAN, JOSEPH G.</v>
      </c>
      <c r="C18" s="78" t="e">
        <f>'grading report'!#REF!</f>
        <v>#REF!</v>
      </c>
      <c r="F18" s="84">
        <f t="shared" si="0"/>
        <v>16</v>
      </c>
      <c r="G18" s="74" t="str">
        <f>IF(ISBLANK(Informations!B26),"",Informations!B26)</f>
        <v>LAIDAN, JOSEPH G.</v>
      </c>
      <c r="H18" s="85">
        <f>'grading report'!H26</f>
        <v>77.684285714285721</v>
      </c>
      <c r="K18" s="84">
        <f t="shared" si="1"/>
        <v>16</v>
      </c>
      <c r="L18" s="74" t="str">
        <f>IF(ISBLANK(Informations!T26),"",Informations!T26)</f>
        <v/>
      </c>
      <c r="M18" s="85">
        <f>'grading report'!I26</f>
        <v>81.960000000000008</v>
      </c>
    </row>
    <row r="19" spans="1:13" x14ac:dyDescent="0.3">
      <c r="A19" s="74">
        <f>PRELIM!A26</f>
        <v>17</v>
      </c>
      <c r="B19" s="74" t="str">
        <f>IF(ISBLANK(Informations!B27),"",Informations!B27)</f>
        <v>LAPICEROS, ELVIE V.</v>
      </c>
      <c r="C19" s="78" t="e">
        <f>'grading report'!#REF!</f>
        <v>#REF!</v>
      </c>
      <c r="F19" s="84">
        <f t="shared" si="0"/>
        <v>17</v>
      </c>
      <c r="G19" s="74" t="str">
        <f>IF(ISBLANK(Informations!B27),"",Informations!B27)</f>
        <v>LAPICEROS, ELVIE V.</v>
      </c>
      <c r="H19" s="85">
        <f>'grading report'!H27</f>
        <v>86.821428571428584</v>
      </c>
      <c r="K19" s="84">
        <f t="shared" si="1"/>
        <v>17</v>
      </c>
      <c r="L19" s="74" t="str">
        <f>IF(ISBLANK(Informations!T27),"",Informations!T27)</f>
        <v/>
      </c>
      <c r="M19" s="85">
        <f>'grading report'!I27</f>
        <v>91.883333333333326</v>
      </c>
    </row>
    <row r="20" spans="1:13" x14ac:dyDescent="0.3">
      <c r="A20" s="74">
        <f>PRELIM!A27</f>
        <v>18</v>
      </c>
      <c r="B20" s="74" t="str">
        <f>IF(ISBLANK(Informations!B28),"",Informations!B28)</f>
        <v>LIBOT, MARK ANTHONY A.</v>
      </c>
      <c r="C20" s="78" t="e">
        <f>'grading report'!#REF!</f>
        <v>#REF!</v>
      </c>
      <c r="F20" s="84">
        <f t="shared" si="0"/>
        <v>18</v>
      </c>
      <c r="G20" s="74" t="str">
        <f>IF(ISBLANK(Informations!B28),"",Informations!B28)</f>
        <v>LIBOT, MARK ANTHONY A.</v>
      </c>
      <c r="H20" s="85">
        <f>'grading report'!H28</f>
        <v>88.240000000000009</v>
      </c>
      <c r="K20" s="84">
        <f t="shared" si="1"/>
        <v>18</v>
      </c>
      <c r="L20" s="74" t="str">
        <f>IF(ISBLANK(Informations!T28),"",Informations!T28)</f>
        <v/>
      </c>
      <c r="M20" s="85">
        <f>'grading report'!I28</f>
        <v>86.90666666666668</v>
      </c>
    </row>
    <row r="21" spans="1:13" x14ac:dyDescent="0.3">
      <c r="A21" s="74">
        <f>PRELIM!A28</f>
        <v>19</v>
      </c>
      <c r="B21" s="74" t="str">
        <f>IF(ISBLANK(Informations!B29),"",Informations!B29)</f>
        <v>MAINAR, MADEL V.</v>
      </c>
      <c r="C21" s="78" t="e">
        <f>'grading report'!#REF!</f>
        <v>#REF!</v>
      </c>
      <c r="F21" s="84">
        <f t="shared" si="0"/>
        <v>19</v>
      </c>
      <c r="G21" s="74" t="str">
        <f>IF(ISBLANK(Informations!B29),"",Informations!B29)</f>
        <v>MAINAR, MADEL V.</v>
      </c>
      <c r="H21" s="85">
        <f>'grading report'!H29</f>
        <v>80.388571428571439</v>
      </c>
      <c r="K21" s="84">
        <f t="shared" si="1"/>
        <v>19</v>
      </c>
      <c r="L21" s="74" t="str">
        <f>IF(ISBLANK(Informations!T29),"",Informations!T29)</f>
        <v/>
      </c>
      <c r="M21" s="85">
        <f>'grading report'!I29</f>
        <v>77.591212121212124</v>
      </c>
    </row>
    <row r="22" spans="1:13" x14ac:dyDescent="0.3">
      <c r="A22" s="74">
        <f>PRELIM!A29</f>
        <v>20</v>
      </c>
      <c r="B22" s="74" t="str">
        <f>IF(ISBLANK(Informations!B30),"",Informations!B30)</f>
        <v>MAITIM, SALVE ANN RUTH E</v>
      </c>
      <c r="C22" s="78" t="e">
        <f>'grading report'!#REF!</f>
        <v>#REF!</v>
      </c>
      <c r="F22" s="84">
        <f t="shared" si="0"/>
        <v>20</v>
      </c>
      <c r="G22" s="74" t="str">
        <f>IF(ISBLANK(Informations!B30),"",Informations!B30)</f>
        <v>MAITIM, SALVE ANN RUTH E</v>
      </c>
      <c r="H22" s="85">
        <f>'grading report'!H30</f>
        <v>92.147987012987016</v>
      </c>
      <c r="K22" s="84">
        <f t="shared" si="1"/>
        <v>20</v>
      </c>
      <c r="L22" s="74" t="str">
        <f>IF(ISBLANK(Informations!T30),"",Informations!T30)</f>
        <v/>
      </c>
      <c r="M22" s="85">
        <f>'grading report'!I30</f>
        <v>95.00393939393939</v>
      </c>
    </row>
    <row r="23" spans="1:13" x14ac:dyDescent="0.3">
      <c r="A23" s="74">
        <f>PRELIM!A30</f>
        <v>21</v>
      </c>
      <c r="B23" s="74" t="str">
        <f>IF(ISBLANK(Informations!B31),"",Informations!B31)</f>
        <v>MALILA, EMMA MAE B.</v>
      </c>
      <c r="C23" s="78" t="e">
        <f>'grading report'!#REF!</f>
        <v>#REF!</v>
      </c>
      <c r="F23" s="84">
        <f t="shared" si="0"/>
        <v>21</v>
      </c>
      <c r="G23" s="74" t="str">
        <f>IF(ISBLANK(Informations!B31),"",Informations!B31)</f>
        <v>MALILA, EMMA MAE B.</v>
      </c>
      <c r="H23" s="85">
        <f>'grading report'!H31</f>
        <v>87.185714285714283</v>
      </c>
      <c r="K23" s="84">
        <f t="shared" si="1"/>
        <v>21</v>
      </c>
      <c r="L23" s="74" t="str">
        <f>IF(ISBLANK(Informations!T31),"",Informations!T31)</f>
        <v/>
      </c>
      <c r="M23" s="85">
        <f>'grading report'!I31</f>
        <v>87.12166666666667</v>
      </c>
    </row>
    <row r="24" spans="1:13" x14ac:dyDescent="0.3">
      <c r="A24" s="74">
        <f>PRELIM!A31</f>
        <v>22</v>
      </c>
      <c r="B24" s="74" t="str">
        <f>IF(ISBLANK(Informations!B32),"",Informations!B32)</f>
        <v>MENDEZ, SHYZIEL C.</v>
      </c>
      <c r="C24" s="78" t="e">
        <f>'grading report'!#REF!</f>
        <v>#REF!</v>
      </c>
      <c r="F24" s="84">
        <f t="shared" si="0"/>
        <v>22</v>
      </c>
      <c r="G24" s="74" t="str">
        <f>IF(ISBLANK(Informations!B32),"",Informations!B32)</f>
        <v>MENDEZ, SHYZIEL C.</v>
      </c>
      <c r="H24" s="85">
        <f>'grading report'!H32</f>
        <v>85.779415584415602</v>
      </c>
      <c r="K24" s="84">
        <f t="shared" si="1"/>
        <v>22</v>
      </c>
      <c r="L24" s="74" t="str">
        <f>IF(ISBLANK(Informations!T32),"",Informations!T32)</f>
        <v/>
      </c>
      <c r="M24" s="85">
        <f>'grading report'!I32</f>
        <v>89.321818181818188</v>
      </c>
    </row>
    <row r="25" spans="1:13" x14ac:dyDescent="0.3">
      <c r="A25" s="74">
        <f>PRELIM!A32</f>
        <v>23</v>
      </c>
      <c r="B25" s="74" t="str">
        <f>IF(ISBLANK(Informations!B33),"",Informations!B33)</f>
        <v>MORA, CLAURENCE  C.</v>
      </c>
      <c r="C25" s="78" t="e">
        <f>'grading report'!#REF!</f>
        <v>#REF!</v>
      </c>
      <c r="F25" s="84">
        <f t="shared" si="0"/>
        <v>23</v>
      </c>
      <c r="G25" s="74" t="str">
        <f>IF(ISBLANK(Informations!B33),"",Informations!B33)</f>
        <v>MORA, CLAURENCE  C.</v>
      </c>
      <c r="H25" s="85">
        <f>'grading report'!H33</f>
        <v>77.846558441558443</v>
      </c>
      <c r="K25" s="84">
        <f t="shared" si="1"/>
        <v>23</v>
      </c>
      <c r="L25" s="74" t="str">
        <f>IF(ISBLANK(Informations!T33),"",Informations!T33)</f>
        <v/>
      </c>
      <c r="M25" s="85">
        <f>'grading report'!I33</f>
        <v>78.528333333333336</v>
      </c>
    </row>
    <row r="26" spans="1:13" x14ac:dyDescent="0.3">
      <c r="A26" s="74">
        <f>PRELIM!A33</f>
        <v>24</v>
      </c>
      <c r="B26" s="74" t="str">
        <f>IF(ISBLANK(Informations!B34),"",Informations!B34)</f>
        <v>MORALES, JANE MANELYN C.</v>
      </c>
      <c r="C26" s="78" t="e">
        <f>'grading report'!#REF!</f>
        <v>#REF!</v>
      </c>
      <c r="F26" s="84">
        <f t="shared" si="0"/>
        <v>24</v>
      </c>
      <c r="G26" s="74" t="str">
        <f>IF(ISBLANK(Informations!B34),"",Informations!B34)</f>
        <v>MORALES, JANE MANELYN C.</v>
      </c>
      <c r="H26" s="85">
        <f>'grading report'!H34</f>
        <v>83.025259740259742</v>
      </c>
      <c r="K26" s="84">
        <f t="shared" si="1"/>
        <v>24</v>
      </c>
      <c r="L26" s="74" t="str">
        <f>IF(ISBLANK(Informations!T34),"",Informations!T34)</f>
        <v/>
      </c>
      <c r="M26" s="85">
        <f>'grading report'!I34</f>
        <v>88.162272727272722</v>
      </c>
    </row>
    <row r="27" spans="1:13" x14ac:dyDescent="0.3">
      <c r="A27" s="74">
        <f>PRELIM!A34</f>
        <v>25</v>
      </c>
      <c r="B27" s="74" t="str">
        <f>IF(ISBLANK(Informations!B35),"",Informations!B35)</f>
        <v>NARAGA,  JHAMAICA R.</v>
      </c>
      <c r="C27" s="78" t="e">
        <f>'grading report'!#REF!</f>
        <v>#REF!</v>
      </c>
      <c r="F27" s="84">
        <f t="shared" si="0"/>
        <v>25</v>
      </c>
      <c r="G27" s="74" t="str">
        <f>IF(ISBLANK(Informations!B35),"",Informations!B35)</f>
        <v>NARAGA,  JHAMAICA R.</v>
      </c>
      <c r="H27" s="85">
        <f>'grading report'!H35</f>
        <v>83.208571428571432</v>
      </c>
      <c r="K27" s="84">
        <f t="shared" si="1"/>
        <v>25</v>
      </c>
      <c r="L27" s="74" t="str">
        <f>IF(ISBLANK(Informations!T35),"",Informations!T35)</f>
        <v/>
      </c>
      <c r="M27" s="85">
        <f>'grading report'!I35</f>
        <v>85.336666666666673</v>
      </c>
    </row>
    <row r="28" spans="1:13" x14ac:dyDescent="0.3">
      <c r="A28" s="74">
        <f>PRELIM!A35</f>
        <v>26</v>
      </c>
      <c r="B28" s="74" t="str">
        <f>IF(ISBLANK(Informations!B36),"",Informations!B36)</f>
        <v>ONGQUE, CHERRY A.</v>
      </c>
      <c r="C28" s="78" t="e">
        <f>'grading report'!#REF!</f>
        <v>#REF!</v>
      </c>
      <c r="F28" s="84">
        <f t="shared" si="0"/>
        <v>26</v>
      </c>
      <c r="G28" s="74" t="str">
        <f>IF(ISBLANK(Informations!B36),"",Informations!B36)</f>
        <v>ONGQUE, CHERRY A.</v>
      </c>
      <c r="H28" s="85">
        <f>'grading report'!H36</f>
        <v>83.439415584415585</v>
      </c>
      <c r="K28" s="84">
        <f t="shared" si="1"/>
        <v>26</v>
      </c>
      <c r="L28" s="74" t="str">
        <f>IF(ISBLANK(Informations!T36),"",Informations!T36)</f>
        <v/>
      </c>
      <c r="M28" s="85">
        <f>'grading report'!I36</f>
        <v>88.198333333333338</v>
      </c>
    </row>
    <row r="29" spans="1:13" x14ac:dyDescent="0.3">
      <c r="A29" s="74">
        <f>PRELIM!A36</f>
        <v>27</v>
      </c>
      <c r="B29" s="74" t="str">
        <f>IF(ISBLANK(Informations!B37),"",Informations!B37)</f>
        <v>PAT, APRIL JANE L.</v>
      </c>
      <c r="C29" s="78" t="e">
        <f>'grading report'!#REF!</f>
        <v>#REF!</v>
      </c>
      <c r="F29" s="84">
        <f t="shared" si="0"/>
        <v>27</v>
      </c>
      <c r="G29" s="74" t="str">
        <f>IF(ISBLANK(Informations!B37),"",Informations!B37)</f>
        <v>PAT, APRIL JANE L.</v>
      </c>
      <c r="H29" s="85">
        <f>'grading report'!H37</f>
        <v>78.326558441558447</v>
      </c>
      <c r="K29" s="84">
        <f t="shared" si="1"/>
        <v>27</v>
      </c>
      <c r="L29" s="74" t="str">
        <f>IF(ISBLANK(Informations!T37),"",Informations!T37)</f>
        <v/>
      </c>
      <c r="M29" s="85">
        <f>'grading report'!I37</f>
        <v>75.659545454545452</v>
      </c>
    </row>
    <row r="30" spans="1:13" x14ac:dyDescent="0.3">
      <c r="A30" s="74">
        <f>PRELIM!A37</f>
        <v>28</v>
      </c>
      <c r="B30" s="74" t="str">
        <f>IF(ISBLANK(Informations!B38),"",Informations!B38)</f>
        <v>RICALDE, HARVEY C.</v>
      </c>
      <c r="C30" s="78" t="e">
        <f>'grading report'!#REF!</f>
        <v>#REF!</v>
      </c>
      <c r="F30" s="84">
        <f t="shared" si="0"/>
        <v>28</v>
      </c>
      <c r="G30" s="74" t="str">
        <f>IF(ISBLANK(Informations!B38),"",Informations!B38)</f>
        <v>RICALDE, HARVEY C.</v>
      </c>
      <c r="H30" s="85">
        <f>'grading report'!H38</f>
        <v>80.383701298701283</v>
      </c>
      <c r="K30" s="84">
        <f t="shared" si="1"/>
        <v>28</v>
      </c>
      <c r="L30" s="74" t="str">
        <f>IF(ISBLANK(Informations!T38),"",Informations!T38)</f>
        <v/>
      </c>
      <c r="M30" s="85">
        <f>'grading report'!I38</f>
        <v>79.389090909090896</v>
      </c>
    </row>
    <row r="31" spans="1:13" x14ac:dyDescent="0.3">
      <c r="A31" s="74">
        <f>PRELIM!A38</f>
        <v>29</v>
      </c>
      <c r="B31" s="74" t="str">
        <f>IF(ISBLANK(Informations!B39),"",Informations!B39)</f>
        <v>ROJAS, CYREL KEN L.</v>
      </c>
      <c r="C31" s="78" t="e">
        <f>'grading report'!#REF!</f>
        <v>#REF!</v>
      </c>
      <c r="F31" s="84">
        <f t="shared" si="0"/>
        <v>29</v>
      </c>
      <c r="G31" s="74" t="str">
        <f>IF(ISBLANK(Informations!B39),"",Informations!B39)</f>
        <v>ROJAS, CYREL KEN L.</v>
      </c>
      <c r="H31" s="85">
        <f>'grading report'!H39</f>
        <v>84.742857142857133</v>
      </c>
      <c r="K31" s="84">
        <f t="shared" si="1"/>
        <v>29</v>
      </c>
      <c r="L31" s="74" t="str">
        <f>IF(ISBLANK(Informations!T39),"",Informations!T39)</f>
        <v/>
      </c>
      <c r="M31" s="85">
        <f>'grading report'!I39</f>
        <v>76.843333333333334</v>
      </c>
    </row>
    <row r="32" spans="1:13" x14ac:dyDescent="0.3">
      <c r="A32" s="74">
        <f>PRELIM!A39</f>
        <v>30</v>
      </c>
      <c r="B32" s="74" t="str">
        <f>IF(ISBLANK(Informations!B40),"",Informations!B40)</f>
        <v>SAMLING, GHEZERIE C.</v>
      </c>
      <c r="C32" s="78" t="e">
        <f>'grading report'!#REF!</f>
        <v>#REF!</v>
      </c>
      <c r="F32" s="84">
        <f t="shared" si="0"/>
        <v>30</v>
      </c>
      <c r="G32" s="74" t="str">
        <f>IF(ISBLANK(Informations!B40),"",Informations!B40)</f>
        <v>SAMLING, GHEZERIE C.</v>
      </c>
      <c r="H32" s="85">
        <f>'grading report'!H40</f>
        <v>74.812857142857155</v>
      </c>
      <c r="K32" s="84">
        <f t="shared" si="1"/>
        <v>30</v>
      </c>
      <c r="L32" s="74" t="str">
        <f>IF(ISBLANK(Informations!T40),"",Informations!T40)</f>
        <v/>
      </c>
      <c r="M32" s="85">
        <f>'grading report'!I40</f>
        <v>79.848333333333329</v>
      </c>
    </row>
    <row r="33" spans="1:13" x14ac:dyDescent="0.3">
      <c r="A33" s="74">
        <f>PRELIM!A40</f>
        <v>31</v>
      </c>
      <c r="B33" s="74" t="str">
        <f>IF(ISBLANK(Informations!B41),"",Informations!B41)</f>
        <v>SAPIO, DIETHER E.</v>
      </c>
      <c r="C33" s="78" t="e">
        <f>'grading report'!#REF!</f>
        <v>#REF!</v>
      </c>
      <c r="F33" s="84">
        <f t="shared" si="0"/>
        <v>31</v>
      </c>
      <c r="G33" s="74" t="str">
        <f>IF(ISBLANK(Informations!B41),"",Informations!B41)</f>
        <v>SAPIO, DIETHER E.</v>
      </c>
      <c r="H33" s="85">
        <f>'grading report'!H41</f>
        <v>82.004285714285714</v>
      </c>
      <c r="K33" s="84">
        <f t="shared" si="1"/>
        <v>31</v>
      </c>
      <c r="L33" s="74" t="str">
        <f>IF(ISBLANK(Informations!T41),"",Informations!T41)</f>
        <v/>
      </c>
      <c r="M33" s="85">
        <f>'grading report'!I41</f>
        <v>74.176666666666677</v>
      </c>
    </row>
    <row r="34" spans="1:13" x14ac:dyDescent="0.3">
      <c r="A34" s="74">
        <f>PRELIM!A41</f>
        <v>32</v>
      </c>
      <c r="B34" s="74" t="str">
        <f>IF(ISBLANK(Informations!B42),"",Informations!B42)</f>
        <v>SILPAO, JHON CHRISTIAN G.</v>
      </c>
      <c r="C34" s="78" t="e">
        <f>'grading report'!#REF!</f>
        <v>#REF!</v>
      </c>
      <c r="F34" s="84">
        <f t="shared" si="0"/>
        <v>32</v>
      </c>
      <c r="G34" s="74" t="str">
        <f>IF(ISBLANK(Informations!B42),"",Informations!B42)</f>
        <v>SILPAO, JHON CHRISTIAN G.</v>
      </c>
      <c r="H34" s="85">
        <f>'grading report'!H42</f>
        <v>84.692402597402605</v>
      </c>
      <c r="K34" s="84">
        <f t="shared" si="1"/>
        <v>32</v>
      </c>
      <c r="L34" s="74" t="str">
        <f>IF(ISBLANK(Informations!T42),"",Informations!T42)</f>
        <v/>
      </c>
      <c r="M34" s="85">
        <f>'grading report'!I42</f>
        <v>83.908333333333331</v>
      </c>
    </row>
    <row r="35" spans="1:13" x14ac:dyDescent="0.3">
      <c r="A35" s="74">
        <f>PRELIM!A42</f>
        <v>33</v>
      </c>
      <c r="B35" s="74" t="str">
        <f>IF(ISBLANK(Informations!B43),"",Informations!B43)</f>
        <v>TIMUAY, JUVY MAE T</v>
      </c>
      <c r="C35" s="78" t="e">
        <f>'grading report'!#REF!</f>
        <v>#REF!</v>
      </c>
      <c r="F35" s="84">
        <f t="shared" si="0"/>
        <v>33</v>
      </c>
      <c r="G35" s="74" t="str">
        <f>IF(ISBLANK(Informations!B43),"",Informations!B43)</f>
        <v>TIMUAY, JUVY MAE T</v>
      </c>
      <c r="H35" s="85">
        <f>'grading report'!H43</f>
        <v>87.134285714285724</v>
      </c>
      <c r="K35" s="84">
        <f t="shared" si="1"/>
        <v>33</v>
      </c>
      <c r="L35" s="74" t="str">
        <f>IF(ISBLANK(Informations!T43),"",Informations!T43)</f>
        <v/>
      </c>
      <c r="M35" s="85">
        <f>'grading report'!I43</f>
        <v>91.873333333333335</v>
      </c>
    </row>
    <row r="36" spans="1:13" x14ac:dyDescent="0.3">
      <c r="A36" s="74">
        <f>PRELIM!A43</f>
        <v>34</v>
      </c>
      <c r="B36" s="74" t="str">
        <f>IF(ISBLANK(Informations!B44),"",Informations!B44)</f>
        <v>VELASCO, SHYRA BABES C.</v>
      </c>
      <c r="C36" s="78" t="e">
        <f>'grading report'!#REF!</f>
        <v>#REF!</v>
      </c>
      <c r="F36" s="84">
        <f t="shared" si="0"/>
        <v>34</v>
      </c>
      <c r="G36" s="74" t="str">
        <f>IF(ISBLANK(Informations!B44),"",Informations!B44)</f>
        <v>VELASCO, SHYRA BABES C.</v>
      </c>
      <c r="H36" s="85">
        <f>'grading report'!H44</f>
        <v>84.377987012987006</v>
      </c>
      <c r="K36" s="84">
        <f t="shared" si="1"/>
        <v>34</v>
      </c>
      <c r="L36" s="74" t="str">
        <f>IF(ISBLANK(Informations!T44),"",Informations!T44)</f>
        <v/>
      </c>
      <c r="M36" s="85">
        <f>'grading report'!I44</f>
        <v>89.233333333333334</v>
      </c>
    </row>
    <row r="37" spans="1:13" x14ac:dyDescent="0.3">
      <c r="A37" s="74">
        <f>PRELIM!A44</f>
        <v>35</v>
      </c>
      <c r="B37" s="74" t="str">
        <f>IF(ISBLANK(Informations!B45),"",Informations!B45)</f>
        <v>VENERACION, PRINCESS P.</v>
      </c>
      <c r="C37" s="78" t="e">
        <f>'grading report'!#REF!</f>
        <v>#REF!</v>
      </c>
      <c r="F37" s="84">
        <f t="shared" si="0"/>
        <v>35</v>
      </c>
      <c r="G37" s="74" t="str">
        <f>IF(ISBLANK(Informations!B45),"",Informations!B45)</f>
        <v>VENERACION, PRINCESS P.</v>
      </c>
      <c r="H37" s="85">
        <f>'grading report'!H45</f>
        <v>86.722857142857137</v>
      </c>
      <c r="K37" s="84">
        <f t="shared" si="1"/>
        <v>35</v>
      </c>
      <c r="L37" s="74" t="str">
        <f>IF(ISBLANK(Informations!T45),"",Informations!T45)</f>
        <v/>
      </c>
      <c r="M37" s="85">
        <f>'grading report'!I45</f>
        <v>86.321666666666658</v>
      </c>
    </row>
    <row r="38" spans="1:13" x14ac:dyDescent="0.3">
      <c r="A38" s="74">
        <f>PRELIM!A45</f>
        <v>36</v>
      </c>
      <c r="B38" s="74" t="str">
        <f>IF(ISBLANK(Informations!B46),"",Informations!B46)</f>
        <v>VERGARA, RAYAN JAY M.</v>
      </c>
      <c r="C38" s="78" t="e">
        <f>'grading report'!#REF!</f>
        <v>#REF!</v>
      </c>
      <c r="F38" s="84">
        <f t="shared" si="0"/>
        <v>36</v>
      </c>
      <c r="G38" s="74" t="str">
        <f>IF(ISBLANK(Informations!B46),"",Informations!B46)</f>
        <v>VERGARA, RAYAN JAY M.</v>
      </c>
      <c r="H38" s="85">
        <f>'grading report'!H46</f>
        <v>85.15428571428572</v>
      </c>
      <c r="K38" s="84">
        <f t="shared" si="1"/>
        <v>36</v>
      </c>
      <c r="L38" s="74" t="str">
        <f>IF(ISBLANK(Informations!T46),"",Informations!T46)</f>
        <v/>
      </c>
      <c r="M38" s="85">
        <f>'grading report'!I46</f>
        <v>90.633333333333326</v>
      </c>
    </row>
    <row r="39" spans="1:13" x14ac:dyDescent="0.3">
      <c r="A39" s="74">
        <f>PRELIM!A46</f>
        <v>37</v>
      </c>
      <c r="B39" s="74" t="str">
        <f>IF(ISBLANK(Informations!B47),"",Informations!B47)</f>
        <v>VILLAVER, JEHAN CEDRIC G.</v>
      </c>
      <c r="C39" s="78" t="e">
        <f>'grading report'!#REF!</f>
        <v>#REF!</v>
      </c>
      <c r="F39" s="84">
        <f t="shared" si="0"/>
        <v>37</v>
      </c>
      <c r="G39" s="74" t="str">
        <f>IF(ISBLANK(Informations!B47),"",Informations!B47)</f>
        <v>VILLAVER, JEHAN CEDRIC G.</v>
      </c>
      <c r="H39" s="85">
        <f>'grading report'!H47</f>
        <v>80.289999999999992</v>
      </c>
      <c r="K39" s="84">
        <f t="shared" si="1"/>
        <v>37</v>
      </c>
      <c r="L39" s="74" t="str">
        <f>IF(ISBLANK(Informations!T47),"",Informations!T47)</f>
        <v/>
      </c>
      <c r="M39" s="85">
        <f>'grading report'!I47</f>
        <v>80.491212121212129</v>
      </c>
    </row>
    <row r="40" spans="1:13" x14ac:dyDescent="0.3">
      <c r="A40" s="74">
        <f>PRELIM!A47</f>
        <v>38</v>
      </c>
      <c r="B40" s="74" t="str">
        <f>IF(ISBLANK(Informations!B48),"",Informations!B48)</f>
        <v/>
      </c>
      <c r="C40" s="78" t="e">
        <f>'grading report'!#REF!</f>
        <v>#REF!</v>
      </c>
      <c r="F40" s="84">
        <f t="shared" si="0"/>
        <v>38</v>
      </c>
      <c r="G40" s="74" t="str">
        <f>IF(ISBLANK(Informations!B48),"",Informations!B48)</f>
        <v/>
      </c>
      <c r="H40" s="85" t="str">
        <f>'grading report'!H48</f>
        <v>NE</v>
      </c>
      <c r="K40" s="84">
        <f t="shared" si="1"/>
        <v>38</v>
      </c>
      <c r="L40" s="74" t="str">
        <f>IF(ISBLANK(Informations!T48),"",Informations!T48)</f>
        <v/>
      </c>
      <c r="M40" s="85" t="str">
        <f>'grading report'!I48</f>
        <v>NE</v>
      </c>
    </row>
    <row r="41" spans="1:13" x14ac:dyDescent="0.3">
      <c r="A41" s="74">
        <f>PRELIM!A48</f>
        <v>39</v>
      </c>
      <c r="B41" s="74" t="str">
        <f>IF(ISBLANK(Informations!B49),"",Informations!B49)</f>
        <v/>
      </c>
      <c r="C41" s="78" t="e">
        <f>'grading report'!#REF!</f>
        <v>#REF!</v>
      </c>
      <c r="F41" s="84">
        <f t="shared" si="0"/>
        <v>39</v>
      </c>
      <c r="G41" s="74" t="str">
        <f>IF(ISBLANK(Informations!B49),"",Informations!B49)</f>
        <v/>
      </c>
      <c r="H41" s="85" t="str">
        <f>'grading report'!H49</f>
        <v>NE</v>
      </c>
      <c r="K41" s="84">
        <f t="shared" si="1"/>
        <v>39</v>
      </c>
      <c r="L41" s="74" t="str">
        <f>IF(ISBLANK(Informations!T49),"",Informations!T49)</f>
        <v/>
      </c>
      <c r="M41" s="85" t="str">
        <f>'grading report'!I49</f>
        <v>NE</v>
      </c>
    </row>
    <row r="42" spans="1:13" x14ac:dyDescent="0.3">
      <c r="A42" s="74">
        <f>PRELIM!A49</f>
        <v>40</v>
      </c>
      <c r="B42" s="74" t="str">
        <f>IF(ISBLANK(Informations!B50),"",Informations!B50)</f>
        <v/>
      </c>
      <c r="C42" s="78" t="e">
        <f>'grading report'!#REF!</f>
        <v>#REF!</v>
      </c>
      <c r="F42" s="84">
        <f t="shared" si="0"/>
        <v>40</v>
      </c>
      <c r="G42" s="74" t="str">
        <f>IF(ISBLANK(Informations!B50),"",Informations!B50)</f>
        <v/>
      </c>
      <c r="H42" s="85" t="str">
        <f>'grading report'!H50</f>
        <v>NE</v>
      </c>
      <c r="K42" s="84">
        <f t="shared" si="1"/>
        <v>40</v>
      </c>
      <c r="L42" s="74" t="str">
        <f>IF(ISBLANK(Informations!T50),"",Informations!T50)</f>
        <v/>
      </c>
      <c r="M42" s="85" t="str">
        <f>'grading report'!I50</f>
        <v>NE</v>
      </c>
    </row>
    <row r="43" spans="1:13" x14ac:dyDescent="0.3">
      <c r="A43" s="74">
        <f>PRELIM!A50</f>
        <v>41</v>
      </c>
      <c r="B43" s="74" t="str">
        <f>IF(ISBLANK(Informations!B51),"",Informations!B51)</f>
        <v/>
      </c>
      <c r="C43" s="78" t="e">
        <f>'grading report'!#REF!</f>
        <v>#REF!</v>
      </c>
      <c r="F43" s="84">
        <f t="shared" si="0"/>
        <v>41</v>
      </c>
      <c r="G43" s="74" t="str">
        <f>IF(ISBLANK(Informations!B51),"",Informations!B51)</f>
        <v/>
      </c>
      <c r="H43" s="85" t="str">
        <f>'grading report'!H51</f>
        <v>NE</v>
      </c>
      <c r="K43" s="84">
        <f t="shared" si="1"/>
        <v>41</v>
      </c>
      <c r="L43" s="74" t="str">
        <f>IF(ISBLANK(Informations!T51),"",Informations!T51)</f>
        <v/>
      </c>
      <c r="M43" s="85" t="str">
        <f>'grading report'!I51</f>
        <v>NE</v>
      </c>
    </row>
    <row r="44" spans="1:13" x14ac:dyDescent="0.3">
      <c r="A44" s="74">
        <f>PRELIM!A51</f>
        <v>42</v>
      </c>
      <c r="B44" s="74" t="str">
        <f>IF(ISBLANK(Informations!B52),"",Informations!B52)</f>
        <v/>
      </c>
      <c r="C44" s="78" t="e">
        <f>'grading report'!#REF!</f>
        <v>#REF!</v>
      </c>
      <c r="F44" s="84">
        <f t="shared" si="0"/>
        <v>42</v>
      </c>
      <c r="G44" s="74" t="str">
        <f>IF(ISBLANK(Informations!B52),"",Informations!B52)</f>
        <v/>
      </c>
      <c r="H44" s="85" t="str">
        <f>'grading report'!H52</f>
        <v>NE</v>
      </c>
      <c r="K44" s="84">
        <f t="shared" si="1"/>
        <v>42</v>
      </c>
      <c r="L44" s="74" t="str">
        <f>IF(ISBLANK(Informations!T52),"",Informations!T52)</f>
        <v/>
      </c>
      <c r="M44" s="85" t="str">
        <f>'grading report'!I52</f>
        <v>NE</v>
      </c>
    </row>
    <row r="45" spans="1:13" x14ac:dyDescent="0.3">
      <c r="A45" s="74">
        <f>PRELIM!A52</f>
        <v>43</v>
      </c>
      <c r="B45" s="74" t="str">
        <f>IF(ISBLANK(Informations!B53),"",Informations!B53)</f>
        <v/>
      </c>
      <c r="C45" s="78" t="e">
        <f>'grading report'!#REF!</f>
        <v>#REF!</v>
      </c>
      <c r="F45" s="84">
        <f t="shared" si="0"/>
        <v>43</v>
      </c>
      <c r="G45" s="74" t="str">
        <f>IF(ISBLANK(Informations!B53),"",Informations!B53)</f>
        <v/>
      </c>
      <c r="H45" s="85" t="str">
        <f>'grading report'!H53</f>
        <v>NE</v>
      </c>
      <c r="K45" s="84">
        <f t="shared" si="1"/>
        <v>43</v>
      </c>
      <c r="L45" s="74" t="str">
        <f>IF(ISBLANK(Informations!T53),"",Informations!T53)</f>
        <v/>
      </c>
      <c r="M45" s="85" t="str">
        <f>'grading report'!I53</f>
        <v>NE</v>
      </c>
    </row>
    <row r="46" spans="1:13" x14ac:dyDescent="0.3">
      <c r="A46" s="74">
        <f>PRELIM!A53</f>
        <v>44</v>
      </c>
      <c r="B46" s="74" t="str">
        <f>IF(ISBLANK(Informations!B54),"",Informations!B54)</f>
        <v/>
      </c>
      <c r="C46" s="78" t="e">
        <f>'grading report'!#REF!</f>
        <v>#REF!</v>
      </c>
      <c r="F46" s="84">
        <f t="shared" si="0"/>
        <v>44</v>
      </c>
      <c r="G46" s="74" t="str">
        <f>IF(ISBLANK(Informations!B54),"",Informations!B54)</f>
        <v/>
      </c>
      <c r="H46" s="85" t="str">
        <f>'grading report'!H54</f>
        <v>NE</v>
      </c>
      <c r="K46" s="84">
        <f t="shared" si="1"/>
        <v>44</v>
      </c>
      <c r="L46" s="74" t="str">
        <f>IF(ISBLANK(Informations!T54),"",Informations!T54)</f>
        <v/>
      </c>
      <c r="M46" s="85" t="str">
        <f>'grading report'!I54</f>
        <v>NE</v>
      </c>
    </row>
    <row r="47" spans="1:13" x14ac:dyDescent="0.3">
      <c r="A47" s="74">
        <f>PRELIM!A54</f>
        <v>45</v>
      </c>
      <c r="B47" s="74" t="str">
        <f>IF(ISBLANK(Informations!B55),"",Informations!B55)</f>
        <v/>
      </c>
      <c r="C47" s="78" t="e">
        <f>'grading report'!#REF!</f>
        <v>#REF!</v>
      </c>
      <c r="F47" s="84">
        <f t="shared" si="0"/>
        <v>45</v>
      </c>
      <c r="G47" s="74" t="str">
        <f>IF(ISBLANK(Informations!B55),"",Informations!B55)</f>
        <v/>
      </c>
      <c r="H47" s="85" t="str">
        <f>'grading report'!H55</f>
        <v>NE</v>
      </c>
      <c r="K47" s="84">
        <f t="shared" si="1"/>
        <v>45</v>
      </c>
      <c r="L47" s="74" t="str">
        <f>IF(ISBLANK(Informations!T55),"",Informations!T55)</f>
        <v/>
      </c>
      <c r="M47" s="85" t="str">
        <f>'grading report'!I55</f>
        <v>NE</v>
      </c>
    </row>
    <row r="48" spans="1:13" x14ac:dyDescent="0.3">
      <c r="A48" s="74">
        <f>PRELIM!A55</f>
        <v>46</v>
      </c>
      <c r="B48" s="74" t="str">
        <f>IF(ISBLANK(Informations!B56),"",Informations!B56)</f>
        <v/>
      </c>
      <c r="C48" s="78" t="e">
        <f>'grading report'!#REF!</f>
        <v>#REF!</v>
      </c>
      <c r="F48" s="84">
        <f t="shared" si="0"/>
        <v>46</v>
      </c>
      <c r="G48" s="74" t="str">
        <f>IF(ISBLANK(Informations!B56),"",Informations!B56)</f>
        <v/>
      </c>
      <c r="H48" s="85" t="str">
        <f>'grading report'!H56</f>
        <v>NE</v>
      </c>
      <c r="K48" s="84">
        <f t="shared" si="1"/>
        <v>46</v>
      </c>
      <c r="L48" s="74" t="str">
        <f>IF(ISBLANK(Informations!T56),"",Informations!T56)</f>
        <v/>
      </c>
      <c r="M48" s="85" t="str">
        <f>'grading report'!I56</f>
        <v>NE</v>
      </c>
    </row>
    <row r="49" spans="1:13" x14ac:dyDescent="0.3">
      <c r="A49" s="74">
        <f>PRELIM!A56</f>
        <v>47</v>
      </c>
      <c r="B49" s="74" t="str">
        <f>IF(ISBLANK(Informations!B57),"",Informations!B57)</f>
        <v/>
      </c>
      <c r="C49" s="78" t="e">
        <f>'grading report'!#REF!</f>
        <v>#REF!</v>
      </c>
      <c r="F49" s="84">
        <f t="shared" si="0"/>
        <v>47</v>
      </c>
      <c r="G49" s="74" t="str">
        <f>IF(ISBLANK(Informations!B57),"",Informations!B57)</f>
        <v/>
      </c>
      <c r="H49" s="85" t="str">
        <f>'grading report'!H57</f>
        <v>NE</v>
      </c>
      <c r="K49" s="84">
        <f t="shared" si="1"/>
        <v>47</v>
      </c>
      <c r="L49" s="74" t="str">
        <f>IF(ISBLANK(Informations!T57),"",Informations!T57)</f>
        <v/>
      </c>
      <c r="M49" s="85" t="str">
        <f>'grading report'!I57</f>
        <v>NE</v>
      </c>
    </row>
    <row r="50" spans="1:13" x14ac:dyDescent="0.3">
      <c r="A50" s="74">
        <f>PRELIM!A57</f>
        <v>48</v>
      </c>
      <c r="B50" s="74" t="str">
        <f>IF(ISBLANK(Informations!B58),"",Informations!B58)</f>
        <v/>
      </c>
      <c r="C50" s="78" t="e">
        <f>'grading report'!#REF!</f>
        <v>#REF!</v>
      </c>
      <c r="F50" s="84">
        <f t="shared" si="0"/>
        <v>48</v>
      </c>
      <c r="G50" s="74" t="str">
        <f>IF(ISBLANK(Informations!B58),"",Informations!B58)</f>
        <v/>
      </c>
      <c r="H50" s="85" t="str">
        <f>'grading report'!H58</f>
        <v>NE</v>
      </c>
      <c r="K50" s="84">
        <f t="shared" si="1"/>
        <v>48</v>
      </c>
      <c r="L50" s="74" t="str">
        <f>IF(ISBLANK(Informations!T58),"",Informations!T58)</f>
        <v/>
      </c>
      <c r="M50" s="85" t="str">
        <f>'grading report'!I58</f>
        <v>NE</v>
      </c>
    </row>
    <row r="51" spans="1:13" x14ac:dyDescent="0.3">
      <c r="A51" s="74">
        <f>PRELIM!A58</f>
        <v>49</v>
      </c>
      <c r="B51" s="74" t="str">
        <f>IF(ISBLANK(Informations!B59),"",Informations!B59)</f>
        <v/>
      </c>
      <c r="C51" s="78" t="e">
        <f>'grading report'!#REF!</f>
        <v>#REF!</v>
      </c>
      <c r="F51" s="84">
        <f t="shared" si="0"/>
        <v>49</v>
      </c>
      <c r="G51" s="74" t="str">
        <f>IF(ISBLANK(Informations!B59),"",Informations!B59)</f>
        <v/>
      </c>
      <c r="H51" s="85" t="str">
        <f>'grading report'!H59</f>
        <v>NE</v>
      </c>
      <c r="K51" s="84">
        <f t="shared" si="1"/>
        <v>49</v>
      </c>
      <c r="L51" s="74" t="str">
        <f>IF(ISBLANK(Informations!T59),"",Informations!T59)</f>
        <v/>
      </c>
      <c r="M51" s="85" t="str">
        <f>'grading report'!I59</f>
        <v>NE</v>
      </c>
    </row>
    <row r="52" spans="1:13" ht="15" thickBot="1" x14ac:dyDescent="0.35">
      <c r="A52" s="74">
        <f>PRELIM!A59</f>
        <v>50</v>
      </c>
      <c r="B52" s="74" t="str">
        <f>IF(ISBLANK(Informations!B60),"",Informations!B60)</f>
        <v/>
      </c>
      <c r="C52" s="78" t="e">
        <f>'grading report'!#REF!</f>
        <v>#REF!</v>
      </c>
      <c r="F52" s="86">
        <f t="shared" si="0"/>
        <v>50</v>
      </c>
      <c r="G52" s="74" t="str">
        <f>IF(ISBLANK(Informations!B60),"",Informations!B60)</f>
        <v/>
      </c>
      <c r="H52" s="88" t="str">
        <f>'grading report'!H60</f>
        <v>NE</v>
      </c>
      <c r="K52" s="86">
        <f t="shared" si="1"/>
        <v>50</v>
      </c>
      <c r="L52" s="87" t="str">
        <f>IF(ISBLANK(Informations!T60),"",Informations!T60)</f>
        <v/>
      </c>
      <c r="M52" s="88" t="str">
        <f>'grading report'!I60</f>
        <v>NE</v>
      </c>
    </row>
  </sheetData>
  <mergeCells count="6">
    <mergeCell ref="K1:K2"/>
    <mergeCell ref="L1:L2"/>
    <mergeCell ref="A1:A2"/>
    <mergeCell ref="B1:B2"/>
    <mergeCell ref="F1:F2"/>
    <mergeCell ref="G1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15"/>
  <sheetViews>
    <sheetView workbookViewId="0">
      <selection activeCell="K18" sqref="K18"/>
    </sheetView>
  </sheetViews>
  <sheetFormatPr defaultRowHeight="14.4" x14ac:dyDescent="0.3"/>
  <cols>
    <col min="1" max="1" width="5.109375" customWidth="1"/>
    <col min="2" max="2" width="28.5546875" customWidth="1"/>
    <col min="3" max="3" width="18.109375" bestFit="1" customWidth="1"/>
    <col min="6" max="6" width="4.21875" bestFit="1" customWidth="1"/>
    <col min="7" max="7" width="24.77734375" customWidth="1"/>
    <col min="8" max="8" width="21.33203125" customWidth="1"/>
    <col min="11" max="11" width="4.21875" bestFit="1" customWidth="1"/>
    <col min="12" max="12" width="23.21875" customWidth="1"/>
    <col min="13" max="13" width="18.77734375" customWidth="1"/>
  </cols>
  <sheetData>
    <row r="1" spans="1:13" x14ac:dyDescent="0.3">
      <c r="A1" s="276" t="str">
        <f>PRELIM!AH4</f>
        <v>INTERNATIONAL BUSINESS AND TRADE</v>
      </c>
      <c r="B1" s="277"/>
      <c r="C1" s="95"/>
      <c r="D1" s="95"/>
      <c r="E1" s="96"/>
      <c r="F1" s="276">
        <f>PRELIM!AM4</f>
        <v>0</v>
      </c>
      <c r="G1" s="277"/>
      <c r="H1" s="95"/>
      <c r="I1" s="96"/>
      <c r="J1" s="96"/>
      <c r="K1" s="276">
        <f>PRELIM!AR4</f>
        <v>0</v>
      </c>
      <c r="L1" s="277"/>
      <c r="M1" s="81"/>
    </row>
    <row r="2" spans="1:13" x14ac:dyDescent="0.3">
      <c r="A2" s="278" t="str">
        <f>PRELIM!AK3 &amp;" " &amp; PRELIM!AR3</f>
        <v>SUMMER 2024-2025</v>
      </c>
      <c r="B2" s="279"/>
      <c r="C2" s="81"/>
      <c r="D2" s="81"/>
      <c r="F2" s="278" t="str">
        <f>PRELIM!AP3 &amp;" " &amp; PRELIM!AW3</f>
        <v xml:space="preserve"> </v>
      </c>
      <c r="G2" s="279"/>
      <c r="H2" s="81"/>
      <c r="K2" s="278" t="str">
        <f>PRELIM!AU3 &amp;" " &amp; PRELIM!BB3</f>
        <v xml:space="preserve"> </v>
      </c>
      <c r="L2" s="279"/>
      <c r="M2" s="81"/>
    </row>
    <row r="3" spans="1:13" ht="15" thickBot="1" x14ac:dyDescent="0.35">
      <c r="A3" s="280" t="s">
        <v>131</v>
      </c>
      <c r="B3" s="281"/>
      <c r="C3" s="81"/>
      <c r="D3" s="81"/>
      <c r="F3" s="280" t="s">
        <v>81</v>
      </c>
      <c r="G3" s="281"/>
      <c r="H3" s="81"/>
      <c r="K3" s="280" t="s">
        <v>141</v>
      </c>
      <c r="L3" s="281"/>
      <c r="M3" s="81"/>
    </row>
    <row r="4" spans="1:13" ht="15" thickBot="1" x14ac:dyDescent="0.35">
      <c r="A4" s="282"/>
      <c r="B4" s="283"/>
      <c r="C4" s="81"/>
      <c r="D4" s="81"/>
      <c r="F4" s="282"/>
      <c r="G4" s="283"/>
      <c r="H4" s="81"/>
      <c r="K4" s="282"/>
      <c r="L4" s="283"/>
      <c r="M4" s="81"/>
    </row>
    <row r="5" spans="1:13" ht="15" thickBot="1" x14ac:dyDescent="0.35">
      <c r="A5" s="115" t="s">
        <v>138</v>
      </c>
      <c r="B5" s="94" t="s">
        <v>139</v>
      </c>
      <c r="C5" s="80" t="s">
        <v>140</v>
      </c>
      <c r="D5" s="80"/>
      <c r="F5" s="93" t="s">
        <v>138</v>
      </c>
      <c r="G5" s="94" t="s">
        <v>139</v>
      </c>
      <c r="H5" s="80" t="s">
        <v>140</v>
      </c>
      <c r="K5" s="115" t="s">
        <v>138</v>
      </c>
      <c r="L5" s="94" t="s">
        <v>139</v>
      </c>
      <c r="M5" s="80" t="s">
        <v>140</v>
      </c>
    </row>
    <row r="6" spans="1:13" x14ac:dyDescent="0.3">
      <c r="A6" s="116">
        <v>1</v>
      </c>
      <c r="B6" s="92" t="e">
        <f>INDEX('Rankings Attachments'!B$3:B$52,MATCH(C6,'Rankings Attachments'!C$3:C$52,0))</f>
        <v>#REF!</v>
      </c>
      <c r="C6" s="80" t="e">
        <f>LARGE('Rankings Attachments'!C$3:C$52,A6)</f>
        <v>#REF!</v>
      </c>
      <c r="D6" s="80"/>
      <c r="F6" s="91">
        <v>1</v>
      </c>
      <c r="G6" s="92" t="str">
        <f>INDEX('Rankings Attachments'!G$3:G$52,MATCH(H6,'Rankings Attachments'!H$3:H$52,0))</f>
        <v>BENITO, FADEL C.</v>
      </c>
      <c r="H6" s="80">
        <f>LARGE('Rankings Attachments'!H$3:H$52,F6)</f>
        <v>93.37</v>
      </c>
      <c r="K6" s="116">
        <v>1</v>
      </c>
      <c r="L6" s="92" t="str">
        <f>INDEX('Rankings Attachments'!L$3:L$52,MATCH(M6,'Rankings Attachments'!M$3:M$52,0))</f>
        <v/>
      </c>
      <c r="M6" s="80">
        <f>LARGE('Rankings Attachments'!M$3:M$52,K6)</f>
        <v>95.86333333333333</v>
      </c>
    </row>
    <row r="7" spans="1:13" x14ac:dyDescent="0.3">
      <c r="A7" s="117">
        <v>2</v>
      </c>
      <c r="B7" s="89" t="e">
        <f>INDEX('Rankings Attachments'!B$3:B$52,MATCH(C7,'Rankings Attachments'!C$3:C$52,0))</f>
        <v>#REF!</v>
      </c>
      <c r="C7" s="80" t="e">
        <f>LARGE('Rankings Attachments'!C$3:C$52,A7)</f>
        <v>#REF!</v>
      </c>
      <c r="D7" s="80"/>
      <c r="F7" s="84">
        <v>2</v>
      </c>
      <c r="G7" s="89" t="str">
        <f>INDEX('Rankings Attachments'!G$3:G$52,MATCH(H7,'Rankings Attachments'!H$3:H$52,0))</f>
        <v>HERNANDEZ, ANGEL JEAN A</v>
      </c>
      <c r="H7" s="80">
        <f>LARGE('Rankings Attachments'!H$3:H$52,F7)</f>
        <v>93.352857142857147</v>
      </c>
      <c r="K7" s="117">
        <v>2</v>
      </c>
      <c r="L7" s="89" t="str">
        <f>INDEX('Rankings Attachments'!L$3:L$52,MATCH(M7,'Rankings Attachments'!M$3:M$52,0))</f>
        <v/>
      </c>
      <c r="M7" s="80">
        <f>LARGE('Rankings Attachments'!M$3:M$52,K7)</f>
        <v>95.00393939393939</v>
      </c>
    </row>
    <row r="8" spans="1:13" x14ac:dyDescent="0.3">
      <c r="A8" s="117">
        <v>3</v>
      </c>
      <c r="B8" s="89" t="e">
        <f>INDEX('Rankings Attachments'!B$3:B$52,MATCH(C8,'Rankings Attachments'!C$3:C$52,0))</f>
        <v>#REF!</v>
      </c>
      <c r="C8" s="80" t="e">
        <f>LARGE('Rankings Attachments'!C$3:C$52,A8)</f>
        <v>#REF!</v>
      </c>
      <c r="D8" s="80"/>
      <c r="F8" s="84">
        <v>3</v>
      </c>
      <c r="G8" s="89" t="str">
        <f>INDEX('Rankings Attachments'!G$3:G$52,MATCH(H8,'Rankings Attachments'!H$3:H$52,0))</f>
        <v>MAITIM, SALVE ANN RUTH E</v>
      </c>
      <c r="H8" s="80">
        <f>LARGE('Rankings Attachments'!H$3:H$52,F8)</f>
        <v>92.147987012987016</v>
      </c>
      <c r="K8" s="117">
        <v>3</v>
      </c>
      <c r="L8" s="89" t="str">
        <f>INDEX('Rankings Attachments'!L$3:L$52,MATCH(M8,'Rankings Attachments'!M$3:M$52,0))</f>
        <v/>
      </c>
      <c r="M8" s="80">
        <f>LARGE('Rankings Attachments'!M$3:M$52,K8)</f>
        <v>93.161666666666676</v>
      </c>
    </row>
    <row r="9" spans="1:13" x14ac:dyDescent="0.3">
      <c r="A9" s="117">
        <v>4</v>
      </c>
      <c r="B9" s="89" t="e">
        <f>INDEX('Rankings Attachments'!B$3:B$52,MATCH(C9,'Rankings Attachments'!C$3:C$52,0))</f>
        <v>#REF!</v>
      </c>
      <c r="C9" s="80" t="e">
        <f>LARGE('Rankings Attachments'!C$3:C$52,A9)</f>
        <v>#REF!</v>
      </c>
      <c r="D9" s="80"/>
      <c r="F9" s="84">
        <v>4</v>
      </c>
      <c r="G9" s="89" t="str">
        <f>INDEX('Rankings Attachments'!G$3:G$52,MATCH(H9,'Rankings Attachments'!H$3:H$52,0))</f>
        <v>LIBOT, MARK ANTHONY A.</v>
      </c>
      <c r="H9" s="80">
        <f>LARGE('Rankings Attachments'!H$3:H$52,F9)</f>
        <v>88.240000000000009</v>
      </c>
      <c r="K9" s="117">
        <v>4</v>
      </c>
      <c r="L9" s="89" t="str">
        <f>INDEX('Rankings Attachments'!L$3:L$52,MATCH(M9,'Rankings Attachments'!M$3:M$52,0))</f>
        <v/>
      </c>
      <c r="M9" s="80">
        <f>LARGE('Rankings Attachments'!M$3:M$52,K9)</f>
        <v>91.883333333333326</v>
      </c>
    </row>
    <row r="10" spans="1:13" x14ac:dyDescent="0.3">
      <c r="A10" s="117">
        <v>5</v>
      </c>
      <c r="B10" s="89" t="e">
        <f>INDEX('Rankings Attachments'!B$3:B$52,MATCH(C10,'Rankings Attachments'!C$3:C$52,0))</f>
        <v>#REF!</v>
      </c>
      <c r="C10" s="80" t="e">
        <f>LARGE('Rankings Attachments'!C$3:C$52,A10)</f>
        <v>#REF!</v>
      </c>
      <c r="D10" s="80"/>
      <c r="F10" s="84">
        <v>5</v>
      </c>
      <c r="G10" s="89" t="str">
        <f>INDEX('Rankings Attachments'!G$3:G$52,MATCH(H10,'Rankings Attachments'!H$3:H$52,0))</f>
        <v>MALILA, EMMA MAE B.</v>
      </c>
      <c r="H10" s="80">
        <f>LARGE('Rankings Attachments'!H$3:H$52,F10)</f>
        <v>87.185714285714283</v>
      </c>
      <c r="K10" s="117">
        <v>5</v>
      </c>
      <c r="L10" s="89" t="str">
        <f>INDEX('Rankings Attachments'!L$3:L$52,MATCH(M10,'Rankings Attachments'!M$3:M$52,0))</f>
        <v/>
      </c>
      <c r="M10" s="80">
        <f>LARGE('Rankings Attachments'!M$3:M$52,K10)</f>
        <v>91.873333333333335</v>
      </c>
    </row>
    <row r="11" spans="1:13" x14ac:dyDescent="0.3">
      <c r="A11" s="117">
        <v>6</v>
      </c>
      <c r="B11" s="89" t="e">
        <f>INDEX('Rankings Attachments'!B$3:B$52,MATCH(C11,'Rankings Attachments'!C$3:C$52,0))</f>
        <v>#REF!</v>
      </c>
      <c r="C11" s="80" t="e">
        <f>LARGE('Rankings Attachments'!C$3:C$52,A11)</f>
        <v>#REF!</v>
      </c>
      <c r="D11" s="80"/>
      <c r="F11" s="84">
        <v>6</v>
      </c>
      <c r="G11" s="89" t="str">
        <f>INDEX('Rankings Attachments'!G$3:G$52,MATCH(H11,'Rankings Attachments'!H$3:H$52,0))</f>
        <v>TIMUAY, JUVY MAE T</v>
      </c>
      <c r="H11" s="80">
        <f>LARGE('Rankings Attachments'!H$3:H$52,F11)</f>
        <v>87.134285714285724</v>
      </c>
      <c r="K11" s="117">
        <v>6</v>
      </c>
      <c r="L11" s="89" t="str">
        <f>INDEX('Rankings Attachments'!L$3:L$52,MATCH(M11,'Rankings Attachments'!M$3:M$52,0))</f>
        <v/>
      </c>
      <c r="M11" s="80">
        <f>LARGE('Rankings Attachments'!M$3:M$52,K11)</f>
        <v>90.633333333333326</v>
      </c>
    </row>
    <row r="12" spans="1:13" x14ac:dyDescent="0.3">
      <c r="A12" s="117">
        <v>7</v>
      </c>
      <c r="B12" s="89" t="e">
        <f>INDEX('Rankings Attachments'!B$3:B$52,MATCH(C12,'Rankings Attachments'!C$3:C$52,0))</f>
        <v>#REF!</v>
      </c>
      <c r="C12" s="80" t="e">
        <f>LARGE('Rankings Attachments'!C$3:C$52,A12)</f>
        <v>#REF!</v>
      </c>
      <c r="D12" s="80"/>
      <c r="F12" s="84">
        <v>7</v>
      </c>
      <c r="G12" s="89" t="str">
        <f>INDEX('Rankings Attachments'!G$3:G$52,MATCH(H12,'Rankings Attachments'!H$3:H$52,0))</f>
        <v>ALLOSO, RICHELLE MAE</v>
      </c>
      <c r="H12" s="80">
        <f>LARGE('Rankings Attachments'!H$3:H$52,F12)</f>
        <v>87.019545454545437</v>
      </c>
      <c r="K12" s="117">
        <v>7</v>
      </c>
      <c r="L12" s="89" t="str">
        <f>INDEX('Rankings Attachments'!L$3:L$52,MATCH(M12,'Rankings Attachments'!M$3:M$52,0))</f>
        <v/>
      </c>
      <c r="M12" s="80">
        <f>LARGE('Rankings Attachments'!M$3:M$52,K12)</f>
        <v>89.321818181818188</v>
      </c>
    </row>
    <row r="13" spans="1:13" x14ac:dyDescent="0.3">
      <c r="A13" s="117">
        <v>8</v>
      </c>
      <c r="B13" s="89" t="e">
        <f>INDEX('Rankings Attachments'!B$3:B$52,MATCH(C13,'Rankings Attachments'!C$3:C$52,0))</f>
        <v>#REF!</v>
      </c>
      <c r="C13" s="80" t="e">
        <f>LARGE('Rankings Attachments'!C$3:C$52,A13)</f>
        <v>#REF!</v>
      </c>
      <c r="D13" s="80"/>
      <c r="F13" s="84">
        <v>8</v>
      </c>
      <c r="G13" s="89" t="str">
        <f>INDEX('Rankings Attachments'!G$3:G$52,MATCH(H13,'Rankings Attachments'!H$3:H$52,0))</f>
        <v>LAPICEROS, ELVIE V.</v>
      </c>
      <c r="H13" s="80">
        <f>LARGE('Rankings Attachments'!H$3:H$52,F13)</f>
        <v>86.821428571428584</v>
      </c>
      <c r="K13" s="117">
        <v>8</v>
      </c>
      <c r="L13" s="89" t="str">
        <f>INDEX('Rankings Attachments'!L$3:L$52,MATCH(M13,'Rankings Attachments'!M$3:M$52,0))</f>
        <v/>
      </c>
      <c r="M13" s="80">
        <f>LARGE('Rankings Attachments'!M$3:M$52,K13)</f>
        <v>89.233333333333334</v>
      </c>
    </row>
    <row r="14" spans="1:13" x14ac:dyDescent="0.3">
      <c r="A14" s="84">
        <v>9</v>
      </c>
      <c r="B14" s="89" t="e">
        <f>INDEX('Rankings Attachments'!B$3:B$52,MATCH(C14,'Rankings Attachments'!C$3:C$52,0))</f>
        <v>#REF!</v>
      </c>
      <c r="C14" s="80" t="e">
        <f>LARGE('Rankings Attachments'!C$3:C$52,A14)</f>
        <v>#REF!</v>
      </c>
      <c r="D14" s="80"/>
      <c r="F14" s="84">
        <v>9</v>
      </c>
      <c r="G14" s="89" t="str">
        <f>INDEX('Rankings Attachments'!G$3:G$52,MATCH(H14,'Rankings Attachments'!H$3:H$52,0))</f>
        <v>VENERACION, PRINCESS P.</v>
      </c>
      <c r="H14" s="80">
        <f>LARGE('Rankings Attachments'!H$3:H$52,F14)</f>
        <v>86.722857142857137</v>
      </c>
      <c r="K14" s="117">
        <v>9</v>
      </c>
      <c r="L14" s="89" t="str">
        <f>INDEX('Rankings Attachments'!L$3:L$52,MATCH(M14,'Rankings Attachments'!M$3:M$52,0))</f>
        <v/>
      </c>
      <c r="M14" s="80">
        <f>LARGE('Rankings Attachments'!M$3:M$52,K14)</f>
        <v>88.198333333333338</v>
      </c>
    </row>
    <row r="15" spans="1:13" ht="15" thickBot="1" x14ac:dyDescent="0.35">
      <c r="A15" s="86">
        <v>10</v>
      </c>
      <c r="B15" s="90" t="e">
        <f>INDEX('Rankings Attachments'!B$3:B$52,MATCH(C15,'Rankings Attachments'!C$3:C$52,0))</f>
        <v>#REF!</v>
      </c>
      <c r="C15" s="80" t="e">
        <f>LARGE('Rankings Attachments'!C$3:C$52,A15)</f>
        <v>#REF!</v>
      </c>
      <c r="D15" s="80"/>
      <c r="F15" s="86">
        <v>10</v>
      </c>
      <c r="G15" s="90" t="str">
        <f>INDEX('Rankings Attachments'!G$3:G$52,MATCH(H15,'Rankings Attachments'!H$3:H$52,0))</f>
        <v>GUEVARRA, HERLAN ARC JOHNSON C.</v>
      </c>
      <c r="H15" s="80">
        <f>LARGE('Rankings Attachments'!H$3:H$52,F15)</f>
        <v>86.157532467532462</v>
      </c>
      <c r="K15" s="118">
        <v>10</v>
      </c>
      <c r="L15" s="90" t="str">
        <f>INDEX('Rankings Attachments'!L$3:L$52,MATCH(M15,'Rankings Attachments'!M$3:M$52,0))</f>
        <v/>
      </c>
      <c r="M15" s="80">
        <f>LARGE('Rankings Attachments'!M$3:M$52,K15)</f>
        <v>88.162272727272722</v>
      </c>
    </row>
  </sheetData>
  <mergeCells count="12">
    <mergeCell ref="K1:L1"/>
    <mergeCell ref="K2:L2"/>
    <mergeCell ref="K3:L3"/>
    <mergeCell ref="K4:L4"/>
    <mergeCell ref="A1:B1"/>
    <mergeCell ref="A2:B2"/>
    <mergeCell ref="A4:B4"/>
    <mergeCell ref="A3:B3"/>
    <mergeCell ref="F1:G1"/>
    <mergeCell ref="F2:G2"/>
    <mergeCell ref="F3:G3"/>
    <mergeCell ref="F4:G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Informations</vt:lpstr>
      <vt:lpstr>Sheet1</vt:lpstr>
      <vt:lpstr>Sheet2</vt:lpstr>
      <vt:lpstr>PRELIM</vt:lpstr>
      <vt:lpstr>MIDTERM</vt:lpstr>
      <vt:lpstr>FINALS</vt:lpstr>
      <vt:lpstr>grading report</vt:lpstr>
      <vt:lpstr>FFG</vt:lpstr>
      <vt:lpstr>For Grade Distribution</vt:lpstr>
      <vt:lpstr>Rankings Attachments</vt:lpstr>
      <vt:lpstr>Rankings</vt:lpstr>
      <vt:lpstr>'grading report'!Print_Area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daneve obero</cp:lastModifiedBy>
  <cp:lastPrinted>2025-07-09T09:11:59Z</cp:lastPrinted>
  <dcterms:created xsi:type="dcterms:W3CDTF">2016-06-18T17:21:20Z</dcterms:created>
  <dcterms:modified xsi:type="dcterms:W3CDTF">2025-07-29T03:43:08Z</dcterms:modified>
</cp:coreProperties>
</file>